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ucafina0.sharepoint.com/sites/KENYACOF686/Shared Documents/General/KENYACOF/2025/001 - Trade/001 - Positions/"/>
    </mc:Choice>
  </mc:AlternateContent>
  <xr:revisionPtr revIDLastSave="341" documentId="13_ncr:1_{8222FAA9-E5CB-4220-ABFF-BEC80A23C24B}" xr6:coauthVersionLast="47" xr6:coauthVersionMax="47" xr10:uidLastSave="{DEAA2394-2166-4349-8FD1-0DD3C48C94DD}"/>
  <bookViews>
    <workbookView xWindow="-57720" yWindow="-75" windowWidth="29040" windowHeight="15720" tabRatio="582" activeTab="3" xr2:uid="{00000000-000D-0000-FFFF-FFFF00000000}"/>
  </bookViews>
  <sheets>
    <sheet name="ReadMe" sheetId="78" r:id="rId1"/>
    <sheet name="Summary" sheetId="8" r:id="rId2"/>
    <sheet name="Stocks" sheetId="4" r:id="rId3"/>
    <sheet name="BASE FILE " sheetId="35" r:id="rId4"/>
    <sheet name="Blends" sheetId="38" r:id="rId5"/>
    <sheet name="Futs + Spread" sheetId="36" r:id="rId6"/>
    <sheet name="AutoFindNewSales" sheetId="76" r:id="rId7"/>
    <sheet name="FindOldSales" sheetId="77" r:id="rId8"/>
    <sheet name="DailyNetPosition" sheetId="73" r:id="rId9"/>
    <sheet name="LogisticsReport" sheetId="42" r:id="rId10"/>
    <sheet name="Forward Sales" sheetId="12" r:id="rId11"/>
    <sheet name="AutoLogisticsReport" sheetId="74" r:id="rId12"/>
    <sheet name="AutoBaseFile" sheetId="75" r:id="rId13"/>
  </sheets>
  <externalReferences>
    <externalReference r:id="rId14"/>
    <externalReference r:id="rId15"/>
    <externalReference r:id="rId16"/>
  </externalReferences>
  <definedNames>
    <definedName name="_xlnm._FilterDatabase" localSheetId="3" hidden="1">'BASE FILE '!#REF!</definedName>
    <definedName name="_xlnm._FilterDatabase" localSheetId="4" hidden="1">Blends!$A$1:$AB$119</definedName>
    <definedName name="_xlnm._FilterDatabase" localSheetId="8" hidden="1">DailyNetPosition!$A$1:$AG$6369</definedName>
    <definedName name="_xlnm._FilterDatabase" localSheetId="9" hidden="1">LogisticsReport!$A$1:$GC$1</definedName>
    <definedName name="_xlnm._FilterDatabase" localSheetId="1" hidden="1">Summary!$B$2:$R$28</definedName>
    <definedName name="_xleta.N" hidden="1" xlm="1">#NAME?</definedName>
    <definedName name="_xleta.SUM" hidden="1" xlm="1">#NAME?</definedName>
    <definedName name="_xleta.VLOOKUP" hidden="1" xlm="1">#NAME?</definedName>
    <definedName name="blends">Blends!$D$1:$AA$106</definedName>
    <definedName name="ExternalData_1" localSheetId="12" hidden="1">AutoBaseFile!$A$1:$BV$61</definedName>
    <definedName name="ExternalData_1" localSheetId="6" hidden="1">AutoFindNewSales!$A$1:$T$2</definedName>
    <definedName name="ExternalData_1" localSheetId="11" hidden="1">AutoLogisticsReport!$A$1:$T$63</definedName>
    <definedName name="ExternalData_1" localSheetId="7" hidden="1">FindOldSales!$A$1:$BV$2</definedName>
    <definedName name="netpos">DailyNetPosition!$A:$B</definedName>
    <definedName name="normal">Stocks!$A$1:$B$69</definedName>
  </definedNames>
  <calcPr calcId="191028"/>
  <pivotCaches>
    <pivotCache cacheId="138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35" l="1"/>
  <c r="P4" i="35"/>
  <c r="P61" i="35"/>
  <c r="P60" i="35"/>
  <c r="P59" i="35"/>
  <c r="P58" i="35"/>
  <c r="Q58" i="35" s="1"/>
  <c r="R58" i="35" s="1"/>
  <c r="P57" i="35"/>
  <c r="Q57" i="35" s="1"/>
  <c r="R57" i="35" s="1"/>
  <c r="P56" i="35"/>
  <c r="P55" i="35"/>
  <c r="P54" i="35"/>
  <c r="Q54" i="35" s="1"/>
  <c r="R54" i="35" s="1"/>
  <c r="P53" i="35"/>
  <c r="Q53" i="35" s="1"/>
  <c r="R53" i="35" s="1"/>
  <c r="P52" i="35"/>
  <c r="Q52" i="35" s="1"/>
  <c r="R52" i="35" s="1"/>
  <c r="P51" i="35"/>
  <c r="Q51" i="35" s="1"/>
  <c r="R51" i="35" s="1"/>
  <c r="P50" i="35"/>
  <c r="P49" i="35"/>
  <c r="P48" i="35"/>
  <c r="P47" i="35"/>
  <c r="P46" i="35"/>
  <c r="P45" i="35"/>
  <c r="Q45" i="35" s="1"/>
  <c r="R45" i="35" s="1"/>
  <c r="P44" i="35"/>
  <c r="Q44" i="35" s="1"/>
  <c r="R44" i="35" s="1"/>
  <c r="P43" i="35"/>
  <c r="P42" i="35"/>
  <c r="P41" i="35"/>
  <c r="P40" i="35"/>
  <c r="P39" i="35"/>
  <c r="P38" i="35"/>
  <c r="P37" i="35"/>
  <c r="P36" i="35"/>
  <c r="P35" i="35"/>
  <c r="P34" i="35"/>
  <c r="P33" i="35"/>
  <c r="P32" i="35"/>
  <c r="P31" i="35"/>
  <c r="P30" i="35"/>
  <c r="P29" i="35"/>
  <c r="P28" i="35"/>
  <c r="P25" i="35"/>
  <c r="P19" i="35"/>
  <c r="P18" i="35"/>
  <c r="P17" i="35"/>
  <c r="P11" i="35"/>
  <c r="P10" i="35"/>
  <c r="P9" i="35"/>
  <c r="P8" i="35"/>
  <c r="P7" i="35"/>
  <c r="P6" i="35"/>
  <c r="P5" i="35"/>
  <c r="Q5" i="35" s="1"/>
  <c r="R5" i="35" s="1"/>
  <c r="B47" i="36"/>
  <c r="B46" i="36"/>
  <c r="T3" i="8"/>
  <c r="AQ36" i="35"/>
  <c r="BN36" i="35" s="1"/>
  <c r="AQ5" i="35"/>
  <c r="BN5" i="35" s="1"/>
  <c r="AK36" i="35"/>
  <c r="BH36" i="35" s="1"/>
  <c r="AK5" i="35"/>
  <c r="BH5" i="35" s="1"/>
  <c r="F36" i="35"/>
  <c r="F5" i="35"/>
  <c r="G36" i="35"/>
  <c r="G5" i="35"/>
  <c r="Q36" i="35"/>
  <c r="R36" i="35" s="1"/>
  <c r="Z36" i="35"/>
  <c r="AW36" i="35" s="1"/>
  <c r="Z5" i="35"/>
  <c r="AW5" i="35" s="1"/>
  <c r="AA36" i="35"/>
  <c r="AX36" i="35" s="1"/>
  <c r="AA5" i="35"/>
  <c r="AX5" i="35" s="1"/>
  <c r="AB36" i="35"/>
  <c r="AY36" i="35" s="1"/>
  <c r="AB5" i="35"/>
  <c r="AY5" i="35" s="1"/>
  <c r="AC36" i="35"/>
  <c r="AZ36" i="35" s="1"/>
  <c r="AC5" i="35"/>
  <c r="AZ5" i="35" s="1"/>
  <c r="AD36" i="35"/>
  <c r="BA36" i="35" s="1"/>
  <c r="AD5" i="35"/>
  <c r="BA5" i="35" s="1"/>
  <c r="AE36" i="35"/>
  <c r="BB36" i="35" s="1"/>
  <c r="AE5" i="35"/>
  <c r="BB5" i="35" s="1"/>
  <c r="AF36" i="35"/>
  <c r="BC36" i="35" s="1"/>
  <c r="AF5" i="35"/>
  <c r="BC5" i="35" s="1"/>
  <c r="AG36" i="35"/>
  <c r="BD36" i="35" s="1"/>
  <c r="AG5" i="35"/>
  <c r="BD5" i="35" s="1"/>
  <c r="AH36" i="35"/>
  <c r="BE36" i="35" s="1"/>
  <c r="AH5" i="35"/>
  <c r="BE5" i="35" s="1"/>
  <c r="AI36" i="35"/>
  <c r="BF36" i="35" s="1"/>
  <c r="AI5" i="35"/>
  <c r="BF5" i="35" s="1"/>
  <c r="AJ36" i="35"/>
  <c r="BG36" i="35" s="1"/>
  <c r="AJ5" i="35"/>
  <c r="BG5" i="35" s="1"/>
  <c r="AL36" i="35"/>
  <c r="BI36" i="35" s="1"/>
  <c r="AL5" i="35"/>
  <c r="BI5" i="35" s="1"/>
  <c r="AM36" i="35"/>
  <c r="BJ36" i="35" s="1"/>
  <c r="AM5" i="35"/>
  <c r="BJ5" i="35" s="1"/>
  <c r="AN36" i="35"/>
  <c r="BK36" i="35" s="1"/>
  <c r="AN5" i="35"/>
  <c r="BK5" i="35" s="1"/>
  <c r="AO36" i="35"/>
  <c r="BL36" i="35" s="1"/>
  <c r="AO5" i="35"/>
  <c r="BL5" i="35" s="1"/>
  <c r="AP36" i="35"/>
  <c r="BM36" i="35" s="1"/>
  <c r="AP5" i="35"/>
  <c r="BM5" i="35" s="1"/>
  <c r="AR36" i="35"/>
  <c r="BO36" i="35" s="1"/>
  <c r="AR5" i="35"/>
  <c r="BO5" i="35" s="1"/>
  <c r="AS36" i="35"/>
  <c r="BP36" i="35" s="1"/>
  <c r="AS5" i="35"/>
  <c r="BP5" i="35" s="1"/>
  <c r="AT36" i="35"/>
  <c r="BQ36" i="35" s="1"/>
  <c r="AT5" i="35"/>
  <c r="BQ5" i="35" s="1"/>
  <c r="AU36" i="35"/>
  <c r="BR36" i="35" s="1"/>
  <c r="AU5" i="35"/>
  <c r="BR5" i="35" s="1"/>
  <c r="AV36" i="35"/>
  <c r="BS36" i="35" s="1"/>
  <c r="AV5" i="35"/>
  <c r="BS5" i="35" s="1"/>
  <c r="BU36" i="35"/>
  <c r="BV36" i="35" s="1"/>
  <c r="BU5" i="35"/>
  <c r="BV5" i="35" s="1"/>
  <c r="G43" i="35"/>
  <c r="AQ59" i="35"/>
  <c r="BN59" i="35" s="1"/>
  <c r="AK59" i="35"/>
  <c r="BH59" i="35" s="1"/>
  <c r="BU59" i="35"/>
  <c r="BV59" i="35" s="1"/>
  <c r="Q59" i="35"/>
  <c r="R59" i="35" s="1"/>
  <c r="G59" i="35"/>
  <c r="F59" i="35"/>
  <c r="AV59" i="35"/>
  <c r="BS59" i="35" s="1"/>
  <c r="AU59" i="35"/>
  <c r="BR59" i="35" s="1"/>
  <c r="AT59" i="35"/>
  <c r="BQ59" i="35" s="1"/>
  <c r="AS59" i="35"/>
  <c r="BP59" i="35" s="1"/>
  <c r="AR59" i="35"/>
  <c r="BO59" i="35" s="1"/>
  <c r="AP59" i="35"/>
  <c r="BM59" i="35" s="1"/>
  <c r="AO59" i="35"/>
  <c r="BL59" i="35" s="1"/>
  <c r="AN59" i="35"/>
  <c r="BK59" i="35" s="1"/>
  <c r="AM59" i="35"/>
  <c r="BJ59" i="35" s="1"/>
  <c r="AL59" i="35"/>
  <c r="BI59" i="35" s="1"/>
  <c r="AJ59" i="35"/>
  <c r="BG59" i="35" s="1"/>
  <c r="AI59" i="35"/>
  <c r="BF59" i="35" s="1"/>
  <c r="AH59" i="35"/>
  <c r="BE59" i="35" s="1"/>
  <c r="AG59" i="35"/>
  <c r="BD59" i="35" s="1"/>
  <c r="AF59" i="35"/>
  <c r="BC59" i="35" s="1"/>
  <c r="AE59" i="35"/>
  <c r="BB59" i="35" s="1"/>
  <c r="AD59" i="35"/>
  <c r="BA59" i="35" s="1"/>
  <c r="AC59" i="35"/>
  <c r="AZ59" i="35" s="1"/>
  <c r="AB59" i="35"/>
  <c r="AY59" i="35" s="1"/>
  <c r="AA59" i="35"/>
  <c r="AX59" i="35" s="1"/>
  <c r="Z59" i="35"/>
  <c r="AW59" i="35" s="1"/>
  <c r="AQ45" i="35"/>
  <c r="BN45" i="35" s="1"/>
  <c r="AQ51" i="35"/>
  <c r="BN51" i="35" s="1"/>
  <c r="AQ52" i="35"/>
  <c r="BN52" i="35" s="1"/>
  <c r="AQ53" i="35"/>
  <c r="BN53" i="35" s="1"/>
  <c r="AQ54" i="35"/>
  <c r="BN54" i="35" s="1"/>
  <c r="AQ57" i="35"/>
  <c r="BN57" i="35" s="1"/>
  <c r="AQ58" i="35"/>
  <c r="BN58" i="35" s="1"/>
  <c r="AQ49" i="35"/>
  <c r="BN49" i="35" s="1"/>
  <c r="AQ50" i="35"/>
  <c r="BN50" i="35" s="1"/>
  <c r="AQ43" i="35"/>
  <c r="BN43" i="35" s="1"/>
  <c r="AQ35" i="35"/>
  <c r="BN35" i="35" s="1"/>
  <c r="AQ26" i="35"/>
  <c r="BN26" i="35" s="1"/>
  <c r="AQ27" i="35"/>
  <c r="BN27" i="35" s="1"/>
  <c r="AQ44" i="35"/>
  <c r="BN44" i="35" s="1"/>
  <c r="AK45" i="35"/>
  <c r="BH45" i="35" s="1"/>
  <c r="AK51" i="35"/>
  <c r="BH51" i="35" s="1"/>
  <c r="AK52" i="35"/>
  <c r="BH52" i="35" s="1"/>
  <c r="AK53" i="35"/>
  <c r="BH53" i="35" s="1"/>
  <c r="AK54" i="35"/>
  <c r="BH54" i="35" s="1"/>
  <c r="AK57" i="35"/>
  <c r="BH57" i="35" s="1"/>
  <c r="AK58" i="35"/>
  <c r="BH58" i="35" s="1"/>
  <c r="AK49" i="35"/>
  <c r="BH49" i="35" s="1"/>
  <c r="AK50" i="35"/>
  <c r="BH50" i="35" s="1"/>
  <c r="AK43" i="35"/>
  <c r="BH43" i="35" s="1"/>
  <c r="AK35" i="35"/>
  <c r="BH35" i="35" s="1"/>
  <c r="AK26" i="35"/>
  <c r="BH26" i="35" s="1"/>
  <c r="AK27" i="35"/>
  <c r="BH27" i="35" s="1"/>
  <c r="AK44" i="35"/>
  <c r="BH44" i="35" s="1"/>
  <c r="G26" i="35"/>
  <c r="G27" i="35"/>
  <c r="G44" i="35"/>
  <c r="G45" i="35"/>
  <c r="G51" i="35"/>
  <c r="G52" i="35"/>
  <c r="G53" i="35"/>
  <c r="G54" i="35"/>
  <c r="G57" i="35"/>
  <c r="G58" i="35"/>
  <c r="F6" i="35"/>
  <c r="F28" i="35"/>
  <c r="F37" i="35"/>
  <c r="F38" i="35"/>
  <c r="F29" i="35"/>
  <c r="F30" i="35"/>
  <c r="F39" i="35"/>
  <c r="F40" i="35"/>
  <c r="F46" i="35"/>
  <c r="F47" i="35"/>
  <c r="F55" i="35"/>
  <c r="F56" i="35"/>
  <c r="F60" i="35"/>
  <c r="F61" i="35"/>
  <c r="F3" i="35"/>
  <c r="F7" i="35"/>
  <c r="F8" i="35"/>
  <c r="F31" i="35"/>
  <c r="F9" i="35"/>
  <c r="F10" i="35"/>
  <c r="F11" i="35"/>
  <c r="F32" i="35"/>
  <c r="F41" i="35"/>
  <c r="F12" i="35"/>
  <c r="F13" i="35"/>
  <c r="F14" i="35"/>
  <c r="F15" i="35"/>
  <c r="F16" i="35"/>
  <c r="F17" i="35"/>
  <c r="F18" i="35"/>
  <c r="F4" i="35"/>
  <c r="F42" i="35"/>
  <c r="F19" i="35"/>
  <c r="F33" i="35"/>
  <c r="F48" i="35"/>
  <c r="F20" i="35"/>
  <c r="F21" i="35"/>
  <c r="F22" i="35"/>
  <c r="F23" i="35"/>
  <c r="F24" i="35"/>
  <c r="F25" i="35"/>
  <c r="F34" i="35"/>
  <c r="F49" i="35"/>
  <c r="F50" i="35"/>
  <c r="F43" i="35"/>
  <c r="F35" i="35"/>
  <c r="F26" i="35"/>
  <c r="F27" i="35"/>
  <c r="F44" i="35"/>
  <c r="F45" i="35"/>
  <c r="F51" i="35"/>
  <c r="F52" i="35"/>
  <c r="F53" i="35"/>
  <c r="F54" i="35"/>
  <c r="F57" i="35"/>
  <c r="F58" i="35"/>
  <c r="F2" i="35"/>
  <c r="Z45" i="35"/>
  <c r="AW45" i="35" s="1"/>
  <c r="Z51" i="35"/>
  <c r="AW51" i="35" s="1"/>
  <c r="Z52" i="35"/>
  <c r="AW52" i="35" s="1"/>
  <c r="Z53" i="35"/>
  <c r="AW53" i="35" s="1"/>
  <c r="Z54" i="35"/>
  <c r="AW54" i="35" s="1"/>
  <c r="Z57" i="35"/>
  <c r="AW57" i="35" s="1"/>
  <c r="Z58" i="35"/>
  <c r="AW58" i="35" s="1"/>
  <c r="AA45" i="35"/>
  <c r="AX45" i="35" s="1"/>
  <c r="AA51" i="35"/>
  <c r="AX51" i="35" s="1"/>
  <c r="AA52" i="35"/>
  <c r="AX52" i="35" s="1"/>
  <c r="AA53" i="35"/>
  <c r="AX53" i="35" s="1"/>
  <c r="AA54" i="35"/>
  <c r="AX54" i="35" s="1"/>
  <c r="AA57" i="35"/>
  <c r="AX57" i="35" s="1"/>
  <c r="AA58" i="35"/>
  <c r="AX58" i="35" s="1"/>
  <c r="AB45" i="35"/>
  <c r="AY45" i="35" s="1"/>
  <c r="AB51" i="35"/>
  <c r="AY51" i="35" s="1"/>
  <c r="AB52" i="35"/>
  <c r="AY52" i="35" s="1"/>
  <c r="AB53" i="35"/>
  <c r="AY53" i="35" s="1"/>
  <c r="AB54" i="35"/>
  <c r="AY54" i="35" s="1"/>
  <c r="AB57" i="35"/>
  <c r="AY57" i="35" s="1"/>
  <c r="AB58" i="35"/>
  <c r="AY58" i="35" s="1"/>
  <c r="AC45" i="35"/>
  <c r="AZ45" i="35" s="1"/>
  <c r="AC51" i="35"/>
  <c r="AZ51" i="35" s="1"/>
  <c r="AC52" i="35"/>
  <c r="AZ52" i="35" s="1"/>
  <c r="AC53" i="35"/>
  <c r="AZ53" i="35" s="1"/>
  <c r="AC54" i="35"/>
  <c r="AZ54" i="35" s="1"/>
  <c r="AC57" i="35"/>
  <c r="AZ57" i="35" s="1"/>
  <c r="AC58" i="35"/>
  <c r="AZ58" i="35" s="1"/>
  <c r="AD45" i="35"/>
  <c r="BA45" i="35" s="1"/>
  <c r="AD51" i="35"/>
  <c r="BA51" i="35" s="1"/>
  <c r="AD52" i="35"/>
  <c r="BA52" i="35" s="1"/>
  <c r="AD53" i="35"/>
  <c r="BA53" i="35" s="1"/>
  <c r="AD54" i="35"/>
  <c r="BA54" i="35" s="1"/>
  <c r="AD57" i="35"/>
  <c r="BA57" i="35" s="1"/>
  <c r="AD58" i="35"/>
  <c r="BA58" i="35" s="1"/>
  <c r="AE45" i="35"/>
  <c r="BB45" i="35" s="1"/>
  <c r="AE51" i="35"/>
  <c r="BB51" i="35" s="1"/>
  <c r="AE52" i="35"/>
  <c r="BB52" i="35" s="1"/>
  <c r="AE53" i="35"/>
  <c r="BB53" i="35" s="1"/>
  <c r="AE54" i="35"/>
  <c r="BB54" i="35" s="1"/>
  <c r="AE57" i="35"/>
  <c r="BB57" i="35" s="1"/>
  <c r="AE58" i="35"/>
  <c r="BB58" i="35" s="1"/>
  <c r="AF45" i="35"/>
  <c r="BC45" i="35" s="1"/>
  <c r="AF51" i="35"/>
  <c r="BC51" i="35" s="1"/>
  <c r="AF52" i="35"/>
  <c r="BC52" i="35" s="1"/>
  <c r="AF53" i="35"/>
  <c r="BC53" i="35" s="1"/>
  <c r="AF54" i="35"/>
  <c r="BC54" i="35" s="1"/>
  <c r="AF57" i="35"/>
  <c r="BC57" i="35" s="1"/>
  <c r="AF58" i="35"/>
  <c r="BC58" i="35" s="1"/>
  <c r="AG45" i="35"/>
  <c r="BD45" i="35" s="1"/>
  <c r="AG51" i="35"/>
  <c r="BD51" i="35" s="1"/>
  <c r="AG52" i="35"/>
  <c r="BD52" i="35" s="1"/>
  <c r="AG53" i="35"/>
  <c r="BD53" i="35" s="1"/>
  <c r="AG54" i="35"/>
  <c r="BD54" i="35" s="1"/>
  <c r="AG57" i="35"/>
  <c r="BD57" i="35" s="1"/>
  <c r="AG58" i="35"/>
  <c r="BD58" i="35" s="1"/>
  <c r="AH45" i="35"/>
  <c r="BE45" i="35" s="1"/>
  <c r="AH51" i="35"/>
  <c r="BE51" i="35" s="1"/>
  <c r="AH52" i="35"/>
  <c r="BE52" i="35" s="1"/>
  <c r="AH53" i="35"/>
  <c r="BE53" i="35" s="1"/>
  <c r="AH54" i="35"/>
  <c r="BE54" i="35" s="1"/>
  <c r="AH57" i="35"/>
  <c r="BE57" i="35" s="1"/>
  <c r="AH58" i="35"/>
  <c r="BE58" i="35" s="1"/>
  <c r="AI45" i="35"/>
  <c r="BF45" i="35" s="1"/>
  <c r="AI51" i="35"/>
  <c r="BF51" i="35" s="1"/>
  <c r="AI52" i="35"/>
  <c r="BF52" i="35" s="1"/>
  <c r="AI53" i="35"/>
  <c r="BF53" i="35" s="1"/>
  <c r="AI54" i="35"/>
  <c r="BF54" i="35" s="1"/>
  <c r="AI57" i="35"/>
  <c r="BF57" i="35" s="1"/>
  <c r="AI58" i="35"/>
  <c r="BF58" i="35" s="1"/>
  <c r="AJ45" i="35"/>
  <c r="BG45" i="35" s="1"/>
  <c r="AJ51" i="35"/>
  <c r="BG51" i="35" s="1"/>
  <c r="AJ52" i="35"/>
  <c r="BG52" i="35" s="1"/>
  <c r="AJ53" i="35"/>
  <c r="BG53" i="35" s="1"/>
  <c r="AJ54" i="35"/>
  <c r="BG54" i="35" s="1"/>
  <c r="AJ57" i="35"/>
  <c r="BG57" i="35" s="1"/>
  <c r="AJ58" i="35"/>
  <c r="BG58" i="35" s="1"/>
  <c r="AL45" i="35"/>
  <c r="BI45" i="35" s="1"/>
  <c r="AL51" i="35"/>
  <c r="BI51" i="35" s="1"/>
  <c r="AL52" i="35"/>
  <c r="BI52" i="35" s="1"/>
  <c r="AL53" i="35"/>
  <c r="BI53" i="35" s="1"/>
  <c r="AL54" i="35"/>
  <c r="AL57" i="35"/>
  <c r="BI57" i="35" s="1"/>
  <c r="AL58" i="35"/>
  <c r="BI58" i="35" s="1"/>
  <c r="AM45" i="35"/>
  <c r="BJ45" i="35" s="1"/>
  <c r="AM51" i="35"/>
  <c r="BJ51" i="35" s="1"/>
  <c r="AM52" i="35"/>
  <c r="BJ52" i="35" s="1"/>
  <c r="AM53" i="35"/>
  <c r="BJ53" i="35" s="1"/>
  <c r="AM54" i="35"/>
  <c r="BJ54" i="35" s="1"/>
  <c r="AM57" i="35"/>
  <c r="BJ57" i="35" s="1"/>
  <c r="AM58" i="35"/>
  <c r="BJ58" i="35" s="1"/>
  <c r="AN45" i="35"/>
  <c r="BK45" i="35" s="1"/>
  <c r="AN51" i="35"/>
  <c r="BK51" i="35" s="1"/>
  <c r="AN52" i="35"/>
  <c r="BK52" i="35" s="1"/>
  <c r="AN53" i="35"/>
  <c r="BK53" i="35" s="1"/>
  <c r="AN54" i="35"/>
  <c r="BK54" i="35" s="1"/>
  <c r="AN57" i="35"/>
  <c r="BK57" i="35" s="1"/>
  <c r="AN58" i="35"/>
  <c r="BK58" i="35" s="1"/>
  <c r="AO45" i="35"/>
  <c r="BL45" i="35" s="1"/>
  <c r="AO51" i="35"/>
  <c r="BL51" i="35" s="1"/>
  <c r="AO52" i="35"/>
  <c r="BL52" i="35" s="1"/>
  <c r="AO53" i="35"/>
  <c r="BL53" i="35" s="1"/>
  <c r="AO54" i="35"/>
  <c r="BL54" i="35" s="1"/>
  <c r="AO57" i="35"/>
  <c r="BL57" i="35" s="1"/>
  <c r="AO58" i="35"/>
  <c r="BL58" i="35" s="1"/>
  <c r="AP45" i="35"/>
  <c r="BM45" i="35" s="1"/>
  <c r="AP51" i="35"/>
  <c r="BM51" i="35" s="1"/>
  <c r="AP52" i="35"/>
  <c r="BM52" i="35" s="1"/>
  <c r="AP53" i="35"/>
  <c r="BM53" i="35" s="1"/>
  <c r="AP54" i="35"/>
  <c r="BM54" i="35" s="1"/>
  <c r="AP57" i="35"/>
  <c r="BM57" i="35" s="1"/>
  <c r="AP58" i="35"/>
  <c r="BM58" i="35" s="1"/>
  <c r="AR45" i="35"/>
  <c r="BO45" i="35" s="1"/>
  <c r="AR51" i="35"/>
  <c r="BO51" i="35" s="1"/>
  <c r="AR52" i="35"/>
  <c r="BO52" i="35" s="1"/>
  <c r="AR53" i="35"/>
  <c r="BO53" i="35" s="1"/>
  <c r="AR54" i="35"/>
  <c r="BO54" i="35" s="1"/>
  <c r="AR57" i="35"/>
  <c r="BO57" i="35" s="1"/>
  <c r="AR58" i="35"/>
  <c r="BO58" i="35" s="1"/>
  <c r="AS45" i="35"/>
  <c r="BP45" i="35" s="1"/>
  <c r="AS51" i="35"/>
  <c r="BP51" i="35" s="1"/>
  <c r="AS52" i="35"/>
  <c r="BP52" i="35" s="1"/>
  <c r="AS53" i="35"/>
  <c r="BP53" i="35" s="1"/>
  <c r="AS54" i="35"/>
  <c r="BP54" i="35" s="1"/>
  <c r="AS57" i="35"/>
  <c r="BP57" i="35" s="1"/>
  <c r="AS58" i="35"/>
  <c r="BP58" i="35" s="1"/>
  <c r="AT45" i="35"/>
  <c r="BQ45" i="35" s="1"/>
  <c r="AT51" i="35"/>
  <c r="BQ51" i="35" s="1"/>
  <c r="AT52" i="35"/>
  <c r="BQ52" i="35" s="1"/>
  <c r="AT53" i="35"/>
  <c r="BQ53" i="35" s="1"/>
  <c r="AT54" i="35"/>
  <c r="BQ54" i="35" s="1"/>
  <c r="AT57" i="35"/>
  <c r="BQ57" i="35" s="1"/>
  <c r="AT58" i="35"/>
  <c r="BQ58" i="35" s="1"/>
  <c r="AU45" i="35"/>
  <c r="BR45" i="35" s="1"/>
  <c r="AU51" i="35"/>
  <c r="BR51" i="35" s="1"/>
  <c r="AU52" i="35"/>
  <c r="BR52" i="35" s="1"/>
  <c r="AU53" i="35"/>
  <c r="BR53" i="35" s="1"/>
  <c r="AU54" i="35"/>
  <c r="BR54" i="35" s="1"/>
  <c r="AU57" i="35"/>
  <c r="BR57" i="35" s="1"/>
  <c r="AU58" i="35"/>
  <c r="BR58" i="35" s="1"/>
  <c r="AV45" i="35"/>
  <c r="BS45" i="35" s="1"/>
  <c r="AV51" i="35"/>
  <c r="BS51" i="35" s="1"/>
  <c r="AV52" i="35"/>
  <c r="BS52" i="35" s="1"/>
  <c r="AV53" i="35"/>
  <c r="BS53" i="35" s="1"/>
  <c r="AV54" i="35"/>
  <c r="BS54" i="35" s="1"/>
  <c r="AV57" i="35"/>
  <c r="BS57" i="35" s="1"/>
  <c r="AV58" i="35"/>
  <c r="BS58" i="35" s="1"/>
  <c r="BU45" i="35"/>
  <c r="BV45" i="35" s="1"/>
  <c r="BU51" i="35"/>
  <c r="BV51" i="35" s="1"/>
  <c r="BU52" i="35"/>
  <c r="BV52" i="35" s="1"/>
  <c r="BU53" i="35"/>
  <c r="BV53" i="35" s="1"/>
  <c r="BU54" i="35"/>
  <c r="BV54" i="35" s="1"/>
  <c r="BU57" i="35"/>
  <c r="BV57" i="35" s="1"/>
  <c r="BU58" i="35"/>
  <c r="BV58" i="35" s="1"/>
  <c r="BU2" i="35"/>
  <c r="BV2" i="35" s="1"/>
  <c r="BU6" i="35"/>
  <c r="BV6" i="35" s="1"/>
  <c r="BU28" i="35"/>
  <c r="BV28" i="35" s="1"/>
  <c r="BU37" i="35"/>
  <c r="BV37" i="35" s="1"/>
  <c r="BU38" i="35"/>
  <c r="BV38" i="35" s="1"/>
  <c r="BU29" i="35"/>
  <c r="BV29" i="35" s="1"/>
  <c r="BU30" i="35"/>
  <c r="BV30" i="35" s="1"/>
  <c r="BU39" i="35"/>
  <c r="BV39" i="35" s="1"/>
  <c r="BU40" i="35"/>
  <c r="BV40" i="35" s="1"/>
  <c r="BU46" i="35"/>
  <c r="BV46" i="35" s="1"/>
  <c r="BU47" i="35"/>
  <c r="BV47" i="35" s="1"/>
  <c r="BU55" i="35"/>
  <c r="BV55" i="35" s="1"/>
  <c r="BU56" i="35"/>
  <c r="BV56" i="35" s="1"/>
  <c r="BU60" i="35"/>
  <c r="BV60" i="35" s="1"/>
  <c r="BU61" i="35"/>
  <c r="BV61" i="35" s="1"/>
  <c r="BU3" i="35"/>
  <c r="BV3" i="35" s="1"/>
  <c r="BU7" i="35"/>
  <c r="BV7" i="35" s="1"/>
  <c r="BU8" i="35"/>
  <c r="BV8" i="35" s="1"/>
  <c r="BU31" i="35"/>
  <c r="BV31" i="35" s="1"/>
  <c r="BU9" i="35"/>
  <c r="BU10" i="35"/>
  <c r="BU11" i="35"/>
  <c r="BV11" i="35" s="1"/>
  <c r="BU32" i="35"/>
  <c r="BV32" i="35" s="1"/>
  <c r="BU41" i="35"/>
  <c r="BV41" i="35" s="1"/>
  <c r="BU12" i="35"/>
  <c r="BV12" i="35" s="1"/>
  <c r="BU13" i="35"/>
  <c r="BV13" i="35" s="1"/>
  <c r="BU14" i="35"/>
  <c r="BV14" i="35" s="1"/>
  <c r="BU15" i="35"/>
  <c r="BV15" i="35" s="1"/>
  <c r="BU16" i="35"/>
  <c r="BV16" i="35" s="1"/>
  <c r="BU17" i="35"/>
  <c r="BU18" i="35"/>
  <c r="BV18" i="35" s="1"/>
  <c r="BU4" i="35"/>
  <c r="BV4" i="35" s="1"/>
  <c r="BU42" i="35"/>
  <c r="BV42" i="35" s="1"/>
  <c r="BU19" i="35"/>
  <c r="BV19" i="35" s="1"/>
  <c r="BU33" i="35"/>
  <c r="BV33" i="35" s="1"/>
  <c r="BU48" i="35"/>
  <c r="BV48" i="35" s="1"/>
  <c r="BU20" i="35"/>
  <c r="BV20" i="35" s="1"/>
  <c r="BU21" i="35"/>
  <c r="BV21" i="35" s="1"/>
  <c r="BU22" i="35"/>
  <c r="BV22" i="35" s="1"/>
  <c r="BU23" i="35"/>
  <c r="BV23" i="35" s="1"/>
  <c r="BU24" i="35"/>
  <c r="BV24" i="35" s="1"/>
  <c r="BU25" i="35"/>
  <c r="BV25" i="35" s="1"/>
  <c r="BU34" i="35"/>
  <c r="BV34" i="35" s="1"/>
  <c r="BU49" i="35"/>
  <c r="BV49" i="35" s="1"/>
  <c r="BU50" i="35"/>
  <c r="BV50" i="35" s="1"/>
  <c r="BU43" i="35"/>
  <c r="BV43" i="35" s="1"/>
  <c r="BU35" i="35"/>
  <c r="BV35" i="35" s="1"/>
  <c r="BU26" i="35"/>
  <c r="BV26" i="35" s="1"/>
  <c r="BU27" i="35"/>
  <c r="BV27" i="35" s="1"/>
  <c r="BU44" i="35"/>
  <c r="BV44" i="35" s="1"/>
  <c r="AV6" i="35"/>
  <c r="AV28" i="35"/>
  <c r="AV37" i="35"/>
  <c r="AV38" i="35"/>
  <c r="AV29" i="35"/>
  <c r="AV30" i="35"/>
  <c r="AV39" i="35"/>
  <c r="AV40" i="35"/>
  <c r="AV46" i="35"/>
  <c r="AV47" i="35"/>
  <c r="AV55" i="35"/>
  <c r="AV56" i="35"/>
  <c r="AV60" i="35"/>
  <c r="AV61" i="35"/>
  <c r="AV3" i="35"/>
  <c r="AV7" i="35"/>
  <c r="AV8" i="35"/>
  <c r="AV31" i="35"/>
  <c r="AV9" i="35"/>
  <c r="AV10" i="35"/>
  <c r="AV11" i="35"/>
  <c r="AV32" i="35"/>
  <c r="AV41" i="35"/>
  <c r="AV12" i="35"/>
  <c r="AV13" i="35"/>
  <c r="AV14" i="35"/>
  <c r="AV15" i="35"/>
  <c r="AV16" i="35"/>
  <c r="AV17" i="35"/>
  <c r="AV18" i="35"/>
  <c r="AV4" i="35"/>
  <c r="AV42" i="35"/>
  <c r="AV19" i="35"/>
  <c r="AV33" i="35"/>
  <c r="AV48" i="35"/>
  <c r="AV20" i="35"/>
  <c r="AV21" i="35"/>
  <c r="AV22" i="35"/>
  <c r="AV23" i="35"/>
  <c r="AV24" i="35"/>
  <c r="AV25" i="35"/>
  <c r="AV34" i="35"/>
  <c r="AV49" i="35"/>
  <c r="BS49" i="35" s="1"/>
  <c r="AV50" i="35"/>
  <c r="BS50" i="35" s="1"/>
  <c r="AV43" i="35"/>
  <c r="BS43" i="35" s="1"/>
  <c r="AV35" i="35"/>
  <c r="BS35" i="35" s="1"/>
  <c r="AV26" i="35"/>
  <c r="BS26" i="35" s="1"/>
  <c r="AV27" i="35"/>
  <c r="BS27" i="35" s="1"/>
  <c r="AV44" i="35"/>
  <c r="BS44" i="35" s="1"/>
  <c r="AV2" i="35"/>
  <c r="AU6" i="35"/>
  <c r="AU28" i="35"/>
  <c r="AU37" i="35"/>
  <c r="AU38" i="35"/>
  <c r="AU29" i="35"/>
  <c r="AU30" i="35"/>
  <c r="AU39" i="35"/>
  <c r="AU40" i="35"/>
  <c r="AU46" i="35"/>
  <c r="AU47" i="35"/>
  <c r="AU55" i="35"/>
  <c r="AU56" i="35"/>
  <c r="AU60" i="35"/>
  <c r="AU61" i="35"/>
  <c r="AU3" i="35"/>
  <c r="AU7" i="35"/>
  <c r="AU8" i="35"/>
  <c r="AU31" i="35"/>
  <c r="AU9" i="35"/>
  <c r="AU10" i="35"/>
  <c r="AU11" i="35"/>
  <c r="AU32" i="35"/>
  <c r="AU41" i="35"/>
  <c r="AU12" i="35"/>
  <c r="AU13" i="35"/>
  <c r="AU14" i="35"/>
  <c r="AU15" i="35"/>
  <c r="AU16" i="35"/>
  <c r="AU17" i="35"/>
  <c r="AU18" i="35"/>
  <c r="AU4" i="35"/>
  <c r="AU42" i="35"/>
  <c r="AU19" i="35"/>
  <c r="AU33" i="35"/>
  <c r="AU48" i="35"/>
  <c r="AU20" i="35"/>
  <c r="AU21" i="35"/>
  <c r="AU22" i="35"/>
  <c r="AU23" i="35"/>
  <c r="AU24" i="35"/>
  <c r="AU25" i="35"/>
  <c r="AU34" i="35"/>
  <c r="AU49" i="35"/>
  <c r="BR49" i="35" s="1"/>
  <c r="AU50" i="35"/>
  <c r="BR50" i="35" s="1"/>
  <c r="AU43" i="35"/>
  <c r="BR43" i="35" s="1"/>
  <c r="AU35" i="35"/>
  <c r="BR35" i="35" s="1"/>
  <c r="AU26" i="35"/>
  <c r="BR26" i="35" s="1"/>
  <c r="AU27" i="35"/>
  <c r="BR27" i="35" s="1"/>
  <c r="AU44" i="35"/>
  <c r="BR44" i="35" s="1"/>
  <c r="AU2" i="35"/>
  <c r="AT6" i="35"/>
  <c r="AT28" i="35"/>
  <c r="AT37" i="35"/>
  <c r="AT38" i="35"/>
  <c r="AT29" i="35"/>
  <c r="AT30" i="35"/>
  <c r="AT39" i="35"/>
  <c r="AT40" i="35"/>
  <c r="AT46" i="35"/>
  <c r="AT47" i="35"/>
  <c r="AT55" i="35"/>
  <c r="AT56" i="35"/>
  <c r="AT60" i="35"/>
  <c r="AT61" i="35"/>
  <c r="AT3" i="35"/>
  <c r="AT7" i="35"/>
  <c r="AT8" i="35"/>
  <c r="AT31" i="35"/>
  <c r="AT9" i="35"/>
  <c r="AT10" i="35"/>
  <c r="AT11" i="35"/>
  <c r="AT32" i="35"/>
  <c r="AT41" i="35"/>
  <c r="AT12" i="35"/>
  <c r="AT13" i="35"/>
  <c r="AT14" i="35"/>
  <c r="AT15" i="35"/>
  <c r="AT16" i="35"/>
  <c r="AT17" i="35"/>
  <c r="AT18" i="35"/>
  <c r="AT4" i="35"/>
  <c r="AT42" i="35"/>
  <c r="AT19" i="35"/>
  <c r="AT33" i="35"/>
  <c r="AT48" i="35"/>
  <c r="AT20" i="35"/>
  <c r="AT21" i="35"/>
  <c r="AT22" i="35"/>
  <c r="AT23" i="35"/>
  <c r="AT24" i="35"/>
  <c r="AT25" i="35"/>
  <c r="AT34" i="35"/>
  <c r="AT49" i="35"/>
  <c r="BQ49" i="35" s="1"/>
  <c r="AT50" i="35"/>
  <c r="BQ50" i="35" s="1"/>
  <c r="AT43" i="35"/>
  <c r="BQ43" i="35" s="1"/>
  <c r="AT35" i="35"/>
  <c r="BQ35" i="35" s="1"/>
  <c r="AT26" i="35"/>
  <c r="BQ26" i="35" s="1"/>
  <c r="AT27" i="35"/>
  <c r="BQ27" i="35" s="1"/>
  <c r="AT44" i="35"/>
  <c r="BQ44" i="35" s="1"/>
  <c r="AT2" i="35"/>
  <c r="AS6" i="35"/>
  <c r="AS28" i="35"/>
  <c r="AS37" i="35"/>
  <c r="AS38" i="35"/>
  <c r="AS29" i="35"/>
  <c r="AS30" i="35"/>
  <c r="AS39" i="35"/>
  <c r="AS40" i="35"/>
  <c r="AS46" i="35"/>
  <c r="AS47" i="35"/>
  <c r="AS55" i="35"/>
  <c r="AS56" i="35"/>
  <c r="AS60" i="35"/>
  <c r="AS61" i="35"/>
  <c r="AS3" i="35"/>
  <c r="AS7" i="35"/>
  <c r="AS8" i="35"/>
  <c r="AS31" i="35"/>
  <c r="AS9" i="35"/>
  <c r="AS10" i="35"/>
  <c r="AS11" i="35"/>
  <c r="AS32" i="35"/>
  <c r="AS41" i="35"/>
  <c r="AS12" i="35"/>
  <c r="AS13" i="35"/>
  <c r="AS14" i="35"/>
  <c r="AS15" i="35"/>
  <c r="AS16" i="35"/>
  <c r="AS17" i="35"/>
  <c r="AS18" i="35"/>
  <c r="AS4" i="35"/>
  <c r="AS42" i="35"/>
  <c r="AS19" i="35"/>
  <c r="AS33" i="35"/>
  <c r="AS48" i="35"/>
  <c r="AS20" i="35"/>
  <c r="AS21" i="35"/>
  <c r="AS22" i="35"/>
  <c r="AS23" i="35"/>
  <c r="AS24" i="35"/>
  <c r="AS25" i="35"/>
  <c r="AS34" i="35"/>
  <c r="AS49" i="35"/>
  <c r="BP49" i="35" s="1"/>
  <c r="AS50" i="35"/>
  <c r="BP50" i="35" s="1"/>
  <c r="AS43" i="35"/>
  <c r="BP43" i="35" s="1"/>
  <c r="AS35" i="35"/>
  <c r="BP35" i="35" s="1"/>
  <c r="AS26" i="35"/>
  <c r="BP26" i="35" s="1"/>
  <c r="AS27" i="35"/>
  <c r="BP27" i="35" s="1"/>
  <c r="AS44" i="35"/>
  <c r="BP44" i="35" s="1"/>
  <c r="AS2" i="35"/>
  <c r="AR6" i="35"/>
  <c r="AR28" i="35"/>
  <c r="AR37" i="35"/>
  <c r="AR38" i="35"/>
  <c r="AR29" i="35"/>
  <c r="AR30" i="35"/>
  <c r="AR39" i="35"/>
  <c r="AR40" i="35"/>
  <c r="AR46" i="35"/>
  <c r="AR47" i="35"/>
  <c r="AR55" i="35"/>
  <c r="AR56" i="35"/>
  <c r="AR60" i="35"/>
  <c r="AR61" i="35"/>
  <c r="AR3" i="35"/>
  <c r="AR7" i="35"/>
  <c r="AR8" i="35"/>
  <c r="AR31" i="35"/>
  <c r="AR9" i="35"/>
  <c r="AR10" i="35"/>
  <c r="AR11" i="35"/>
  <c r="AR32" i="35"/>
  <c r="AR41" i="35"/>
  <c r="AR12" i="35"/>
  <c r="AR13" i="35"/>
  <c r="AR14" i="35"/>
  <c r="AR15" i="35"/>
  <c r="AR16" i="35"/>
  <c r="AR17" i="35"/>
  <c r="AR18" i="35"/>
  <c r="AR4" i="35"/>
  <c r="AR42" i="35"/>
  <c r="AR19" i="35"/>
  <c r="AR33" i="35"/>
  <c r="AR48" i="35"/>
  <c r="AR20" i="35"/>
  <c r="AR21" i="35"/>
  <c r="AR22" i="35"/>
  <c r="AR23" i="35"/>
  <c r="AR24" i="35"/>
  <c r="AR25" i="35"/>
  <c r="AR34" i="35"/>
  <c r="AR49" i="35"/>
  <c r="BO49" i="35" s="1"/>
  <c r="AR50" i="35"/>
  <c r="BO50" i="35" s="1"/>
  <c r="AR43" i="35"/>
  <c r="BO43" i="35" s="1"/>
  <c r="AR35" i="35"/>
  <c r="BO35" i="35" s="1"/>
  <c r="AR26" i="35"/>
  <c r="BO26" i="35" s="1"/>
  <c r="AR27" i="35"/>
  <c r="BO27" i="35" s="1"/>
  <c r="AR44" i="35"/>
  <c r="BO44" i="35" s="1"/>
  <c r="AR2" i="35"/>
  <c r="AP6" i="35"/>
  <c r="AP28" i="35"/>
  <c r="AP37" i="35"/>
  <c r="AP38" i="35"/>
  <c r="AP29" i="35"/>
  <c r="AP30" i="35"/>
  <c r="AP39" i="35"/>
  <c r="AP40" i="35"/>
  <c r="AP46" i="35"/>
  <c r="AP47" i="35"/>
  <c r="AP55" i="35"/>
  <c r="AP56" i="35"/>
  <c r="AP60" i="35"/>
  <c r="AP61" i="35"/>
  <c r="AP3" i="35"/>
  <c r="AP7" i="35"/>
  <c r="AP8" i="35"/>
  <c r="AP31" i="35"/>
  <c r="AP9" i="35"/>
  <c r="AP10" i="35"/>
  <c r="AP11" i="35"/>
  <c r="AP32" i="35"/>
  <c r="AP41" i="35"/>
  <c r="AP12" i="35"/>
  <c r="AP13" i="35"/>
  <c r="AP14" i="35"/>
  <c r="AP15" i="35"/>
  <c r="AP16" i="35"/>
  <c r="AP17" i="35"/>
  <c r="AP18" i="35"/>
  <c r="AP4" i="35"/>
  <c r="AP42" i="35"/>
  <c r="AP19" i="35"/>
  <c r="AP33" i="35"/>
  <c r="AP48" i="35"/>
  <c r="AP20" i="35"/>
  <c r="AP21" i="35"/>
  <c r="AP22" i="35"/>
  <c r="AP23" i="35"/>
  <c r="AP24" i="35"/>
  <c r="AP25" i="35"/>
  <c r="AP34" i="35"/>
  <c r="AP49" i="35"/>
  <c r="BM49" i="35" s="1"/>
  <c r="AP50" i="35"/>
  <c r="BM50" i="35" s="1"/>
  <c r="AP43" i="35"/>
  <c r="BM43" i="35" s="1"/>
  <c r="AP35" i="35"/>
  <c r="BM35" i="35" s="1"/>
  <c r="AP26" i="35"/>
  <c r="BM26" i="35" s="1"/>
  <c r="AP27" i="35"/>
  <c r="BM27" i="35" s="1"/>
  <c r="AP44" i="35"/>
  <c r="BM44" i="35" s="1"/>
  <c r="AP2" i="35"/>
  <c r="AO2" i="35"/>
  <c r="AO6" i="35"/>
  <c r="AO28" i="35"/>
  <c r="AO37" i="35"/>
  <c r="AO38" i="35"/>
  <c r="AO29" i="35"/>
  <c r="AO30" i="35"/>
  <c r="AO39" i="35"/>
  <c r="AO40" i="35"/>
  <c r="AO46" i="35"/>
  <c r="AO47" i="35"/>
  <c r="AO55" i="35"/>
  <c r="AO56" i="35"/>
  <c r="AO60" i="35"/>
  <c r="AO61" i="35"/>
  <c r="AO3" i="35"/>
  <c r="AO7" i="35"/>
  <c r="AO8" i="35"/>
  <c r="AO31" i="35"/>
  <c r="AO9" i="35"/>
  <c r="AO10" i="35"/>
  <c r="AO11" i="35"/>
  <c r="AO32" i="35"/>
  <c r="AO41" i="35"/>
  <c r="AO12" i="35"/>
  <c r="AO13" i="35"/>
  <c r="AO14" i="35"/>
  <c r="AO15" i="35"/>
  <c r="AO16" i="35"/>
  <c r="AO17" i="35"/>
  <c r="AO18" i="35"/>
  <c r="AO4" i="35"/>
  <c r="AO42" i="35"/>
  <c r="AO19" i="35"/>
  <c r="AO33" i="35"/>
  <c r="AO48" i="35"/>
  <c r="AO20" i="35"/>
  <c r="AO21" i="35"/>
  <c r="AO22" i="35"/>
  <c r="AO23" i="35"/>
  <c r="AO24" i="35"/>
  <c r="AO25" i="35"/>
  <c r="AO34" i="35"/>
  <c r="AO49" i="35"/>
  <c r="BL49" i="35" s="1"/>
  <c r="AO50" i="35"/>
  <c r="BL50" i="35" s="1"/>
  <c r="AO43" i="35"/>
  <c r="BL43" i="35" s="1"/>
  <c r="AO35" i="35"/>
  <c r="BL35" i="35" s="1"/>
  <c r="AO26" i="35"/>
  <c r="BL26" i="35" s="1"/>
  <c r="AO27" i="35"/>
  <c r="BL27" i="35" s="1"/>
  <c r="AO44" i="35"/>
  <c r="BL44" i="35" s="1"/>
  <c r="AN2" i="35"/>
  <c r="AN6" i="35"/>
  <c r="AN28" i="35"/>
  <c r="AN37" i="35"/>
  <c r="AN38" i="35"/>
  <c r="AN29" i="35"/>
  <c r="AN30" i="35"/>
  <c r="AN39" i="35"/>
  <c r="AN40" i="35"/>
  <c r="AN46" i="35"/>
  <c r="AN47" i="35"/>
  <c r="AN55" i="35"/>
  <c r="AN56" i="35"/>
  <c r="AN60" i="35"/>
  <c r="AN61" i="35"/>
  <c r="AN3" i="35"/>
  <c r="AN7" i="35"/>
  <c r="AN8" i="35"/>
  <c r="AN31" i="35"/>
  <c r="AN9" i="35"/>
  <c r="AN10" i="35"/>
  <c r="AN11" i="35"/>
  <c r="AN32" i="35"/>
  <c r="AN41" i="35"/>
  <c r="AN12" i="35"/>
  <c r="AN13" i="35"/>
  <c r="AN14" i="35"/>
  <c r="AN15" i="35"/>
  <c r="AN16" i="35"/>
  <c r="AN17" i="35"/>
  <c r="AN18" i="35"/>
  <c r="AN4" i="35"/>
  <c r="AN42" i="35"/>
  <c r="AN19" i="35"/>
  <c r="AN33" i="35"/>
  <c r="AN48" i="35"/>
  <c r="AN20" i="35"/>
  <c r="AN21" i="35"/>
  <c r="AN22" i="35"/>
  <c r="AN23" i="35"/>
  <c r="AN24" i="35"/>
  <c r="AN25" i="35"/>
  <c r="AN34" i="35"/>
  <c r="AN49" i="35"/>
  <c r="BK49" i="35" s="1"/>
  <c r="AN50" i="35"/>
  <c r="BK50" i="35" s="1"/>
  <c r="AN43" i="35"/>
  <c r="BK43" i="35" s="1"/>
  <c r="AN35" i="35"/>
  <c r="BK35" i="35" s="1"/>
  <c r="AN26" i="35"/>
  <c r="BK26" i="35" s="1"/>
  <c r="AN27" i="35"/>
  <c r="BK27" i="35" s="1"/>
  <c r="AN44" i="35"/>
  <c r="BK44" i="35" s="1"/>
  <c r="AM2" i="35"/>
  <c r="AM6" i="35"/>
  <c r="AM28" i="35"/>
  <c r="AM37" i="35"/>
  <c r="AM38" i="35"/>
  <c r="AM29" i="35"/>
  <c r="AM30" i="35"/>
  <c r="AM39" i="35"/>
  <c r="AM40" i="35"/>
  <c r="AM46" i="35"/>
  <c r="AM47" i="35"/>
  <c r="AM55" i="35"/>
  <c r="AM56" i="35"/>
  <c r="AM60" i="35"/>
  <c r="AM61" i="35"/>
  <c r="AM3" i="35"/>
  <c r="AM7" i="35"/>
  <c r="AM8" i="35"/>
  <c r="AM31" i="35"/>
  <c r="AM9" i="35"/>
  <c r="AM10" i="35"/>
  <c r="AM11" i="35"/>
  <c r="AM32" i="35"/>
  <c r="AM41" i="35"/>
  <c r="AM12" i="35"/>
  <c r="AM13" i="35"/>
  <c r="AM14" i="35"/>
  <c r="AM15" i="35"/>
  <c r="AM16" i="35"/>
  <c r="AM17" i="35"/>
  <c r="AM18" i="35"/>
  <c r="AM4" i="35"/>
  <c r="AM42" i="35"/>
  <c r="AM19" i="35"/>
  <c r="AM33" i="35"/>
  <c r="AM48" i="35"/>
  <c r="AM20" i="35"/>
  <c r="AM21" i="35"/>
  <c r="AM22" i="35"/>
  <c r="AM23" i="35"/>
  <c r="AM24" i="35"/>
  <c r="AM25" i="35"/>
  <c r="AM34" i="35"/>
  <c r="AM49" i="35"/>
  <c r="BJ49" i="35" s="1"/>
  <c r="AM50" i="35"/>
  <c r="BJ50" i="35" s="1"/>
  <c r="AM43" i="35"/>
  <c r="BJ43" i="35" s="1"/>
  <c r="AM35" i="35"/>
  <c r="BJ35" i="35" s="1"/>
  <c r="AM26" i="35"/>
  <c r="BJ26" i="35" s="1"/>
  <c r="AM27" i="35"/>
  <c r="BJ27" i="35" s="1"/>
  <c r="AM44" i="35"/>
  <c r="BJ44" i="35" s="1"/>
  <c r="AL2" i="35"/>
  <c r="AL6" i="35"/>
  <c r="AL28" i="35"/>
  <c r="AL37" i="35"/>
  <c r="AL38" i="35"/>
  <c r="AL29" i="35"/>
  <c r="AL30" i="35"/>
  <c r="AL39" i="35"/>
  <c r="AL40" i="35"/>
  <c r="AL46" i="35"/>
  <c r="AL47" i="35"/>
  <c r="AL55" i="35"/>
  <c r="AL56" i="35"/>
  <c r="AL60" i="35"/>
  <c r="AL61" i="35"/>
  <c r="AL3" i="35"/>
  <c r="AL7" i="35"/>
  <c r="AL8" i="35"/>
  <c r="AL31" i="35"/>
  <c r="AL9" i="35"/>
  <c r="AL10" i="35"/>
  <c r="AL11" i="35"/>
  <c r="AL32" i="35"/>
  <c r="AL41" i="35"/>
  <c r="AL12" i="35"/>
  <c r="AL13" i="35"/>
  <c r="AL14" i="35"/>
  <c r="AL15" i="35"/>
  <c r="AL16" i="35"/>
  <c r="AL17" i="35"/>
  <c r="AL18" i="35"/>
  <c r="AL4" i="35"/>
  <c r="AL42" i="35"/>
  <c r="AL19" i="35"/>
  <c r="AL33" i="35"/>
  <c r="AL48" i="35"/>
  <c r="AL20" i="35"/>
  <c r="AL21" i="35"/>
  <c r="AL22" i="35"/>
  <c r="AL23" i="35"/>
  <c r="AL24" i="35"/>
  <c r="AL25" i="35"/>
  <c r="AL34" i="35"/>
  <c r="AL49" i="35"/>
  <c r="BI49" i="35" s="1"/>
  <c r="AL50" i="35"/>
  <c r="BI50" i="35" s="1"/>
  <c r="AL43" i="35"/>
  <c r="BI43" i="35" s="1"/>
  <c r="AL35" i="35"/>
  <c r="BI35" i="35" s="1"/>
  <c r="AL26" i="35"/>
  <c r="BI26" i="35" s="1"/>
  <c r="AL27" i="35"/>
  <c r="BI27" i="35" s="1"/>
  <c r="AL44" i="35"/>
  <c r="BI44" i="35" s="1"/>
  <c r="AJ6" i="35"/>
  <c r="AJ28" i="35"/>
  <c r="AJ37" i="35"/>
  <c r="AJ38" i="35"/>
  <c r="AJ29" i="35"/>
  <c r="AJ30" i="35"/>
  <c r="AJ39" i="35"/>
  <c r="AJ40" i="35"/>
  <c r="AJ46" i="35"/>
  <c r="AJ47" i="35"/>
  <c r="AJ55" i="35"/>
  <c r="AJ56" i="35"/>
  <c r="AJ60" i="35"/>
  <c r="AJ61" i="35"/>
  <c r="AJ3" i="35"/>
  <c r="AJ7" i="35"/>
  <c r="AJ8" i="35"/>
  <c r="AJ31" i="35"/>
  <c r="AJ9" i="35"/>
  <c r="AJ10" i="35"/>
  <c r="AJ11" i="35"/>
  <c r="AJ32" i="35"/>
  <c r="AJ41" i="35"/>
  <c r="AJ12" i="35"/>
  <c r="AJ13" i="35"/>
  <c r="AJ14" i="35"/>
  <c r="AJ15" i="35"/>
  <c r="AJ16" i="35"/>
  <c r="AJ17" i="35"/>
  <c r="AJ18" i="35"/>
  <c r="AJ4" i="35"/>
  <c r="AJ42" i="35"/>
  <c r="AJ19" i="35"/>
  <c r="AJ33" i="35"/>
  <c r="AJ48" i="35"/>
  <c r="AJ20" i="35"/>
  <c r="AJ21" i="35"/>
  <c r="AJ22" i="35"/>
  <c r="AJ23" i="35"/>
  <c r="AJ24" i="35"/>
  <c r="AJ25" i="35"/>
  <c r="AJ34" i="35"/>
  <c r="AJ49" i="35"/>
  <c r="BG49" i="35" s="1"/>
  <c r="AJ50" i="35"/>
  <c r="BG50" i="35" s="1"/>
  <c r="AJ43" i="35"/>
  <c r="BG43" i="35" s="1"/>
  <c r="AJ35" i="35"/>
  <c r="BG35" i="35" s="1"/>
  <c r="AJ26" i="35"/>
  <c r="BG26" i="35" s="1"/>
  <c r="AJ27" i="35"/>
  <c r="BG27" i="35" s="1"/>
  <c r="AJ44" i="35"/>
  <c r="BG44" i="35" s="1"/>
  <c r="AJ2" i="35"/>
  <c r="AI6" i="35"/>
  <c r="AI28" i="35"/>
  <c r="AI37" i="35"/>
  <c r="AI38" i="35"/>
  <c r="AI29" i="35"/>
  <c r="AI30" i="35"/>
  <c r="AI39" i="35"/>
  <c r="AI40" i="35"/>
  <c r="AI46" i="35"/>
  <c r="AI47" i="35"/>
  <c r="AI55" i="35"/>
  <c r="AI56" i="35"/>
  <c r="AI60" i="35"/>
  <c r="AI61" i="35"/>
  <c r="AI3" i="35"/>
  <c r="AI7" i="35"/>
  <c r="AI8" i="35"/>
  <c r="AI31" i="35"/>
  <c r="AI9" i="35"/>
  <c r="AI10" i="35"/>
  <c r="AI11" i="35"/>
  <c r="AI32" i="35"/>
  <c r="AI41" i="35"/>
  <c r="AI12" i="35"/>
  <c r="AI13" i="35"/>
  <c r="AI14" i="35"/>
  <c r="AI15" i="35"/>
  <c r="AI16" i="35"/>
  <c r="AI17" i="35"/>
  <c r="AI18" i="35"/>
  <c r="AI4" i="35"/>
  <c r="AI42" i="35"/>
  <c r="AI19" i="35"/>
  <c r="AI33" i="35"/>
  <c r="AI48" i="35"/>
  <c r="AI20" i="35"/>
  <c r="AI21" i="35"/>
  <c r="AI22" i="35"/>
  <c r="AI23" i="35"/>
  <c r="AI24" i="35"/>
  <c r="AI25" i="35"/>
  <c r="AI34" i="35"/>
  <c r="AI49" i="35"/>
  <c r="BF49" i="35" s="1"/>
  <c r="AI50" i="35"/>
  <c r="BF50" i="35" s="1"/>
  <c r="AI43" i="35"/>
  <c r="BF43" i="35" s="1"/>
  <c r="AI35" i="35"/>
  <c r="BF35" i="35" s="1"/>
  <c r="AI26" i="35"/>
  <c r="BF26" i="35" s="1"/>
  <c r="AI27" i="35"/>
  <c r="BF27" i="35" s="1"/>
  <c r="AI44" i="35"/>
  <c r="BF44" i="35" s="1"/>
  <c r="AI2" i="35"/>
  <c r="AH2" i="35"/>
  <c r="AH6" i="35"/>
  <c r="AH28" i="35"/>
  <c r="AH37" i="35"/>
  <c r="AH38" i="35"/>
  <c r="AH29" i="35"/>
  <c r="AH30" i="35"/>
  <c r="AH39" i="35"/>
  <c r="AH40" i="35"/>
  <c r="AH46" i="35"/>
  <c r="AH47" i="35"/>
  <c r="AH55" i="35"/>
  <c r="AH56" i="35"/>
  <c r="AH60" i="35"/>
  <c r="AH61" i="35"/>
  <c r="AH3" i="35"/>
  <c r="AH7" i="35"/>
  <c r="AH8" i="35"/>
  <c r="AH31" i="35"/>
  <c r="AH9" i="35"/>
  <c r="AH10" i="35"/>
  <c r="AH11" i="35"/>
  <c r="AH32" i="35"/>
  <c r="AH41" i="35"/>
  <c r="AH12" i="35"/>
  <c r="AH13" i="35"/>
  <c r="AH14" i="35"/>
  <c r="AH15" i="35"/>
  <c r="AH16" i="35"/>
  <c r="AH17" i="35"/>
  <c r="AH18" i="35"/>
  <c r="AH4" i="35"/>
  <c r="AH42" i="35"/>
  <c r="AH19" i="35"/>
  <c r="AH33" i="35"/>
  <c r="AH48" i="35"/>
  <c r="AH20" i="35"/>
  <c r="AH21" i="35"/>
  <c r="AH22" i="35"/>
  <c r="AH23" i="35"/>
  <c r="AH24" i="35"/>
  <c r="AH25" i="35"/>
  <c r="AH34" i="35"/>
  <c r="AH49" i="35"/>
  <c r="BE49" i="35" s="1"/>
  <c r="AH50" i="35"/>
  <c r="BE50" i="35" s="1"/>
  <c r="AH43" i="35"/>
  <c r="BE43" i="35" s="1"/>
  <c r="AH35" i="35"/>
  <c r="BE35" i="35" s="1"/>
  <c r="AH26" i="35"/>
  <c r="BE26" i="35" s="1"/>
  <c r="AH27" i="35"/>
  <c r="BE27" i="35" s="1"/>
  <c r="AH44" i="35"/>
  <c r="BE44" i="35" s="1"/>
  <c r="AG2" i="35"/>
  <c r="AG6" i="35"/>
  <c r="AG28" i="35"/>
  <c r="AG37" i="35"/>
  <c r="AG38" i="35"/>
  <c r="AG29" i="35"/>
  <c r="AG30" i="35"/>
  <c r="AG39" i="35"/>
  <c r="AG40" i="35"/>
  <c r="AG46" i="35"/>
  <c r="AG47" i="35"/>
  <c r="AG55" i="35"/>
  <c r="AG56" i="35"/>
  <c r="AG60" i="35"/>
  <c r="AG61" i="35"/>
  <c r="AG3" i="35"/>
  <c r="AG7" i="35"/>
  <c r="AG8" i="35"/>
  <c r="AG31" i="35"/>
  <c r="AG9" i="35"/>
  <c r="AG10" i="35"/>
  <c r="AG11" i="35"/>
  <c r="AG32" i="35"/>
  <c r="AG41" i="35"/>
  <c r="AG12" i="35"/>
  <c r="AG13" i="35"/>
  <c r="AG14" i="35"/>
  <c r="AG15" i="35"/>
  <c r="AG16" i="35"/>
  <c r="AG17" i="35"/>
  <c r="AG18" i="35"/>
  <c r="AG4" i="35"/>
  <c r="AG42" i="35"/>
  <c r="AG19" i="35"/>
  <c r="AG33" i="35"/>
  <c r="AG48" i="35"/>
  <c r="AG20" i="35"/>
  <c r="AG21" i="35"/>
  <c r="AG22" i="35"/>
  <c r="AG23" i="35"/>
  <c r="AG24" i="35"/>
  <c r="AG25" i="35"/>
  <c r="AG34" i="35"/>
  <c r="AG49" i="35"/>
  <c r="BD49" i="35" s="1"/>
  <c r="AG50" i="35"/>
  <c r="BD50" i="35" s="1"/>
  <c r="AG43" i="35"/>
  <c r="BD43" i="35" s="1"/>
  <c r="AG35" i="35"/>
  <c r="BD35" i="35" s="1"/>
  <c r="AG26" i="35"/>
  <c r="BD26" i="35" s="1"/>
  <c r="AG27" i="35"/>
  <c r="BD27" i="35" s="1"/>
  <c r="AG44" i="35"/>
  <c r="BD44" i="35" s="1"/>
  <c r="AF6" i="35"/>
  <c r="AF28" i="35"/>
  <c r="AF37" i="35"/>
  <c r="AF38" i="35"/>
  <c r="AF29" i="35"/>
  <c r="AF30" i="35"/>
  <c r="AF39" i="35"/>
  <c r="AF40" i="35"/>
  <c r="AF46" i="35"/>
  <c r="AF47" i="35"/>
  <c r="AF55" i="35"/>
  <c r="AF56" i="35"/>
  <c r="AF60" i="35"/>
  <c r="AF61" i="35"/>
  <c r="AF3" i="35"/>
  <c r="AF7" i="35"/>
  <c r="AF8" i="35"/>
  <c r="AF31" i="35"/>
  <c r="AF9" i="35"/>
  <c r="AF10" i="35"/>
  <c r="AF11" i="35"/>
  <c r="AF32" i="35"/>
  <c r="AF41" i="35"/>
  <c r="AF12" i="35"/>
  <c r="AF13" i="35"/>
  <c r="AF14" i="35"/>
  <c r="AF15" i="35"/>
  <c r="AF16" i="35"/>
  <c r="AF17" i="35"/>
  <c r="AF18" i="35"/>
  <c r="AF4" i="35"/>
  <c r="AF42" i="35"/>
  <c r="AF19" i="35"/>
  <c r="AF33" i="35"/>
  <c r="AF48" i="35"/>
  <c r="AF20" i="35"/>
  <c r="AF21" i="35"/>
  <c r="AF22" i="35"/>
  <c r="AF23" i="35"/>
  <c r="AF24" i="35"/>
  <c r="AF25" i="35"/>
  <c r="AF34" i="35"/>
  <c r="AF49" i="35"/>
  <c r="BC49" i="35" s="1"/>
  <c r="AF50" i="35"/>
  <c r="BC50" i="35" s="1"/>
  <c r="AF43" i="35"/>
  <c r="BC43" i="35" s="1"/>
  <c r="AF35" i="35"/>
  <c r="BC35" i="35" s="1"/>
  <c r="AF26" i="35"/>
  <c r="BC26" i="35" s="1"/>
  <c r="AF27" i="35"/>
  <c r="BC27" i="35" s="1"/>
  <c r="AF44" i="35"/>
  <c r="BC44" i="35" s="1"/>
  <c r="AF2" i="35"/>
  <c r="AE6" i="35"/>
  <c r="AE28" i="35"/>
  <c r="AE37" i="35"/>
  <c r="AE38" i="35"/>
  <c r="AE29" i="35"/>
  <c r="AE30" i="35"/>
  <c r="AE39" i="35"/>
  <c r="AE40" i="35"/>
  <c r="AE46" i="35"/>
  <c r="AE47" i="35"/>
  <c r="AE55" i="35"/>
  <c r="AE56" i="35"/>
  <c r="AE60" i="35"/>
  <c r="AE61" i="35"/>
  <c r="AE3" i="35"/>
  <c r="AE7" i="35"/>
  <c r="AE8" i="35"/>
  <c r="AE31" i="35"/>
  <c r="AE9" i="35"/>
  <c r="AE10" i="35"/>
  <c r="AE11" i="35"/>
  <c r="AE32" i="35"/>
  <c r="AE41" i="35"/>
  <c r="AE12" i="35"/>
  <c r="AE13" i="35"/>
  <c r="AE14" i="35"/>
  <c r="AE15" i="35"/>
  <c r="AE16" i="35"/>
  <c r="AE17" i="35"/>
  <c r="AE18" i="35"/>
  <c r="AE4" i="35"/>
  <c r="AE42" i="35"/>
  <c r="AE19" i="35"/>
  <c r="AE33" i="35"/>
  <c r="AE48" i="35"/>
  <c r="AE20" i="35"/>
  <c r="AE21" i="35"/>
  <c r="AE22" i="35"/>
  <c r="AE23" i="35"/>
  <c r="AE24" i="35"/>
  <c r="AE25" i="35"/>
  <c r="AE34" i="35"/>
  <c r="AE49" i="35"/>
  <c r="BB49" i="35" s="1"/>
  <c r="AE50" i="35"/>
  <c r="BB50" i="35" s="1"/>
  <c r="AE43" i="35"/>
  <c r="BB43" i="35" s="1"/>
  <c r="AE35" i="35"/>
  <c r="BB35" i="35" s="1"/>
  <c r="AE26" i="35"/>
  <c r="BB26" i="35" s="1"/>
  <c r="AE27" i="35"/>
  <c r="BB27" i="35" s="1"/>
  <c r="AE44" i="35"/>
  <c r="BB44" i="35" s="1"/>
  <c r="AE2" i="35"/>
  <c r="AD6" i="35"/>
  <c r="AD28" i="35"/>
  <c r="AD37" i="35"/>
  <c r="AD38" i="35"/>
  <c r="AD29" i="35"/>
  <c r="AD30" i="35"/>
  <c r="AD39" i="35"/>
  <c r="AD40" i="35"/>
  <c r="AD46" i="35"/>
  <c r="AD47" i="35"/>
  <c r="AD55" i="35"/>
  <c r="AD56" i="35"/>
  <c r="AD60" i="35"/>
  <c r="AD61" i="35"/>
  <c r="AD3" i="35"/>
  <c r="AD7" i="35"/>
  <c r="AD8" i="35"/>
  <c r="AD31" i="35"/>
  <c r="AD9" i="35"/>
  <c r="AD10" i="35"/>
  <c r="AD11" i="35"/>
  <c r="AD32" i="35"/>
  <c r="AD41" i="35"/>
  <c r="AD12" i="35"/>
  <c r="AD13" i="35"/>
  <c r="AD14" i="35"/>
  <c r="AD15" i="35"/>
  <c r="AD16" i="35"/>
  <c r="AD17" i="35"/>
  <c r="AD18" i="35"/>
  <c r="AD4" i="35"/>
  <c r="AD42" i="35"/>
  <c r="AD19" i="35"/>
  <c r="AD33" i="35"/>
  <c r="AD48" i="35"/>
  <c r="AD20" i="35"/>
  <c r="AD21" i="35"/>
  <c r="AD22" i="35"/>
  <c r="AD23" i="35"/>
  <c r="AD24" i="35"/>
  <c r="AD25" i="35"/>
  <c r="AD34" i="35"/>
  <c r="AD49" i="35"/>
  <c r="BA49" i="35" s="1"/>
  <c r="AD50" i="35"/>
  <c r="BA50" i="35" s="1"/>
  <c r="AD43" i="35"/>
  <c r="BA43" i="35" s="1"/>
  <c r="AD35" i="35"/>
  <c r="BA35" i="35" s="1"/>
  <c r="AD26" i="35"/>
  <c r="BA26" i="35" s="1"/>
  <c r="AD27" i="35"/>
  <c r="BA27" i="35" s="1"/>
  <c r="AD44" i="35"/>
  <c r="BA44" i="35" s="1"/>
  <c r="AD2" i="35"/>
  <c r="AC6" i="35"/>
  <c r="AC28" i="35"/>
  <c r="AC37" i="35"/>
  <c r="AC38" i="35"/>
  <c r="AC29" i="35"/>
  <c r="AC30" i="35"/>
  <c r="AC39" i="35"/>
  <c r="AC40" i="35"/>
  <c r="AC46" i="35"/>
  <c r="AC47" i="35"/>
  <c r="AC55" i="35"/>
  <c r="AC56" i="35"/>
  <c r="AC60" i="35"/>
  <c r="AC61" i="35"/>
  <c r="AC3" i="35"/>
  <c r="AC7" i="35"/>
  <c r="AC8" i="35"/>
  <c r="AC31" i="35"/>
  <c r="AC9" i="35"/>
  <c r="AC10" i="35"/>
  <c r="AC11" i="35"/>
  <c r="AC32" i="35"/>
  <c r="AC41" i="35"/>
  <c r="AC12" i="35"/>
  <c r="AC13" i="35"/>
  <c r="AC14" i="35"/>
  <c r="AC15" i="35"/>
  <c r="AC16" i="35"/>
  <c r="AC17" i="35"/>
  <c r="AC18" i="35"/>
  <c r="AC4" i="35"/>
  <c r="AC42" i="35"/>
  <c r="AC19" i="35"/>
  <c r="AC33" i="35"/>
  <c r="AC48" i="35"/>
  <c r="AC20" i="35"/>
  <c r="AC21" i="35"/>
  <c r="AC22" i="35"/>
  <c r="AC23" i="35"/>
  <c r="AC24" i="35"/>
  <c r="AC25" i="35"/>
  <c r="AC34" i="35"/>
  <c r="AC49" i="35"/>
  <c r="AZ49" i="35" s="1"/>
  <c r="AC50" i="35"/>
  <c r="AZ50" i="35" s="1"/>
  <c r="AC43" i="35"/>
  <c r="AZ43" i="35" s="1"/>
  <c r="AC35" i="35"/>
  <c r="AZ35" i="35" s="1"/>
  <c r="AC26" i="35"/>
  <c r="AZ26" i="35" s="1"/>
  <c r="AC27" i="35"/>
  <c r="AZ27" i="35" s="1"/>
  <c r="AC44" i="35"/>
  <c r="AZ44" i="35" s="1"/>
  <c r="AC2" i="35"/>
  <c r="AB6" i="35"/>
  <c r="AB28" i="35"/>
  <c r="AB37" i="35"/>
  <c r="AB38" i="35"/>
  <c r="AB29" i="35"/>
  <c r="AB30" i="35"/>
  <c r="AB39" i="35"/>
  <c r="AB40" i="35"/>
  <c r="AB46" i="35"/>
  <c r="AB47" i="35"/>
  <c r="AB55" i="35"/>
  <c r="AB56" i="35"/>
  <c r="AB60" i="35"/>
  <c r="AB61" i="35"/>
  <c r="AB3" i="35"/>
  <c r="AB7" i="35"/>
  <c r="AB8" i="35"/>
  <c r="AB31" i="35"/>
  <c r="AB9" i="35"/>
  <c r="AB10" i="35"/>
  <c r="AB11" i="35"/>
  <c r="AB32" i="35"/>
  <c r="AB41" i="35"/>
  <c r="AB12" i="35"/>
  <c r="AB13" i="35"/>
  <c r="AB14" i="35"/>
  <c r="AB15" i="35"/>
  <c r="AB16" i="35"/>
  <c r="AB17" i="35"/>
  <c r="AB18" i="35"/>
  <c r="AB4" i="35"/>
  <c r="AB42" i="35"/>
  <c r="AB19" i="35"/>
  <c r="AB33" i="35"/>
  <c r="AB48" i="35"/>
  <c r="AB20" i="35"/>
  <c r="AB21" i="35"/>
  <c r="AB22" i="35"/>
  <c r="AB23" i="35"/>
  <c r="AB24" i="35"/>
  <c r="AB25" i="35"/>
  <c r="AB34" i="35"/>
  <c r="AB49" i="35"/>
  <c r="AY49" i="35" s="1"/>
  <c r="AB50" i="35"/>
  <c r="AY50" i="35" s="1"/>
  <c r="AB43" i="35"/>
  <c r="AY43" i="35" s="1"/>
  <c r="AB35" i="35"/>
  <c r="AY35" i="35" s="1"/>
  <c r="AB26" i="35"/>
  <c r="AY26" i="35" s="1"/>
  <c r="AB27" i="35"/>
  <c r="AY27" i="35" s="1"/>
  <c r="AB44" i="35"/>
  <c r="AY44" i="35" s="1"/>
  <c r="AB2" i="35"/>
  <c r="AA6" i="35"/>
  <c r="AA28" i="35"/>
  <c r="AA37" i="35"/>
  <c r="AA38" i="35"/>
  <c r="AA29" i="35"/>
  <c r="AA30" i="35"/>
  <c r="AA39" i="35"/>
  <c r="AA40" i="35"/>
  <c r="AA46" i="35"/>
  <c r="AA47" i="35"/>
  <c r="AA55" i="35"/>
  <c r="AA56" i="35"/>
  <c r="AA60" i="35"/>
  <c r="AA61" i="35"/>
  <c r="AA3" i="35"/>
  <c r="AA7" i="35"/>
  <c r="AA8" i="35"/>
  <c r="AA31" i="35"/>
  <c r="AA9" i="35"/>
  <c r="AA10" i="35"/>
  <c r="AA11" i="35"/>
  <c r="AA32" i="35"/>
  <c r="AA41" i="35"/>
  <c r="AA12" i="35"/>
  <c r="AA13" i="35"/>
  <c r="AA14" i="35"/>
  <c r="AA15" i="35"/>
  <c r="AA16" i="35"/>
  <c r="AA17" i="35"/>
  <c r="AA18" i="35"/>
  <c r="AA4" i="35"/>
  <c r="AA42" i="35"/>
  <c r="AA19" i="35"/>
  <c r="AA33" i="35"/>
  <c r="AA48" i="35"/>
  <c r="AA20" i="35"/>
  <c r="AA21" i="35"/>
  <c r="AA22" i="35"/>
  <c r="AA23" i="35"/>
  <c r="AA24" i="35"/>
  <c r="AA25" i="35"/>
  <c r="AA34" i="35"/>
  <c r="AA49" i="35"/>
  <c r="AX49" i="35" s="1"/>
  <c r="AA50" i="35"/>
  <c r="AX50" i="35" s="1"/>
  <c r="AA43" i="35"/>
  <c r="AX43" i="35" s="1"/>
  <c r="AA35" i="35"/>
  <c r="AX35" i="35" s="1"/>
  <c r="AA26" i="35"/>
  <c r="AX26" i="35" s="1"/>
  <c r="AA27" i="35"/>
  <c r="AX27" i="35" s="1"/>
  <c r="AA44" i="35"/>
  <c r="AX44" i="35" s="1"/>
  <c r="AA2" i="35"/>
  <c r="Z2" i="35"/>
  <c r="AK2" i="35"/>
  <c r="AQ2" i="35"/>
  <c r="AK6" i="35"/>
  <c r="AQ6" i="35"/>
  <c r="AK28" i="35"/>
  <c r="AQ28" i="35"/>
  <c r="AK37" i="35"/>
  <c r="AQ37" i="35"/>
  <c r="AK38" i="35"/>
  <c r="AQ38" i="35"/>
  <c r="AK29" i="35"/>
  <c r="AQ29" i="35"/>
  <c r="AK30" i="35"/>
  <c r="AQ30" i="35"/>
  <c r="AK39" i="35"/>
  <c r="AQ39" i="35"/>
  <c r="AK40" i="35"/>
  <c r="AQ40" i="35"/>
  <c r="AK46" i="35"/>
  <c r="AQ46" i="35"/>
  <c r="AK47" i="35"/>
  <c r="AQ47" i="35"/>
  <c r="AK55" i="35"/>
  <c r="AQ55" i="35"/>
  <c r="AK56" i="35"/>
  <c r="AQ56" i="35"/>
  <c r="AK60" i="35"/>
  <c r="AQ60" i="35"/>
  <c r="AK61" i="35"/>
  <c r="AQ61" i="35"/>
  <c r="AK3" i="35"/>
  <c r="AQ3" i="35"/>
  <c r="AK7" i="35"/>
  <c r="AQ7" i="35"/>
  <c r="AK8" i="35"/>
  <c r="AQ8" i="35"/>
  <c r="AK31" i="35"/>
  <c r="AQ31" i="35"/>
  <c r="AK9" i="35"/>
  <c r="AQ9" i="35"/>
  <c r="AK10" i="35"/>
  <c r="AQ10" i="35"/>
  <c r="AK11" i="35"/>
  <c r="AQ11" i="35"/>
  <c r="AK32" i="35"/>
  <c r="AQ32" i="35"/>
  <c r="AK41" i="35"/>
  <c r="AQ41" i="35"/>
  <c r="AK12" i="35"/>
  <c r="AQ12" i="35"/>
  <c r="AK13" i="35"/>
  <c r="AQ13" i="35"/>
  <c r="AK14" i="35"/>
  <c r="AQ14" i="35"/>
  <c r="AK15" i="35"/>
  <c r="AQ15" i="35"/>
  <c r="AK16" i="35"/>
  <c r="AQ16" i="35"/>
  <c r="AK17" i="35"/>
  <c r="AQ17" i="35"/>
  <c r="AK18" i="35"/>
  <c r="AQ18" i="35"/>
  <c r="AK4" i="35"/>
  <c r="AQ4" i="35"/>
  <c r="AK42" i="35"/>
  <c r="AQ42" i="35"/>
  <c r="AK19" i="35"/>
  <c r="AQ19" i="35"/>
  <c r="AK33" i="35"/>
  <c r="AQ33" i="35"/>
  <c r="AK48" i="35"/>
  <c r="AQ48" i="35"/>
  <c r="AK20" i="35"/>
  <c r="AQ20" i="35"/>
  <c r="AK21" i="35"/>
  <c r="AQ21" i="35"/>
  <c r="AK22" i="35"/>
  <c r="AQ22" i="35"/>
  <c r="AK23" i="35"/>
  <c r="AQ23" i="35"/>
  <c r="AK24" i="35"/>
  <c r="AQ24" i="35"/>
  <c r="AK25" i="35"/>
  <c r="AQ25" i="35"/>
  <c r="AK34" i="35"/>
  <c r="AQ34" i="35"/>
  <c r="Z6" i="35"/>
  <c r="Z28" i="35"/>
  <c r="Z37" i="35"/>
  <c r="Z38" i="35"/>
  <c r="Z29" i="35"/>
  <c r="Z30" i="35"/>
  <c r="Z39" i="35"/>
  <c r="Z40" i="35"/>
  <c r="Z46" i="35"/>
  <c r="Z47" i="35"/>
  <c r="Z55" i="35"/>
  <c r="Z56" i="35"/>
  <c r="Z60" i="35"/>
  <c r="Z61" i="35"/>
  <c r="Z3" i="35"/>
  <c r="Z7" i="35"/>
  <c r="Z8" i="35"/>
  <c r="Z31" i="35"/>
  <c r="Z9" i="35"/>
  <c r="Z10" i="35"/>
  <c r="Z11" i="35"/>
  <c r="Z32" i="35"/>
  <c r="Z41" i="35"/>
  <c r="Z12" i="35"/>
  <c r="Z13" i="35"/>
  <c r="Z14" i="35"/>
  <c r="Z15" i="35"/>
  <c r="Z16" i="35"/>
  <c r="Z17" i="35"/>
  <c r="Z18" i="35"/>
  <c r="Z4" i="35"/>
  <c r="Z42" i="35"/>
  <c r="Z19" i="35"/>
  <c r="Z33" i="35"/>
  <c r="Z48" i="35"/>
  <c r="Z20" i="35"/>
  <c r="Z21" i="35"/>
  <c r="Z22" i="35"/>
  <c r="Z23" i="35"/>
  <c r="Z24" i="35"/>
  <c r="Z25" i="35"/>
  <c r="Z34" i="35"/>
  <c r="Z49" i="35"/>
  <c r="AW49" i="35" s="1"/>
  <c r="Z50" i="35"/>
  <c r="AW50" i="35" s="1"/>
  <c r="Z43" i="35"/>
  <c r="AW43" i="35" s="1"/>
  <c r="Z35" i="35"/>
  <c r="Z26" i="35"/>
  <c r="AW26" i="35" s="1"/>
  <c r="Z27" i="35"/>
  <c r="AW27" i="35" s="1"/>
  <c r="Z44" i="35"/>
  <c r="AW44" i="35" s="1"/>
  <c r="Q26" i="35"/>
  <c r="R26" i="35" s="1"/>
  <c r="Q27" i="35"/>
  <c r="R27" i="35" s="1"/>
  <c r="C4" i="4"/>
  <c r="G35" i="35"/>
  <c r="Q35" i="35"/>
  <c r="R35" i="35" s="1"/>
  <c r="L22" i="4"/>
  <c r="G49" i="35"/>
  <c r="G50" i="35"/>
  <c r="Q43" i="35"/>
  <c r="R43" i="35" s="1"/>
  <c r="Q50" i="35"/>
  <c r="R50" i="35" s="1"/>
  <c r="Q49" i="35"/>
  <c r="R49" i="35" s="1"/>
  <c r="C46" i="36"/>
  <c r="D46" i="36" l="1"/>
  <c r="D47" i="36" s="1"/>
  <c r="BT5" i="35"/>
  <c r="BT36" i="35"/>
  <c r="BT59" i="35"/>
  <c r="BT54" i="35"/>
  <c r="BT58" i="35"/>
  <c r="BI54" i="35"/>
  <c r="BT57" i="35"/>
  <c r="BT53" i="35"/>
  <c r="BT51" i="35"/>
  <c r="BT52" i="35"/>
  <c r="BT45" i="35"/>
  <c r="BT27" i="35"/>
  <c r="BT44" i="35"/>
  <c r="BT26" i="35"/>
  <c r="BT35" i="35"/>
  <c r="AW35" i="35"/>
  <c r="BT49" i="35"/>
  <c r="BT50" i="35"/>
  <c r="BT43" i="35"/>
  <c r="K29" i="4" l="1"/>
  <c r="P30" i="4"/>
  <c r="O42" i="4" s="1"/>
  <c r="C45" i="36"/>
  <c r="B8" i="36" l="1"/>
  <c r="AX24" i="35"/>
  <c r="AZ24" i="35"/>
  <c r="BB24" i="35"/>
  <c r="BF24" i="35"/>
  <c r="BG24" i="35"/>
  <c r="BH24" i="35"/>
  <c r="BI24" i="35"/>
  <c r="BJ24" i="35"/>
  <c r="BL24" i="35"/>
  <c r="BN24" i="35"/>
  <c r="BO24" i="35"/>
  <c r="BP24" i="35"/>
  <c r="BQ24" i="35"/>
  <c r="BR24" i="35"/>
  <c r="BS24" i="35"/>
  <c r="AW24" i="35"/>
  <c r="AY24" i="35"/>
  <c r="BA24" i="35"/>
  <c r="BC24" i="35"/>
  <c r="BD24" i="35"/>
  <c r="BE24" i="35"/>
  <c r="BM24" i="35"/>
  <c r="AY25" i="35"/>
  <c r="AZ25" i="35"/>
  <c r="BA25" i="35"/>
  <c r="BB25" i="35"/>
  <c r="BC25" i="35"/>
  <c r="BD25" i="35"/>
  <c r="BE25" i="35"/>
  <c r="BF25" i="35"/>
  <c r="BG25" i="35"/>
  <c r="BI25" i="35"/>
  <c r="BJ25" i="35"/>
  <c r="BK25" i="35"/>
  <c r="BM25" i="35"/>
  <c r="BN25" i="35"/>
  <c r="BO25" i="35"/>
  <c r="BP25" i="35"/>
  <c r="BR25" i="35"/>
  <c r="BS25" i="35"/>
  <c r="AW25" i="35"/>
  <c r="AX25" i="35"/>
  <c r="BH25" i="35"/>
  <c r="BQ25" i="35"/>
  <c r="AW34" i="35"/>
  <c r="AX34" i="35"/>
  <c r="AY34" i="35"/>
  <c r="AZ34" i="35"/>
  <c r="BA34" i="35"/>
  <c r="BB34" i="35"/>
  <c r="BC34" i="35"/>
  <c r="BD34" i="35"/>
  <c r="BE34" i="35"/>
  <c r="BF34" i="35"/>
  <c r="BG34" i="35"/>
  <c r="BI34" i="35"/>
  <c r="BJ34" i="35"/>
  <c r="BK34" i="35"/>
  <c r="BL34" i="35"/>
  <c r="BM34" i="35"/>
  <c r="BN34" i="35"/>
  <c r="BO34" i="35"/>
  <c r="BP34" i="35"/>
  <c r="BQ34" i="35"/>
  <c r="BS34" i="35"/>
  <c r="BH34" i="35"/>
  <c r="BR34" i="35"/>
  <c r="C33" i="36"/>
  <c r="C34" i="36"/>
  <c r="C14" i="36"/>
  <c r="G34" i="35"/>
  <c r="Q34" i="35"/>
  <c r="R34" i="35" s="1"/>
  <c r="C24" i="4"/>
  <c r="G25" i="35"/>
  <c r="Q25" i="35"/>
  <c r="R25" i="35" s="1"/>
  <c r="L48" i="35"/>
  <c r="Q48" i="35"/>
  <c r="R48" i="35" s="1"/>
  <c r="BN23" i="35"/>
  <c r="Q19" i="35"/>
  <c r="R19" i="35" s="1"/>
  <c r="Q33" i="35"/>
  <c r="R33" i="35" s="1"/>
  <c r="Q20" i="35"/>
  <c r="R20" i="35" s="1"/>
  <c r="Q21" i="35"/>
  <c r="R21" i="35" s="1"/>
  <c r="Q22" i="35"/>
  <c r="R22" i="35" s="1"/>
  <c r="Q23" i="35"/>
  <c r="R23" i="35" s="1"/>
  <c r="Q24" i="35"/>
  <c r="R24" i="35" s="1"/>
  <c r="G23" i="35"/>
  <c r="G24" i="35"/>
  <c r="AW23" i="35"/>
  <c r="AX23" i="35"/>
  <c r="AY23" i="35"/>
  <c r="AZ23" i="35"/>
  <c r="BA23" i="35"/>
  <c r="BB23" i="35"/>
  <c r="BC23" i="35"/>
  <c r="BD23" i="35"/>
  <c r="BE23" i="35"/>
  <c r="BF23" i="35"/>
  <c r="BG23" i="35"/>
  <c r="BI23" i="35"/>
  <c r="BJ23" i="35"/>
  <c r="BK23" i="35"/>
  <c r="BL23" i="35"/>
  <c r="BM23" i="35"/>
  <c r="BO23" i="35"/>
  <c r="BP23" i="35"/>
  <c r="BQ23" i="35"/>
  <c r="BR23" i="35"/>
  <c r="BS23" i="35"/>
  <c r="BH23" i="35"/>
  <c r="G19" i="35"/>
  <c r="AW19" i="35"/>
  <c r="AX19" i="35"/>
  <c r="AY19" i="35"/>
  <c r="AZ19" i="35"/>
  <c r="BA19" i="35"/>
  <c r="BB19" i="35"/>
  <c r="BC19" i="35"/>
  <c r="BD19" i="35"/>
  <c r="BE19" i="35"/>
  <c r="BF19" i="35"/>
  <c r="BG19" i="35"/>
  <c r="BH19" i="35"/>
  <c r="BI19" i="35"/>
  <c r="BJ19" i="35"/>
  <c r="BK19" i="35"/>
  <c r="BL19" i="35"/>
  <c r="BM19" i="35"/>
  <c r="BN19" i="35"/>
  <c r="BO19" i="35"/>
  <c r="BP19" i="35"/>
  <c r="BQ19" i="35"/>
  <c r="BR19" i="35"/>
  <c r="BS19" i="35"/>
  <c r="G33" i="35"/>
  <c r="AW33" i="35"/>
  <c r="AX33" i="35"/>
  <c r="AY33" i="35"/>
  <c r="AZ33" i="35"/>
  <c r="BA33" i="35"/>
  <c r="BB33" i="35"/>
  <c r="BC33" i="35"/>
  <c r="BD33" i="35"/>
  <c r="BE33" i="35"/>
  <c r="BF33" i="35"/>
  <c r="BG33" i="35"/>
  <c r="BH33" i="35"/>
  <c r="BI33" i="35"/>
  <c r="BJ33" i="35"/>
  <c r="BK33" i="35"/>
  <c r="BL33" i="35"/>
  <c r="BM33" i="35"/>
  <c r="BN33" i="35"/>
  <c r="BO33" i="35"/>
  <c r="BP33" i="35"/>
  <c r="BQ33" i="35"/>
  <c r="BR33" i="35"/>
  <c r="BS33" i="35"/>
  <c r="G48" i="35"/>
  <c r="AX48" i="35"/>
  <c r="AY48" i="35"/>
  <c r="AZ48" i="35"/>
  <c r="BA48" i="35"/>
  <c r="BB48" i="35"/>
  <c r="BC48" i="35"/>
  <c r="BD48" i="35"/>
  <c r="BE48" i="35"/>
  <c r="BF48" i="35"/>
  <c r="BG48" i="35"/>
  <c r="BH48" i="35"/>
  <c r="BI48" i="35"/>
  <c r="BJ48" i="35"/>
  <c r="BK48" i="35"/>
  <c r="BL48" i="35"/>
  <c r="BM48" i="35"/>
  <c r="BN48" i="35"/>
  <c r="BO48" i="35"/>
  <c r="BP48" i="35"/>
  <c r="BQ48" i="35"/>
  <c r="BR48" i="35"/>
  <c r="BS48" i="35"/>
  <c r="G20" i="35"/>
  <c r="AW20" i="35"/>
  <c r="AX20" i="35"/>
  <c r="AY20" i="35"/>
  <c r="AZ20" i="35"/>
  <c r="BA20" i="35"/>
  <c r="BB20" i="35"/>
  <c r="BC20" i="35"/>
  <c r="BD20" i="35"/>
  <c r="BE20" i="35"/>
  <c r="BF20" i="35"/>
  <c r="BG20" i="35"/>
  <c r="BH20" i="35"/>
  <c r="BI20" i="35"/>
  <c r="BJ20" i="35"/>
  <c r="BK20" i="35"/>
  <c r="BL20" i="35"/>
  <c r="BM20" i="35"/>
  <c r="BN20" i="35"/>
  <c r="BO20" i="35"/>
  <c r="BP20" i="35"/>
  <c r="BQ20" i="35"/>
  <c r="BR20" i="35"/>
  <c r="BS20" i="35"/>
  <c r="G21" i="35"/>
  <c r="AX21" i="35"/>
  <c r="AY21" i="35"/>
  <c r="AZ21" i="35"/>
  <c r="BA21" i="35"/>
  <c r="BB21" i="35"/>
  <c r="BC21" i="35"/>
  <c r="BD21" i="35"/>
  <c r="BE21" i="35"/>
  <c r="BF21" i="35"/>
  <c r="BG21" i="35"/>
  <c r="BH21" i="35"/>
  <c r="BI21" i="35"/>
  <c r="BJ21" i="35"/>
  <c r="BK21" i="35"/>
  <c r="BL21" i="35"/>
  <c r="BM21" i="35"/>
  <c r="BN21" i="35"/>
  <c r="BO21" i="35"/>
  <c r="BP21" i="35"/>
  <c r="BQ21" i="35"/>
  <c r="BR21" i="35"/>
  <c r="BS21" i="35"/>
  <c r="G22" i="35"/>
  <c r="AX22" i="35"/>
  <c r="AY22" i="35"/>
  <c r="AZ22" i="35"/>
  <c r="BA22" i="35"/>
  <c r="BB22" i="35"/>
  <c r="BC22" i="35"/>
  <c r="BD22" i="35"/>
  <c r="BE22" i="35"/>
  <c r="BF22" i="35"/>
  <c r="BG22" i="35"/>
  <c r="BH22" i="35"/>
  <c r="BI22" i="35"/>
  <c r="BJ22" i="35"/>
  <c r="BK22" i="35"/>
  <c r="BL22" i="35"/>
  <c r="BM22" i="35"/>
  <c r="BN22" i="35"/>
  <c r="BO22" i="35"/>
  <c r="BP22" i="35"/>
  <c r="BQ22" i="35"/>
  <c r="BR22" i="35"/>
  <c r="BS22" i="35"/>
  <c r="K9" i="35"/>
  <c r="BV9" i="35" s="1"/>
  <c r="K17" i="35"/>
  <c r="BV17" i="35" s="1"/>
  <c r="K10" i="35"/>
  <c r="BV10" i="35" s="1"/>
  <c r="B18" i="36"/>
  <c r="C18" i="36" s="1"/>
  <c r="O30" i="4"/>
  <c r="N30" i="4"/>
  <c r="BN7" i="35"/>
  <c r="BN8" i="35"/>
  <c r="BN31" i="35"/>
  <c r="BH7" i="35"/>
  <c r="BH8" i="35"/>
  <c r="BH31" i="35"/>
  <c r="G7" i="35"/>
  <c r="G8" i="35"/>
  <c r="G31" i="35"/>
  <c r="G17" i="35"/>
  <c r="Q31" i="35"/>
  <c r="R31" i="35" s="1"/>
  <c r="Q7" i="35"/>
  <c r="R7" i="35" s="1"/>
  <c r="Q8" i="35"/>
  <c r="R8" i="35" s="1"/>
  <c r="Q17" i="35"/>
  <c r="R17" i="35" s="1"/>
  <c r="AW7" i="35"/>
  <c r="AW8" i="35"/>
  <c r="AW31" i="35"/>
  <c r="AX7" i="35"/>
  <c r="AX8" i="35"/>
  <c r="AX31" i="35"/>
  <c r="AY7" i="35"/>
  <c r="AY8" i="35"/>
  <c r="AY31" i="35"/>
  <c r="AZ7" i="35"/>
  <c r="AZ8" i="35"/>
  <c r="AZ31" i="35"/>
  <c r="BA7" i="35"/>
  <c r="BA8" i="35"/>
  <c r="BA31" i="35"/>
  <c r="BB7" i="35"/>
  <c r="BB8" i="35"/>
  <c r="BB31" i="35"/>
  <c r="BC7" i="35"/>
  <c r="BC8" i="35"/>
  <c r="BC31" i="35"/>
  <c r="BD7" i="35"/>
  <c r="BD8" i="35"/>
  <c r="BD31" i="35"/>
  <c r="BE7" i="35"/>
  <c r="BE8" i="35"/>
  <c r="BE31" i="35"/>
  <c r="BF7" i="35"/>
  <c r="BF8" i="35"/>
  <c r="BF31" i="35"/>
  <c r="BG7" i="35"/>
  <c r="BG8" i="35"/>
  <c r="BG31" i="35"/>
  <c r="BI7" i="35"/>
  <c r="BI8" i="35"/>
  <c r="BI31" i="35"/>
  <c r="BJ7" i="35"/>
  <c r="BJ8" i="35"/>
  <c r="BJ31" i="35"/>
  <c r="BK7" i="35"/>
  <c r="BK8" i="35"/>
  <c r="BK31" i="35"/>
  <c r="BL7" i="35"/>
  <c r="BL8" i="35"/>
  <c r="BL31" i="35"/>
  <c r="BM7" i="35"/>
  <c r="BM8" i="35"/>
  <c r="BM31" i="35"/>
  <c r="BO7" i="35"/>
  <c r="BO8" i="35"/>
  <c r="BO31" i="35"/>
  <c r="BP7" i="35"/>
  <c r="BP8" i="35"/>
  <c r="BP31" i="35"/>
  <c r="BQ7" i="35"/>
  <c r="BQ8" i="35"/>
  <c r="BQ31" i="35"/>
  <c r="BR7" i="35"/>
  <c r="BR8" i="35"/>
  <c r="BR31" i="35"/>
  <c r="BS7" i="35"/>
  <c r="BS8" i="35"/>
  <c r="BS31" i="35"/>
  <c r="Q22" i="4"/>
  <c r="R22" i="4" s="1"/>
  <c r="Q16" i="4"/>
  <c r="Q15" i="4"/>
  <c r="Q14" i="4"/>
  <c r="Q11" i="4"/>
  <c r="Q10" i="4"/>
  <c r="Q7" i="4"/>
  <c r="Q6" i="4"/>
  <c r="Q4" i="4"/>
  <c r="Q3" i="4"/>
  <c r="L7" i="4"/>
  <c r="L11" i="4"/>
  <c r="L13" i="4"/>
  <c r="AB114" i="38"/>
  <c r="G9" i="35"/>
  <c r="G10" i="35"/>
  <c r="Q9" i="35"/>
  <c r="R9" i="35" s="1"/>
  <c r="Q10" i="35"/>
  <c r="R10" i="35" s="1"/>
  <c r="BT24" i="35" l="1"/>
  <c r="BT25" i="35"/>
  <c r="BT34" i="35"/>
  <c r="BL25" i="35"/>
  <c r="BK24" i="35"/>
  <c r="BT22" i="35"/>
  <c r="BT21" i="35"/>
  <c r="BT48" i="35"/>
  <c r="BT23" i="35"/>
  <c r="AW22" i="35"/>
  <c r="BT19" i="35"/>
  <c r="BT33" i="35"/>
  <c r="AW48" i="35"/>
  <c r="BT20" i="35"/>
  <c r="AW21" i="35"/>
  <c r="BN9" i="35"/>
  <c r="BH9" i="35"/>
  <c r="AW9" i="35"/>
  <c r="AX9" i="35"/>
  <c r="AY9" i="35"/>
  <c r="AZ9" i="35"/>
  <c r="BA9" i="35"/>
  <c r="BB9" i="35"/>
  <c r="BC9" i="35"/>
  <c r="BD9" i="35"/>
  <c r="BE9" i="35"/>
  <c r="BF9" i="35"/>
  <c r="BG9" i="35"/>
  <c r="BI9" i="35"/>
  <c r="BJ9" i="35"/>
  <c r="BK9" i="35"/>
  <c r="BL9" i="35"/>
  <c r="BM9" i="35"/>
  <c r="BO9" i="35"/>
  <c r="BP9" i="35"/>
  <c r="BQ9" i="35"/>
  <c r="BR9" i="35"/>
  <c r="BS9" i="35"/>
  <c r="BN17" i="35"/>
  <c r="BH17" i="35"/>
  <c r="AW17" i="35"/>
  <c r="AY17" i="35"/>
  <c r="AZ17" i="35"/>
  <c r="BA17" i="35"/>
  <c r="BB17" i="35"/>
  <c r="BC17" i="35"/>
  <c r="BD17" i="35"/>
  <c r="BE17" i="35"/>
  <c r="BF17" i="35"/>
  <c r="BG17" i="35"/>
  <c r="BI17" i="35"/>
  <c r="BJ17" i="35"/>
  <c r="BK17" i="35"/>
  <c r="BL17" i="35"/>
  <c r="BM17" i="35"/>
  <c r="BO17" i="35"/>
  <c r="BP17" i="35"/>
  <c r="BQ17" i="35"/>
  <c r="BR17" i="35"/>
  <c r="BS17" i="35"/>
  <c r="BN10" i="35"/>
  <c r="BH10" i="35"/>
  <c r="AW10" i="35"/>
  <c r="AX10" i="35"/>
  <c r="AY10" i="35"/>
  <c r="AZ10" i="35"/>
  <c r="BA10" i="35"/>
  <c r="BB10" i="35"/>
  <c r="BC10" i="35"/>
  <c r="BD10" i="35"/>
  <c r="BE10" i="35"/>
  <c r="BF10" i="35"/>
  <c r="BG10" i="35"/>
  <c r="BI10" i="35"/>
  <c r="BJ10" i="35"/>
  <c r="BK10" i="35"/>
  <c r="BL10" i="35"/>
  <c r="BM10" i="35"/>
  <c r="BO10" i="35"/>
  <c r="BP10" i="35"/>
  <c r="BQ10" i="35"/>
  <c r="BR10" i="35"/>
  <c r="BS10" i="35"/>
  <c r="BT31" i="35"/>
  <c r="BT17" i="35"/>
  <c r="AX17" i="35"/>
  <c r="BT8" i="35"/>
  <c r="BT7" i="35"/>
  <c r="BT9" i="35"/>
  <c r="BT10" i="35"/>
  <c r="C6" i="4"/>
  <c r="C5" i="4"/>
  <c r="BN12" i="35"/>
  <c r="BN13" i="35"/>
  <c r="BN14" i="35"/>
  <c r="BN15" i="35"/>
  <c r="BN16" i="35"/>
  <c r="BN3" i="35"/>
  <c r="BN42" i="35"/>
  <c r="BH12" i="35"/>
  <c r="BH13" i="35"/>
  <c r="BH14" i="35"/>
  <c r="BH15" i="35"/>
  <c r="BH16" i="35"/>
  <c r="BH3" i="35"/>
  <c r="BH42" i="35"/>
  <c r="G12" i="35"/>
  <c r="G13" i="35"/>
  <c r="G14" i="35"/>
  <c r="G15" i="35"/>
  <c r="G16" i="35"/>
  <c r="G3" i="35"/>
  <c r="G42" i="35"/>
  <c r="Q12" i="35"/>
  <c r="R12" i="35" s="1"/>
  <c r="Q13" i="35"/>
  <c r="R13" i="35" s="1"/>
  <c r="Q14" i="35"/>
  <c r="R14" i="35" s="1"/>
  <c r="Q15" i="35"/>
  <c r="R15" i="35" s="1"/>
  <c r="Q16" i="35"/>
  <c r="R16" i="35" s="1"/>
  <c r="Q3" i="35"/>
  <c r="R3" i="35" s="1"/>
  <c r="Q42" i="35"/>
  <c r="R42" i="35" s="1"/>
  <c r="AW12" i="35"/>
  <c r="AW13" i="35"/>
  <c r="AW14" i="35"/>
  <c r="AW15" i="35"/>
  <c r="AW16" i="35"/>
  <c r="AW3" i="35"/>
  <c r="AW42" i="35"/>
  <c r="AX12" i="35"/>
  <c r="AX13" i="35"/>
  <c r="AX14" i="35"/>
  <c r="AX15" i="35"/>
  <c r="AX16" i="35"/>
  <c r="AX3" i="35"/>
  <c r="AX42" i="35"/>
  <c r="AY12" i="35"/>
  <c r="AY13" i="35"/>
  <c r="AY14" i="35"/>
  <c r="AY15" i="35"/>
  <c r="AY16" i="35"/>
  <c r="AY3" i="35"/>
  <c r="AY42" i="35"/>
  <c r="AZ12" i="35"/>
  <c r="AZ13" i="35"/>
  <c r="AZ14" i="35"/>
  <c r="AZ15" i="35"/>
  <c r="AZ16" i="35"/>
  <c r="AZ3" i="35"/>
  <c r="AZ42" i="35"/>
  <c r="BA12" i="35"/>
  <c r="BA13" i="35"/>
  <c r="BA14" i="35"/>
  <c r="BA15" i="35"/>
  <c r="BA16" i="35"/>
  <c r="BA3" i="35"/>
  <c r="BA42" i="35"/>
  <c r="BB12" i="35"/>
  <c r="BB13" i="35"/>
  <c r="BB14" i="35"/>
  <c r="BB15" i="35"/>
  <c r="BB16" i="35"/>
  <c r="BB3" i="35"/>
  <c r="BB42" i="35"/>
  <c r="BC12" i="35"/>
  <c r="BC13" i="35"/>
  <c r="BC14" i="35"/>
  <c r="BC15" i="35"/>
  <c r="BC16" i="35"/>
  <c r="BC3" i="35"/>
  <c r="BC42" i="35"/>
  <c r="BD12" i="35"/>
  <c r="BD13" i="35"/>
  <c r="BD14" i="35"/>
  <c r="BD15" i="35"/>
  <c r="BD16" i="35"/>
  <c r="BD3" i="35"/>
  <c r="BD42" i="35"/>
  <c r="BE12" i="35"/>
  <c r="BE13" i="35"/>
  <c r="BE14" i="35"/>
  <c r="BE15" i="35"/>
  <c r="BE16" i="35"/>
  <c r="BE3" i="35"/>
  <c r="BE42" i="35"/>
  <c r="BF12" i="35"/>
  <c r="BF13" i="35"/>
  <c r="BF14" i="35"/>
  <c r="BF15" i="35"/>
  <c r="BF16" i="35"/>
  <c r="BF3" i="35"/>
  <c r="BF42" i="35"/>
  <c r="BG12" i="35"/>
  <c r="BG13" i="35"/>
  <c r="BG14" i="35"/>
  <c r="BG15" i="35"/>
  <c r="BG16" i="35"/>
  <c r="BG3" i="35"/>
  <c r="BG42" i="35"/>
  <c r="BI12" i="35"/>
  <c r="BI13" i="35"/>
  <c r="BI14" i="35"/>
  <c r="BI15" i="35"/>
  <c r="BI16" i="35"/>
  <c r="BI3" i="35"/>
  <c r="BI42" i="35"/>
  <c r="BJ12" i="35"/>
  <c r="BJ13" i="35"/>
  <c r="BJ14" i="35"/>
  <c r="BJ15" i="35"/>
  <c r="BJ16" i="35"/>
  <c r="BJ3" i="35"/>
  <c r="BJ42" i="35"/>
  <c r="BK12" i="35"/>
  <c r="BK13" i="35"/>
  <c r="BK14" i="35"/>
  <c r="BK15" i="35"/>
  <c r="BK16" i="35"/>
  <c r="BK3" i="35"/>
  <c r="BK42" i="35"/>
  <c r="BL12" i="35"/>
  <c r="BL13" i="35"/>
  <c r="BL14" i="35"/>
  <c r="BL15" i="35"/>
  <c r="BL16" i="35"/>
  <c r="BL3" i="35"/>
  <c r="BL42" i="35"/>
  <c r="BM12" i="35"/>
  <c r="BM13" i="35"/>
  <c r="BM14" i="35"/>
  <c r="BM15" i="35"/>
  <c r="BM16" i="35"/>
  <c r="BM3" i="35"/>
  <c r="BM42" i="35"/>
  <c r="BO12" i="35"/>
  <c r="BO13" i="35"/>
  <c r="BO14" i="35"/>
  <c r="BO15" i="35"/>
  <c r="BO16" i="35"/>
  <c r="BO3" i="35"/>
  <c r="BO42" i="35"/>
  <c r="BP12" i="35"/>
  <c r="BP13" i="35"/>
  <c r="BP14" i="35"/>
  <c r="BP15" i="35"/>
  <c r="BP16" i="35"/>
  <c r="BP3" i="35"/>
  <c r="BP42" i="35"/>
  <c r="BQ12" i="35"/>
  <c r="BQ13" i="35"/>
  <c r="BQ14" i="35"/>
  <c r="BQ15" i="35"/>
  <c r="BQ16" i="35"/>
  <c r="BQ3" i="35"/>
  <c r="BQ42" i="35"/>
  <c r="BR12" i="35"/>
  <c r="BR13" i="35"/>
  <c r="BR14" i="35"/>
  <c r="BR15" i="35"/>
  <c r="BR16" i="35"/>
  <c r="BR3" i="35"/>
  <c r="BR42" i="35"/>
  <c r="BS12" i="35"/>
  <c r="BS13" i="35"/>
  <c r="BS14" i="35"/>
  <c r="BS15" i="35"/>
  <c r="BS16" i="35"/>
  <c r="BS3" i="35"/>
  <c r="BS42" i="35"/>
  <c r="D26" i="8"/>
  <c r="BN11" i="35"/>
  <c r="BH11" i="35"/>
  <c r="G11" i="35"/>
  <c r="Q11" i="35"/>
  <c r="R11" i="35" s="1"/>
  <c r="AW11" i="35"/>
  <c r="AX11" i="35"/>
  <c r="AY11" i="35"/>
  <c r="AZ11" i="35"/>
  <c r="BA11" i="35"/>
  <c r="BB11" i="35"/>
  <c r="BC11" i="35"/>
  <c r="BD11" i="35"/>
  <c r="BE11" i="35"/>
  <c r="BF11" i="35"/>
  <c r="BG11" i="35"/>
  <c r="BI11" i="35"/>
  <c r="BJ11" i="35"/>
  <c r="BK11" i="35"/>
  <c r="BL11" i="35"/>
  <c r="BM11" i="35"/>
  <c r="BO11" i="35"/>
  <c r="BP11" i="35"/>
  <c r="BQ11" i="35"/>
  <c r="BR11" i="35"/>
  <c r="BS11" i="35"/>
  <c r="BT42" i="35" l="1"/>
  <c r="BT3" i="35"/>
  <c r="BT12" i="35"/>
  <c r="BT13" i="35"/>
  <c r="BT16" i="35"/>
  <c r="BT15" i="35"/>
  <c r="BT14" i="35"/>
  <c r="BT11" i="35"/>
  <c r="C26" i="36" l="1"/>
  <c r="BN32" i="35"/>
  <c r="BH32" i="35"/>
  <c r="G32" i="35"/>
  <c r="Q32" i="35"/>
  <c r="R32" i="35" s="1"/>
  <c r="AW32" i="35"/>
  <c r="AX32" i="35"/>
  <c r="AY32" i="35"/>
  <c r="AZ32" i="35"/>
  <c r="BA32" i="35"/>
  <c r="BB32" i="35"/>
  <c r="BC32" i="35"/>
  <c r="BD32" i="35"/>
  <c r="BE32" i="35"/>
  <c r="BF32" i="35"/>
  <c r="BG32" i="35"/>
  <c r="BI32" i="35"/>
  <c r="BJ32" i="35"/>
  <c r="BK32" i="35"/>
  <c r="BL32" i="35"/>
  <c r="BM32" i="35"/>
  <c r="BO32" i="35"/>
  <c r="BP32" i="35"/>
  <c r="BQ32" i="35"/>
  <c r="BR32" i="35"/>
  <c r="BS32" i="35"/>
  <c r="BT32" i="35" l="1"/>
  <c r="V46" i="35" l="1"/>
  <c r="V47" i="35"/>
  <c r="V55" i="35"/>
  <c r="V56" i="35"/>
  <c r="V60" i="35"/>
  <c r="V61" i="35"/>
  <c r="V28" i="35"/>
  <c r="V29" i="35"/>
  <c r="V30" i="35"/>
  <c r="V37" i="35"/>
  <c r="V38" i="35"/>
  <c r="V39" i="35"/>
  <c r="V40" i="35"/>
  <c r="V6" i="35"/>
  <c r="V18" i="35"/>
  <c r="C7" i="4"/>
  <c r="C8" i="4"/>
  <c r="C9" i="4"/>
  <c r="C10" i="4"/>
  <c r="C11" i="4"/>
  <c r="C12" i="4"/>
  <c r="C13" i="4"/>
  <c r="C14" i="4"/>
  <c r="E14" i="4" s="1"/>
  <c r="C15" i="4"/>
  <c r="C16" i="4"/>
  <c r="C17" i="4"/>
  <c r="C18" i="4"/>
  <c r="C19" i="4"/>
  <c r="C20" i="4"/>
  <c r="C21" i="4"/>
  <c r="C22" i="4"/>
  <c r="C23" i="4"/>
  <c r="C25" i="4"/>
  <c r="E4" i="4"/>
  <c r="C3" i="4"/>
  <c r="P2" i="35"/>
  <c r="C44" i="36"/>
  <c r="E3" i="4" l="1"/>
  <c r="C26" i="4"/>
  <c r="E5" i="4"/>
  <c r="E6" i="4"/>
  <c r="E7" i="4"/>
  <c r="E8" i="4"/>
  <c r="E9" i="4"/>
  <c r="E10" i="4"/>
  <c r="E11" i="4"/>
  <c r="E12" i="4"/>
  <c r="E13" i="4"/>
  <c r="E15" i="4"/>
  <c r="E16" i="4"/>
  <c r="E17" i="4"/>
  <c r="E18" i="4"/>
  <c r="E19" i="4"/>
  <c r="E20" i="4"/>
  <c r="E21" i="4"/>
  <c r="E22" i="4"/>
  <c r="E23" i="4"/>
  <c r="E24" i="4"/>
  <c r="E25" i="4"/>
  <c r="E26" i="4" l="1"/>
  <c r="Q4" i="35"/>
  <c r="R4" i="35" s="1"/>
  <c r="AW4" i="35"/>
  <c r="AX4" i="35"/>
  <c r="AY4" i="35"/>
  <c r="AZ4" i="35"/>
  <c r="BA4" i="35"/>
  <c r="BB4" i="35"/>
  <c r="BC4" i="35"/>
  <c r="BD4" i="35"/>
  <c r="BE4" i="35"/>
  <c r="BF4" i="35"/>
  <c r="BG4" i="35"/>
  <c r="BH4" i="35"/>
  <c r="BI4" i="35"/>
  <c r="BJ4" i="35"/>
  <c r="BK4" i="35"/>
  <c r="BL4" i="35"/>
  <c r="BM4" i="35"/>
  <c r="BN4" i="35"/>
  <c r="BO4" i="35"/>
  <c r="BP4" i="35"/>
  <c r="BQ4" i="35"/>
  <c r="BR4" i="35"/>
  <c r="BS4" i="35"/>
  <c r="G4" i="35"/>
  <c r="BT4" i="35" l="1"/>
  <c r="Z5" i="8" l="1"/>
  <c r="Z4" i="8" l="1"/>
  <c r="AB68" i="38"/>
  <c r="C5" i="36" l="1"/>
  <c r="BN41" i="35"/>
  <c r="BH41" i="35"/>
  <c r="G41" i="35"/>
  <c r="Q41" i="35"/>
  <c r="R41" i="35" s="1"/>
  <c r="AW41" i="35"/>
  <c r="AX41" i="35"/>
  <c r="AY41" i="35"/>
  <c r="AZ41" i="35"/>
  <c r="BA41" i="35"/>
  <c r="BB41" i="35"/>
  <c r="BC41" i="35"/>
  <c r="BD41" i="35"/>
  <c r="BE41" i="35"/>
  <c r="BF41" i="35"/>
  <c r="BG41" i="35"/>
  <c r="BI41" i="35"/>
  <c r="BJ41" i="35"/>
  <c r="BK41" i="35"/>
  <c r="BL41" i="35"/>
  <c r="BM41" i="35"/>
  <c r="BO41" i="35"/>
  <c r="BP41" i="35"/>
  <c r="BQ41" i="35"/>
  <c r="BR41" i="35"/>
  <c r="BS41" i="35"/>
  <c r="BH2" i="35"/>
  <c r="G2" i="35"/>
  <c r="Q2" i="35"/>
  <c r="R2" i="35" s="1"/>
  <c r="AW2" i="35"/>
  <c r="AX2" i="35"/>
  <c r="AY2" i="35"/>
  <c r="AZ2" i="35"/>
  <c r="BA2" i="35"/>
  <c r="BB2" i="35"/>
  <c r="BC2" i="35"/>
  <c r="BD2" i="35"/>
  <c r="BE2" i="35"/>
  <c r="BF2" i="35"/>
  <c r="BG2" i="35"/>
  <c r="BI2" i="35"/>
  <c r="BJ2" i="35"/>
  <c r="BK2" i="35"/>
  <c r="BL2" i="35"/>
  <c r="BM2" i="35"/>
  <c r="BO2" i="35"/>
  <c r="BP2" i="35"/>
  <c r="BQ2" i="35"/>
  <c r="BR2" i="35"/>
  <c r="BS2" i="35"/>
  <c r="C4" i="36"/>
  <c r="C6" i="36"/>
  <c r="O2" i="8"/>
  <c r="P2" i="8"/>
  <c r="X29" i="35"/>
  <c r="X39" i="35"/>
  <c r="X30" i="35"/>
  <c r="X40" i="35"/>
  <c r="X18" i="35"/>
  <c r="X37" i="35"/>
  <c r="X6" i="35"/>
  <c r="X28" i="35"/>
  <c r="X38" i="35"/>
  <c r="G29" i="35"/>
  <c r="G39" i="35"/>
  <c r="G46" i="35"/>
  <c r="G55" i="35"/>
  <c r="G60" i="35"/>
  <c r="G30" i="35"/>
  <c r="G40" i="35"/>
  <c r="G18" i="35"/>
  <c r="G47" i="35"/>
  <c r="G56" i="35"/>
  <c r="G61" i="35"/>
  <c r="G37" i="35"/>
  <c r="G6" i="35"/>
  <c r="G28" i="35"/>
  <c r="G38" i="35"/>
  <c r="BT41" i="35" l="1"/>
  <c r="BT2" i="35"/>
  <c r="BN2" i="35"/>
  <c r="C39" i="36" l="1"/>
  <c r="AX29" i="35"/>
  <c r="AY29" i="35"/>
  <c r="AZ29" i="35"/>
  <c r="BA29" i="35"/>
  <c r="BB29" i="35"/>
  <c r="BC29" i="35"/>
  <c r="BD29" i="35"/>
  <c r="BE29" i="35"/>
  <c r="BF29" i="35"/>
  <c r="BG29" i="35"/>
  <c r="BH29" i="35"/>
  <c r="BI29" i="35"/>
  <c r="BJ29" i="35"/>
  <c r="BK29" i="35"/>
  <c r="BL29" i="35"/>
  <c r="BM29" i="35"/>
  <c r="BN29" i="35"/>
  <c r="BO29" i="35"/>
  <c r="BP29" i="35"/>
  <c r="BQ29" i="35"/>
  <c r="BR29" i="35"/>
  <c r="BS29" i="35"/>
  <c r="AW30" i="35"/>
  <c r="AX30" i="35"/>
  <c r="AY30" i="35"/>
  <c r="AZ30" i="35"/>
  <c r="BA30" i="35"/>
  <c r="BB30" i="35"/>
  <c r="BC30" i="35"/>
  <c r="BD30" i="35"/>
  <c r="BE30" i="35"/>
  <c r="BF30" i="35"/>
  <c r="BG30" i="35"/>
  <c r="BH30" i="35"/>
  <c r="BI30" i="35"/>
  <c r="BJ30" i="35"/>
  <c r="BK30" i="35"/>
  <c r="BL30" i="35"/>
  <c r="BM30" i="35"/>
  <c r="BN30" i="35"/>
  <c r="BO30" i="35"/>
  <c r="BP30" i="35"/>
  <c r="BQ30" i="35"/>
  <c r="BR30" i="35"/>
  <c r="BS30" i="35"/>
  <c r="AW39" i="35"/>
  <c r="AX39" i="35"/>
  <c r="AY39" i="35"/>
  <c r="AZ39" i="35"/>
  <c r="BA39" i="35"/>
  <c r="BB39" i="35"/>
  <c r="BC39" i="35"/>
  <c r="BD39" i="35"/>
  <c r="BE39" i="35"/>
  <c r="BF39" i="35"/>
  <c r="BG39" i="35"/>
  <c r="BH39" i="35"/>
  <c r="BI39" i="35"/>
  <c r="BJ39" i="35"/>
  <c r="BK39" i="35"/>
  <c r="BL39" i="35"/>
  <c r="BM39" i="35"/>
  <c r="BN39" i="35"/>
  <c r="BO39" i="35"/>
  <c r="BP39" i="35"/>
  <c r="BQ39" i="35"/>
  <c r="BR39" i="35"/>
  <c r="BS39" i="35"/>
  <c r="AW40" i="35"/>
  <c r="AX40" i="35"/>
  <c r="AY40" i="35"/>
  <c r="AZ40" i="35"/>
  <c r="BA40" i="35"/>
  <c r="BB40" i="35"/>
  <c r="BC40" i="35"/>
  <c r="BD40" i="35"/>
  <c r="BE40" i="35"/>
  <c r="BF40" i="35"/>
  <c r="BG40" i="35"/>
  <c r="BH40" i="35"/>
  <c r="BI40" i="35"/>
  <c r="BJ40" i="35"/>
  <c r="BK40" i="35"/>
  <c r="BL40" i="35"/>
  <c r="BM40" i="35"/>
  <c r="BN40" i="35"/>
  <c r="BO40" i="35"/>
  <c r="BP40" i="35"/>
  <c r="BQ40" i="35"/>
  <c r="BR40" i="35"/>
  <c r="BS40" i="35"/>
  <c r="AW46" i="35"/>
  <c r="AX46" i="35"/>
  <c r="AY46" i="35"/>
  <c r="AZ46" i="35"/>
  <c r="BA46" i="35"/>
  <c r="BB46" i="35"/>
  <c r="BC46" i="35"/>
  <c r="BD46" i="35"/>
  <c r="BE46" i="35"/>
  <c r="BF46" i="35"/>
  <c r="BG46" i="35"/>
  <c r="BH46" i="35"/>
  <c r="BI46" i="35"/>
  <c r="BJ46" i="35"/>
  <c r="BK46" i="35"/>
  <c r="BL46" i="35"/>
  <c r="BM46" i="35"/>
  <c r="BN46" i="35"/>
  <c r="BO46" i="35"/>
  <c r="BP46" i="35"/>
  <c r="BQ46" i="35"/>
  <c r="BR46" i="35"/>
  <c r="BS46" i="35"/>
  <c r="AW47" i="35"/>
  <c r="AX47" i="35"/>
  <c r="AY47" i="35"/>
  <c r="AZ47" i="35"/>
  <c r="BA47" i="35"/>
  <c r="BB47" i="35"/>
  <c r="BC47" i="35"/>
  <c r="BD47" i="35"/>
  <c r="BE47" i="35"/>
  <c r="BF47" i="35"/>
  <c r="BG47" i="35"/>
  <c r="BH47" i="35"/>
  <c r="BI47" i="35"/>
  <c r="BJ47" i="35"/>
  <c r="BK47" i="35"/>
  <c r="BL47" i="35"/>
  <c r="BM47" i="35"/>
  <c r="BN47" i="35"/>
  <c r="BO47" i="35"/>
  <c r="BP47" i="35"/>
  <c r="BQ47" i="35"/>
  <c r="BR47" i="35"/>
  <c r="BS47" i="35"/>
  <c r="AX55" i="35"/>
  <c r="AY55" i="35"/>
  <c r="AZ55" i="35"/>
  <c r="BA55" i="35"/>
  <c r="BB55" i="35"/>
  <c r="BC55" i="35"/>
  <c r="BD55" i="35"/>
  <c r="BE55" i="35"/>
  <c r="BF55" i="35"/>
  <c r="BG55" i="35"/>
  <c r="BH55" i="35"/>
  <c r="BI55" i="35"/>
  <c r="BJ55" i="35"/>
  <c r="BK55" i="35"/>
  <c r="BL55" i="35"/>
  <c r="BM55" i="35"/>
  <c r="BN55" i="35"/>
  <c r="BO55" i="35"/>
  <c r="BP55" i="35"/>
  <c r="BQ55" i="35"/>
  <c r="BR55" i="35"/>
  <c r="BS55" i="35"/>
  <c r="AW56" i="35"/>
  <c r="AX56" i="35"/>
  <c r="AY56" i="35"/>
  <c r="AZ56" i="35"/>
  <c r="BA56" i="35"/>
  <c r="BB56" i="35"/>
  <c r="BC56" i="35"/>
  <c r="BD56" i="35"/>
  <c r="BE56" i="35"/>
  <c r="BF56" i="35"/>
  <c r="BG56" i="35"/>
  <c r="BH56" i="35"/>
  <c r="BI56" i="35"/>
  <c r="BJ56" i="35"/>
  <c r="BK56" i="35"/>
  <c r="BL56" i="35"/>
  <c r="BM56" i="35"/>
  <c r="BN56" i="35"/>
  <c r="BO56" i="35"/>
  <c r="BP56" i="35"/>
  <c r="BQ56" i="35"/>
  <c r="BR56" i="35"/>
  <c r="BS56" i="35"/>
  <c r="AW60" i="35"/>
  <c r="AX60" i="35"/>
  <c r="AY60" i="35"/>
  <c r="AZ60" i="35"/>
  <c r="BA60" i="35"/>
  <c r="BB60" i="35"/>
  <c r="BC60" i="35"/>
  <c r="BD60" i="35"/>
  <c r="BE60" i="35"/>
  <c r="BF60" i="35"/>
  <c r="BG60" i="35"/>
  <c r="BH60" i="35"/>
  <c r="BI60" i="35"/>
  <c r="BJ60" i="35"/>
  <c r="BK60" i="35"/>
  <c r="BL60" i="35"/>
  <c r="BM60" i="35"/>
  <c r="BN60" i="35"/>
  <c r="BO60" i="35"/>
  <c r="BP60" i="35"/>
  <c r="BQ60" i="35"/>
  <c r="BR60" i="35"/>
  <c r="BS60" i="35"/>
  <c r="AX61" i="35"/>
  <c r="AY61" i="35"/>
  <c r="AZ61" i="35"/>
  <c r="BA61" i="35"/>
  <c r="BB61" i="35"/>
  <c r="BC61" i="35"/>
  <c r="BD61" i="35"/>
  <c r="BE61" i="35"/>
  <c r="BF61" i="35"/>
  <c r="BG61" i="35"/>
  <c r="BH61" i="35"/>
  <c r="BI61" i="35"/>
  <c r="BJ61" i="35"/>
  <c r="BK61" i="35"/>
  <c r="BL61" i="35"/>
  <c r="BM61" i="35"/>
  <c r="BN61" i="35"/>
  <c r="BO61" i="35"/>
  <c r="BP61" i="35"/>
  <c r="BQ61" i="35"/>
  <c r="BR61" i="35"/>
  <c r="BS61" i="35"/>
  <c r="Q29" i="35"/>
  <c r="R29" i="35" s="1"/>
  <c r="Q30" i="35"/>
  <c r="R30" i="35" s="1"/>
  <c r="Q39" i="35"/>
  <c r="R39" i="35" s="1"/>
  <c r="Q40" i="35"/>
  <c r="R40" i="35" s="1"/>
  <c r="Q46" i="35"/>
  <c r="R46" i="35" s="1"/>
  <c r="Q47" i="35"/>
  <c r="R47" i="35" s="1"/>
  <c r="Q55" i="35"/>
  <c r="R55" i="35" s="1"/>
  <c r="Q56" i="35"/>
  <c r="R56" i="35" s="1"/>
  <c r="Q60" i="35"/>
  <c r="R60" i="35" s="1"/>
  <c r="Q61" i="35"/>
  <c r="R61" i="35" s="1"/>
  <c r="C48" i="36"/>
  <c r="C49" i="36"/>
  <c r="BT61" i="35" l="1"/>
  <c r="AW61" i="35"/>
  <c r="BT40" i="35"/>
  <c r="BT29" i="35"/>
  <c r="AW29" i="35"/>
  <c r="BT60" i="35"/>
  <c r="BT39" i="35"/>
  <c r="BT30" i="35"/>
  <c r="BT56" i="35"/>
  <c r="AW55" i="35"/>
  <c r="BT55" i="35"/>
  <c r="BT47" i="35"/>
  <c r="BT46" i="35"/>
  <c r="Q18" i="35" l="1"/>
  <c r="R18" i="35" s="1"/>
  <c r="AW18" i="35"/>
  <c r="AX18" i="35"/>
  <c r="AY18" i="35"/>
  <c r="AZ18" i="35"/>
  <c r="BB18" i="35"/>
  <c r="BC18" i="35"/>
  <c r="BD18" i="35"/>
  <c r="BE18" i="35"/>
  <c r="BF18" i="35"/>
  <c r="BG18" i="35"/>
  <c r="BH18" i="35"/>
  <c r="BI18" i="35"/>
  <c r="BJ18" i="35"/>
  <c r="BK18" i="35"/>
  <c r="BL18" i="35"/>
  <c r="BM18" i="35"/>
  <c r="BN18" i="35"/>
  <c r="BO18" i="35"/>
  <c r="BP18" i="35"/>
  <c r="BQ18" i="35"/>
  <c r="BR18" i="35"/>
  <c r="BS18" i="35"/>
  <c r="BT18" i="35" l="1"/>
  <c r="BA18" i="35"/>
  <c r="AB92" i="38" l="1"/>
  <c r="AB112" i="38"/>
  <c r="AB113" i="38"/>
  <c r="C35" i="36" l="1"/>
  <c r="C36" i="36"/>
  <c r="C37" i="36"/>
  <c r="C38" i="36"/>
  <c r="D44" i="36" l="1"/>
  <c r="F44" i="36" l="1"/>
  <c r="AX6" i="35"/>
  <c r="AY6" i="35"/>
  <c r="AZ6" i="35"/>
  <c r="BA6" i="35"/>
  <c r="BB6" i="35"/>
  <c r="BC6" i="35"/>
  <c r="BD6" i="35"/>
  <c r="BE6" i="35"/>
  <c r="BF6" i="35"/>
  <c r="BG6" i="35"/>
  <c r="BH6" i="35"/>
  <c r="BI6" i="35"/>
  <c r="BJ6" i="35"/>
  <c r="BK6" i="35"/>
  <c r="BL6" i="35"/>
  <c r="BM6" i="35"/>
  <c r="BN6" i="35"/>
  <c r="BO6" i="35"/>
  <c r="BP6" i="35"/>
  <c r="BQ6" i="35"/>
  <c r="BR6" i="35"/>
  <c r="BS6" i="35"/>
  <c r="AX28" i="35"/>
  <c r="AY28" i="35"/>
  <c r="AZ28" i="35"/>
  <c r="BA28" i="35"/>
  <c r="BB28" i="35"/>
  <c r="BC28" i="35"/>
  <c r="BD28" i="35"/>
  <c r="BE28" i="35"/>
  <c r="BF28" i="35"/>
  <c r="BG28" i="35"/>
  <c r="BH28" i="35"/>
  <c r="BI28" i="35"/>
  <c r="BJ28" i="35"/>
  <c r="BK28" i="35"/>
  <c r="BL28" i="35"/>
  <c r="BM28" i="35"/>
  <c r="BN28" i="35"/>
  <c r="BO28" i="35"/>
  <c r="BP28" i="35"/>
  <c r="BQ28" i="35"/>
  <c r="BR28" i="35"/>
  <c r="BS28" i="35"/>
  <c r="AW37" i="35"/>
  <c r="AY37" i="35"/>
  <c r="AZ37" i="35"/>
  <c r="BA37" i="35"/>
  <c r="BB37" i="35"/>
  <c r="BC37" i="35"/>
  <c r="BD37" i="35"/>
  <c r="BE37" i="35"/>
  <c r="BF37" i="35"/>
  <c r="BG37" i="35"/>
  <c r="BH37" i="35"/>
  <c r="BI37" i="35"/>
  <c r="BJ37" i="35"/>
  <c r="BK37" i="35"/>
  <c r="BL37" i="35"/>
  <c r="BM37" i="35"/>
  <c r="BN37" i="35"/>
  <c r="BO37" i="35"/>
  <c r="BP37" i="35"/>
  <c r="BQ37" i="35"/>
  <c r="BR37" i="35"/>
  <c r="BS37" i="35"/>
  <c r="AW38" i="35"/>
  <c r="AX38" i="35"/>
  <c r="AY38" i="35"/>
  <c r="AZ38" i="35"/>
  <c r="BA38" i="35"/>
  <c r="BB38" i="35"/>
  <c r="BC38" i="35"/>
  <c r="BD38" i="35"/>
  <c r="BE38" i="35"/>
  <c r="BF38" i="35"/>
  <c r="BG38" i="35"/>
  <c r="BH38" i="35"/>
  <c r="BI38" i="35"/>
  <c r="BJ38" i="35"/>
  <c r="BK38" i="35"/>
  <c r="BL38" i="35"/>
  <c r="BM38" i="35"/>
  <c r="BN38" i="35"/>
  <c r="BO38" i="35"/>
  <c r="BP38" i="35"/>
  <c r="BQ38" i="35"/>
  <c r="BR38" i="35"/>
  <c r="BS38" i="35"/>
  <c r="Q6" i="35"/>
  <c r="R6" i="35" s="1"/>
  <c r="Q28" i="35"/>
  <c r="R28" i="35" s="1"/>
  <c r="Q37" i="35"/>
  <c r="R37" i="35" s="1"/>
  <c r="Q38" i="35"/>
  <c r="R38" i="35" s="1"/>
  <c r="AB13" i="38"/>
  <c r="AB57" i="38"/>
  <c r="AB58" i="38"/>
  <c r="C47" i="36"/>
  <c r="D45" i="36" l="1"/>
  <c r="BT37" i="35"/>
  <c r="AX37" i="35"/>
  <c r="BT28" i="35"/>
  <c r="BT38" i="35"/>
  <c r="BT6" i="35"/>
  <c r="AW28" i="35"/>
  <c r="AW6" i="35"/>
  <c r="F45" i="36" l="1"/>
  <c r="D48" i="36" l="1"/>
  <c r="D49" i="36" s="1"/>
  <c r="F46" i="36"/>
  <c r="C14" i="8"/>
  <c r="C9" i="8"/>
  <c r="C13" i="8"/>
  <c r="C15" i="8"/>
  <c r="C16" i="8"/>
  <c r="C19" i="8"/>
  <c r="C56" i="8" l="1"/>
  <c r="C46" i="8"/>
  <c r="C53" i="8"/>
  <c r="C52" i="8"/>
  <c r="C50" i="8"/>
  <c r="C51" i="8"/>
  <c r="C10" i="8"/>
  <c r="C5" i="8"/>
  <c r="C4" i="8"/>
  <c r="B10" i="36" s="1"/>
  <c r="B23" i="36" s="1"/>
  <c r="C6" i="8"/>
  <c r="C17" i="8"/>
  <c r="C43" i="8" l="1"/>
  <c r="C42" i="8"/>
  <c r="C54" i="8"/>
  <c r="C47" i="8"/>
  <c r="C23" i="8"/>
  <c r="C12" i="8"/>
  <c r="C20" i="8"/>
  <c r="C11" i="8"/>
  <c r="C22" i="8"/>
  <c r="C24" i="8"/>
  <c r="C18" i="8"/>
  <c r="C7" i="8"/>
  <c r="C25" i="8"/>
  <c r="C8" i="8"/>
  <c r="C41" i="8"/>
  <c r="B9" i="36" l="1"/>
  <c r="C45" i="8"/>
  <c r="C44" i="8"/>
  <c r="C61" i="8"/>
  <c r="C59" i="8"/>
  <c r="C57" i="8"/>
  <c r="C49" i="8"/>
  <c r="C55" i="8"/>
  <c r="C48" i="8"/>
  <c r="E62" i="8"/>
  <c r="F62" i="8" s="1"/>
  <c r="G62" i="8" s="1"/>
  <c r="H62" i="8" s="1"/>
  <c r="I62" i="8" s="1"/>
  <c r="J62" i="8" s="1"/>
  <c r="K62" i="8" s="1"/>
  <c r="L62" i="8" s="1"/>
  <c r="M62" i="8" s="1"/>
  <c r="N62" i="8" s="1"/>
  <c r="O62" i="8" s="1"/>
  <c r="P62" i="8" s="1"/>
  <c r="C62" i="8"/>
  <c r="C60" i="8"/>
  <c r="C10" i="36"/>
  <c r="C9" i="36" l="1"/>
  <c r="C23" i="36"/>
  <c r="F47" i="36"/>
  <c r="F48" i="36" l="1"/>
  <c r="F49" i="36" l="1"/>
  <c r="N4" i="12" l="1"/>
  <c r="O4" i="12"/>
  <c r="N5" i="12"/>
  <c r="O4" i="8" s="1"/>
  <c r="O5" i="12"/>
  <c r="P4" i="8" s="1"/>
  <c r="N6" i="12"/>
  <c r="O5" i="8" s="1"/>
  <c r="O6" i="12"/>
  <c r="P5" i="8" s="1"/>
  <c r="N7" i="12"/>
  <c r="O6" i="8" s="1"/>
  <c r="O7" i="12"/>
  <c r="P6" i="8" s="1"/>
  <c r="N8" i="12"/>
  <c r="O7" i="8" s="1"/>
  <c r="O8" i="12"/>
  <c r="P7" i="8" s="1"/>
  <c r="N9" i="12"/>
  <c r="O8" i="8" s="1"/>
  <c r="O9" i="12"/>
  <c r="P8" i="8" s="1"/>
  <c r="N10" i="12"/>
  <c r="O9" i="8" s="1"/>
  <c r="O10" i="12"/>
  <c r="P9" i="8" s="1"/>
  <c r="N11" i="12"/>
  <c r="O10" i="8" s="1"/>
  <c r="O11" i="12"/>
  <c r="P10" i="8" s="1"/>
  <c r="N12" i="12"/>
  <c r="O11" i="8" s="1"/>
  <c r="O12" i="12"/>
  <c r="P11" i="8" s="1"/>
  <c r="N13" i="12"/>
  <c r="O12" i="8" s="1"/>
  <c r="O13" i="12"/>
  <c r="P12" i="8" s="1"/>
  <c r="N14" i="12"/>
  <c r="O13" i="8" s="1"/>
  <c r="O14" i="12"/>
  <c r="P13" i="8" s="1"/>
  <c r="N15" i="12"/>
  <c r="O14" i="8" s="1"/>
  <c r="O15" i="12"/>
  <c r="P14" i="8" s="1"/>
  <c r="N16" i="12"/>
  <c r="O15" i="8" s="1"/>
  <c r="O16" i="12"/>
  <c r="P15" i="8" s="1"/>
  <c r="N17" i="12"/>
  <c r="O16" i="8" s="1"/>
  <c r="O17" i="12"/>
  <c r="P16" i="8" s="1"/>
  <c r="N18" i="12"/>
  <c r="O17" i="8" s="1"/>
  <c r="O18" i="12"/>
  <c r="P17" i="8" s="1"/>
  <c r="N19" i="12"/>
  <c r="O18" i="8" s="1"/>
  <c r="O19" i="12"/>
  <c r="P18" i="8" s="1"/>
  <c r="N20" i="12"/>
  <c r="O19" i="8" s="1"/>
  <c r="O20" i="12"/>
  <c r="P19" i="8" s="1"/>
  <c r="N21" i="12"/>
  <c r="O20" i="8" s="1"/>
  <c r="O21" i="12"/>
  <c r="P20" i="8" s="1"/>
  <c r="N22" i="12"/>
  <c r="O21" i="8" s="1"/>
  <c r="O22" i="12"/>
  <c r="P21" i="8" s="1"/>
  <c r="N23" i="12"/>
  <c r="O22" i="8" s="1"/>
  <c r="O23" i="12"/>
  <c r="P22" i="8" s="1"/>
  <c r="N24" i="12"/>
  <c r="O23" i="8" s="1"/>
  <c r="O24" i="12"/>
  <c r="P23" i="8" s="1"/>
  <c r="N25" i="12"/>
  <c r="O24" i="8" s="1"/>
  <c r="O25" i="12"/>
  <c r="P24" i="8" s="1"/>
  <c r="C20" i="12"/>
  <c r="G4" i="12"/>
  <c r="G8" i="12"/>
  <c r="G12" i="12"/>
  <c r="G16" i="12"/>
  <c r="G20" i="12"/>
  <c r="G24" i="12"/>
  <c r="G6" i="12"/>
  <c r="M23" i="12"/>
  <c r="M4" i="12"/>
  <c r="M8" i="12"/>
  <c r="M12" i="12"/>
  <c r="M16" i="12"/>
  <c r="M20" i="12"/>
  <c r="M24" i="12"/>
  <c r="M19" i="12"/>
  <c r="G5" i="12"/>
  <c r="G9" i="12"/>
  <c r="G13" i="12"/>
  <c r="G17" i="12"/>
  <c r="G21" i="12"/>
  <c r="G25" i="12"/>
  <c r="G10" i="12"/>
  <c r="G18" i="12"/>
  <c r="M5" i="12"/>
  <c r="M9" i="12"/>
  <c r="M13" i="12"/>
  <c r="M17" i="12"/>
  <c r="M21" i="12"/>
  <c r="M25" i="12"/>
  <c r="G14" i="12"/>
  <c r="G22" i="12"/>
  <c r="M15" i="12"/>
  <c r="M6" i="12"/>
  <c r="M10" i="12"/>
  <c r="M14" i="12"/>
  <c r="M18" i="12"/>
  <c r="M22" i="12"/>
  <c r="M7" i="12"/>
  <c r="G7" i="12"/>
  <c r="G11" i="12"/>
  <c r="G15" i="12"/>
  <c r="G19" i="12"/>
  <c r="G23" i="12"/>
  <c r="M11" i="12"/>
  <c r="J20" i="12"/>
  <c r="K18" i="12"/>
  <c r="D25" i="12"/>
  <c r="I12" i="12"/>
  <c r="D8" i="12"/>
  <c r="J18" i="12"/>
  <c r="D15" i="12"/>
  <c r="I24" i="12"/>
  <c r="D14" i="12"/>
  <c r="J23" i="12"/>
  <c r="H9" i="12"/>
  <c r="K14" i="12"/>
  <c r="H23" i="12"/>
  <c r="K20" i="12"/>
  <c r="I6" i="12"/>
  <c r="L4" i="12"/>
  <c r="L11" i="12"/>
  <c r="H18" i="12"/>
  <c r="J7" i="12"/>
  <c r="J11" i="12"/>
  <c r="I21" i="12"/>
  <c r="D16" i="12"/>
  <c r="K7" i="12"/>
  <c r="L12" i="12"/>
  <c r="J13" i="12"/>
  <c r="K10" i="12"/>
  <c r="D18" i="12"/>
  <c r="I4" i="12"/>
  <c r="L24" i="12"/>
  <c r="J10" i="12"/>
  <c r="D7" i="12"/>
  <c r="I17" i="12"/>
  <c r="D6" i="12"/>
  <c r="J16" i="12"/>
  <c r="D20" i="12"/>
  <c r="K6" i="12"/>
  <c r="H16" i="12"/>
  <c r="K13" i="12"/>
  <c r="H22" i="12"/>
  <c r="K12" i="12"/>
  <c r="H5" i="12"/>
  <c r="I10" i="12"/>
  <c r="L7" i="12"/>
  <c r="D12" i="12"/>
  <c r="L20" i="12"/>
  <c r="K25" i="12"/>
  <c r="K8" i="12"/>
  <c r="L13" i="12"/>
  <c r="J5" i="12"/>
  <c r="J9" i="12"/>
  <c r="D10" i="12"/>
  <c r="H20" i="12"/>
  <c r="L17" i="12"/>
  <c r="I25" i="12"/>
  <c r="L23" i="12"/>
  <c r="I9" i="12"/>
  <c r="L22" i="12"/>
  <c r="J8" i="12"/>
  <c r="D13" i="12"/>
  <c r="J22" i="12"/>
  <c r="H8" i="12"/>
  <c r="K5" i="12"/>
  <c r="H15" i="12"/>
  <c r="I20" i="12"/>
  <c r="K24" i="12"/>
  <c r="I16" i="12"/>
  <c r="J14" i="12"/>
  <c r="I15" i="12"/>
  <c r="J12" i="12"/>
  <c r="H17" i="12"/>
  <c r="H6" i="12"/>
  <c r="D24" i="12"/>
  <c r="I19" i="12"/>
  <c r="L19" i="12"/>
  <c r="H13" i="12"/>
  <c r="L9" i="12"/>
  <c r="I18" i="12"/>
  <c r="L16" i="12"/>
  <c r="H25" i="12"/>
  <c r="L15" i="12"/>
  <c r="I23" i="12"/>
  <c r="D5" i="12"/>
  <c r="J15" i="12"/>
  <c r="J19" i="12"/>
  <c r="J21" i="12"/>
  <c r="H7" i="12"/>
  <c r="I13" i="12"/>
  <c r="I11" i="12"/>
  <c r="L8" i="12"/>
  <c r="L21" i="12"/>
  <c r="I5" i="12"/>
  <c r="L6" i="12"/>
  <c r="J17" i="12"/>
  <c r="D21" i="12"/>
  <c r="I14" i="12"/>
  <c r="D17" i="12"/>
  <c r="H14" i="12"/>
  <c r="D22" i="12"/>
  <c r="K21" i="12"/>
  <c r="D9" i="12"/>
  <c r="H12" i="12"/>
  <c r="K19" i="12"/>
  <c r="L25" i="12"/>
  <c r="K17" i="12"/>
  <c r="H19" i="12"/>
  <c r="K23" i="12"/>
  <c r="H10" i="12"/>
  <c r="K22" i="12"/>
  <c r="I8" i="12"/>
  <c r="L14" i="12"/>
  <c r="I22" i="12"/>
  <c r="D4" i="12"/>
  <c r="J6" i="12"/>
  <c r="D19" i="12"/>
  <c r="H21" i="12"/>
  <c r="L10" i="12"/>
  <c r="J24" i="12"/>
  <c r="K11" i="12"/>
  <c r="D23" i="12"/>
  <c r="K9" i="12"/>
  <c r="H11" i="12"/>
  <c r="K16" i="12"/>
  <c r="L18" i="12"/>
  <c r="K15" i="12"/>
  <c r="H24" i="12"/>
  <c r="D11" i="12"/>
  <c r="J25" i="12"/>
  <c r="I7" i="12"/>
  <c r="L5" i="12"/>
  <c r="F17" i="12"/>
  <c r="F21" i="12"/>
  <c r="F19" i="12"/>
  <c r="F25" i="12"/>
  <c r="H4" i="12"/>
  <c r="F9" i="12"/>
  <c r="F14" i="12"/>
  <c r="F20" i="12"/>
  <c r="F13" i="12"/>
  <c r="J4" i="12"/>
  <c r="F23" i="12"/>
  <c r="F6" i="12"/>
  <c r="F16" i="12"/>
  <c r="F8" i="12"/>
  <c r="K4" i="12"/>
  <c r="F18" i="12"/>
  <c r="F22" i="12"/>
  <c r="F5" i="12"/>
  <c r="F7" i="12"/>
  <c r="F10" i="12"/>
  <c r="F15" i="12"/>
  <c r="F12" i="12"/>
  <c r="F24" i="12"/>
  <c r="F4" i="12"/>
  <c r="F11" i="12"/>
  <c r="E10" i="12"/>
  <c r="E24" i="12"/>
  <c r="E4" i="12"/>
  <c r="E5" i="12"/>
  <c r="E15" i="12"/>
  <c r="E6" i="12"/>
  <c r="E7" i="12"/>
  <c r="E9" i="12"/>
  <c r="E23" i="12"/>
  <c r="E14" i="12"/>
  <c r="E22" i="12"/>
  <c r="E19" i="12"/>
  <c r="E13" i="12"/>
  <c r="E11" i="12"/>
  <c r="E17" i="12"/>
  <c r="E25" i="12"/>
  <c r="E8" i="12"/>
  <c r="E12" i="12"/>
  <c r="E20" i="12"/>
  <c r="E21" i="12"/>
  <c r="E16" i="12"/>
  <c r="E18" i="12"/>
  <c r="C4" i="12"/>
  <c r="C5" i="12"/>
  <c r="C15" i="12"/>
  <c r="C7" i="12"/>
  <c r="C25" i="12"/>
  <c r="C22" i="12"/>
  <c r="C18" i="12"/>
  <c r="C10" i="12"/>
  <c r="C13" i="12"/>
  <c r="C16" i="12"/>
  <c r="C8" i="12"/>
  <c r="C17" i="12"/>
  <c r="C9" i="12"/>
  <c r="C12" i="12"/>
  <c r="C23" i="12"/>
  <c r="C19" i="12"/>
  <c r="C11" i="12"/>
  <c r="C24" i="12"/>
  <c r="C14" i="12"/>
  <c r="C21" i="12"/>
  <c r="C6" i="12"/>
  <c r="P24" i="12" l="1"/>
  <c r="P21" i="12"/>
  <c r="P11" i="12"/>
  <c r="P18" i="12"/>
  <c r="P7" i="12"/>
  <c r="P22" i="12"/>
  <c r="P6" i="12"/>
  <c r="P25" i="12"/>
  <c r="P14" i="12"/>
  <c r="P15" i="12"/>
  <c r="P5" i="12"/>
  <c r="P4" i="12"/>
  <c r="P19" i="12"/>
  <c r="P23" i="12"/>
  <c r="P12" i="12"/>
  <c r="P9" i="12"/>
  <c r="P17" i="12"/>
  <c r="P8" i="12"/>
  <c r="P16" i="12"/>
  <c r="P13" i="12"/>
  <c r="P10" i="12"/>
  <c r="P20" i="12"/>
  <c r="P3" i="8"/>
  <c r="P26" i="8" s="1"/>
  <c r="P30" i="8" s="1"/>
  <c r="O26" i="12"/>
  <c r="O3" i="8"/>
  <c r="O26" i="8" s="1"/>
  <c r="O30" i="8" s="1"/>
  <c r="N26" i="12"/>
  <c r="H7" i="8"/>
  <c r="H11" i="8"/>
  <c r="H15" i="8"/>
  <c r="H19" i="8"/>
  <c r="H23" i="8"/>
  <c r="H5" i="8"/>
  <c r="N22" i="8"/>
  <c r="N7" i="8"/>
  <c r="N11" i="8"/>
  <c r="N15" i="8"/>
  <c r="N19" i="8"/>
  <c r="N23" i="8"/>
  <c r="N18" i="8"/>
  <c r="H4" i="8"/>
  <c r="H8" i="8"/>
  <c r="H12" i="8"/>
  <c r="H16" i="8"/>
  <c r="H20" i="8"/>
  <c r="H24" i="8"/>
  <c r="H9" i="8"/>
  <c r="H17" i="8"/>
  <c r="N4" i="8"/>
  <c r="N8" i="8"/>
  <c r="N12" i="8"/>
  <c r="N16" i="8"/>
  <c r="N20" i="8"/>
  <c r="N24" i="8"/>
  <c r="H13" i="8"/>
  <c r="H21" i="8"/>
  <c r="N14" i="8"/>
  <c r="N5" i="8"/>
  <c r="N9" i="8"/>
  <c r="N13" i="8"/>
  <c r="N17" i="8"/>
  <c r="N21" i="8"/>
  <c r="N6" i="8"/>
  <c r="H6" i="8"/>
  <c r="H10" i="8"/>
  <c r="H14" i="8"/>
  <c r="H18" i="8"/>
  <c r="H22" i="8"/>
  <c r="N10" i="8"/>
  <c r="K19" i="8"/>
  <c r="L17" i="8"/>
  <c r="E24" i="8"/>
  <c r="E61" i="8" s="1"/>
  <c r="J11" i="8"/>
  <c r="E7" i="8"/>
  <c r="E44" i="8" s="1"/>
  <c r="K17" i="8"/>
  <c r="E14" i="8"/>
  <c r="E51" i="8" s="1"/>
  <c r="J23" i="8"/>
  <c r="E13" i="8"/>
  <c r="E50" i="8" s="1"/>
  <c r="K22" i="8"/>
  <c r="I8" i="8"/>
  <c r="L13" i="8"/>
  <c r="I22" i="8"/>
  <c r="L19" i="8"/>
  <c r="J5" i="8"/>
  <c r="M10" i="8"/>
  <c r="I17" i="8"/>
  <c r="K6" i="8"/>
  <c r="K10" i="8"/>
  <c r="J20" i="8"/>
  <c r="E15" i="8"/>
  <c r="E52" i="8" s="1"/>
  <c r="L6" i="8"/>
  <c r="M11" i="8"/>
  <c r="K12" i="8"/>
  <c r="L9" i="8"/>
  <c r="E17" i="8"/>
  <c r="E54" i="8" s="1"/>
  <c r="M23" i="8"/>
  <c r="K9" i="8"/>
  <c r="E6" i="8"/>
  <c r="E43" i="8" s="1"/>
  <c r="J16" i="8"/>
  <c r="E5" i="8"/>
  <c r="E42" i="8" s="1"/>
  <c r="K15" i="8"/>
  <c r="E19" i="8"/>
  <c r="E56" i="8" s="1"/>
  <c r="L5" i="8"/>
  <c r="I15" i="8"/>
  <c r="L12" i="8"/>
  <c r="I21" i="8"/>
  <c r="L11" i="8"/>
  <c r="I4" i="8"/>
  <c r="J9" i="8"/>
  <c r="M6" i="8"/>
  <c r="E11" i="8"/>
  <c r="E48" i="8" s="1"/>
  <c r="M19" i="8"/>
  <c r="L24" i="8"/>
  <c r="L7" i="8"/>
  <c r="M12" i="8"/>
  <c r="K4" i="8"/>
  <c r="K8" i="8"/>
  <c r="E9" i="8"/>
  <c r="E46" i="8" s="1"/>
  <c r="I19" i="8"/>
  <c r="M16" i="8"/>
  <c r="J24" i="8"/>
  <c r="M22" i="8"/>
  <c r="J8" i="8"/>
  <c r="M21" i="8"/>
  <c r="K7" i="8"/>
  <c r="E12" i="8"/>
  <c r="K21" i="8"/>
  <c r="I7" i="8"/>
  <c r="L4" i="8"/>
  <c r="I14" i="8"/>
  <c r="J19" i="8"/>
  <c r="L23" i="8"/>
  <c r="J15" i="8"/>
  <c r="K13" i="8"/>
  <c r="J14" i="8"/>
  <c r="K11" i="8"/>
  <c r="I16" i="8"/>
  <c r="I5" i="8"/>
  <c r="E23" i="8"/>
  <c r="E60" i="8" s="1"/>
  <c r="J18" i="8"/>
  <c r="M18" i="8"/>
  <c r="I12" i="8"/>
  <c r="M8" i="8"/>
  <c r="J17" i="8"/>
  <c r="M15" i="8"/>
  <c r="I24" i="8"/>
  <c r="M14" i="8"/>
  <c r="J22" i="8"/>
  <c r="E4" i="8"/>
  <c r="K14" i="8"/>
  <c r="K18" i="8"/>
  <c r="K20" i="8"/>
  <c r="I6" i="8"/>
  <c r="J12" i="8"/>
  <c r="J10" i="8"/>
  <c r="M7" i="8"/>
  <c r="M20" i="8"/>
  <c r="J4" i="8"/>
  <c r="M5" i="8"/>
  <c r="K16" i="8"/>
  <c r="E20" i="8"/>
  <c r="E57" i="8" s="1"/>
  <c r="J13" i="8"/>
  <c r="E16" i="8"/>
  <c r="I13" i="8"/>
  <c r="E21" i="8"/>
  <c r="L20" i="8"/>
  <c r="E8" i="8"/>
  <c r="I11" i="8"/>
  <c r="L18" i="8"/>
  <c r="M24" i="8"/>
  <c r="L16" i="8"/>
  <c r="I18" i="8"/>
  <c r="L22" i="8"/>
  <c r="I9" i="8"/>
  <c r="L21" i="8"/>
  <c r="J7" i="8"/>
  <c r="M13" i="8"/>
  <c r="J21" i="8"/>
  <c r="K5" i="8"/>
  <c r="E18" i="8"/>
  <c r="E55" i="8" s="1"/>
  <c r="I20" i="8"/>
  <c r="M9" i="8"/>
  <c r="K23" i="8"/>
  <c r="L10" i="8"/>
  <c r="E22" i="8"/>
  <c r="E59" i="8" s="1"/>
  <c r="L8" i="8"/>
  <c r="I10" i="8"/>
  <c r="L15" i="8"/>
  <c r="M17" i="8"/>
  <c r="L14" i="8"/>
  <c r="I23" i="8"/>
  <c r="E10" i="8"/>
  <c r="K24" i="8"/>
  <c r="J6" i="8"/>
  <c r="M4" i="8"/>
  <c r="G16" i="8"/>
  <c r="G20" i="8"/>
  <c r="G18" i="8"/>
  <c r="G24" i="8"/>
  <c r="G8" i="8"/>
  <c r="G13" i="8"/>
  <c r="G19" i="8"/>
  <c r="G12" i="8"/>
  <c r="G22" i="8"/>
  <c r="G5" i="8"/>
  <c r="G15" i="8"/>
  <c r="G7" i="8"/>
  <c r="G17" i="8"/>
  <c r="G21" i="8"/>
  <c r="G4" i="8"/>
  <c r="G6" i="8"/>
  <c r="G9" i="8"/>
  <c r="G14" i="8"/>
  <c r="G11" i="8"/>
  <c r="G23" i="8"/>
  <c r="G10" i="8"/>
  <c r="F9" i="8"/>
  <c r="F23" i="8"/>
  <c r="F4" i="8"/>
  <c r="F14" i="8"/>
  <c r="F5" i="8"/>
  <c r="F6" i="8"/>
  <c r="F8" i="8"/>
  <c r="F22" i="8"/>
  <c r="F13" i="8"/>
  <c r="F21" i="8"/>
  <c r="F18" i="8"/>
  <c r="F12" i="8"/>
  <c r="F10" i="8"/>
  <c r="F16" i="8"/>
  <c r="F24" i="8"/>
  <c r="F7" i="8"/>
  <c r="F11" i="8"/>
  <c r="F19" i="8"/>
  <c r="F20" i="8"/>
  <c r="F15" i="8"/>
  <c r="F17" i="8"/>
  <c r="I3" i="8"/>
  <c r="H26" i="12"/>
  <c r="H3" i="8"/>
  <c r="G26" i="12"/>
  <c r="G3" i="8"/>
  <c r="F26" i="12"/>
  <c r="N3" i="8"/>
  <c r="M26" i="12"/>
  <c r="F3" i="8"/>
  <c r="E26" i="12"/>
  <c r="M3" i="8"/>
  <c r="L26" i="12"/>
  <c r="C26" i="12"/>
  <c r="L3" i="8"/>
  <c r="K26" i="12"/>
  <c r="K3" i="8"/>
  <c r="J26" i="12"/>
  <c r="E3" i="8"/>
  <c r="D26" i="12"/>
  <c r="J3" i="8"/>
  <c r="I26" i="12"/>
  <c r="E41" i="8" l="1"/>
  <c r="F41" i="8" s="1"/>
  <c r="G41" i="8" s="1"/>
  <c r="H41" i="8" s="1"/>
  <c r="I41" i="8" s="1"/>
  <c r="J41" i="8" s="1"/>
  <c r="K41" i="8" s="1"/>
  <c r="L41" i="8" s="1"/>
  <c r="M41" i="8" s="1"/>
  <c r="N41" i="8" s="1"/>
  <c r="O41" i="8" s="1"/>
  <c r="P41" i="8" s="1"/>
  <c r="B24" i="36"/>
  <c r="B25" i="36" s="1"/>
  <c r="C25" i="36" s="1"/>
  <c r="P26" i="12"/>
  <c r="Q26" i="12" s="1"/>
  <c r="F46" i="8"/>
  <c r="G46" i="8" s="1"/>
  <c r="H46" i="8" s="1"/>
  <c r="I46" i="8" s="1"/>
  <c r="J46" i="8" s="1"/>
  <c r="K46" i="8" s="1"/>
  <c r="L46" i="8" s="1"/>
  <c r="M46" i="8" s="1"/>
  <c r="N46" i="8" s="1"/>
  <c r="O46" i="8" s="1"/>
  <c r="P46" i="8" s="1"/>
  <c r="F61" i="8"/>
  <c r="G61" i="8" s="1"/>
  <c r="H61" i="8" s="1"/>
  <c r="I61" i="8" s="1"/>
  <c r="J61" i="8" s="1"/>
  <c r="K61" i="8" s="1"/>
  <c r="L61" i="8" s="1"/>
  <c r="M61" i="8" s="1"/>
  <c r="N61" i="8" s="1"/>
  <c r="O61" i="8" s="1"/>
  <c r="P61" i="8" s="1"/>
  <c r="Q6" i="8"/>
  <c r="Q11" i="8"/>
  <c r="R11" i="8" s="1"/>
  <c r="Q9" i="8"/>
  <c r="R9" i="8" s="1"/>
  <c r="F48" i="8"/>
  <c r="G48" i="8" s="1"/>
  <c r="H48" i="8" s="1"/>
  <c r="I48" i="8" s="1"/>
  <c r="J48" i="8" s="1"/>
  <c r="K48" i="8" s="1"/>
  <c r="L48" i="8" s="1"/>
  <c r="M48" i="8" s="1"/>
  <c r="N48" i="8" s="1"/>
  <c r="O48" i="8" s="1"/>
  <c r="P48" i="8" s="1"/>
  <c r="F60" i="8"/>
  <c r="G60" i="8" s="1"/>
  <c r="H60" i="8" s="1"/>
  <c r="I60" i="8" s="1"/>
  <c r="J60" i="8" s="1"/>
  <c r="K60" i="8" s="1"/>
  <c r="L60" i="8" s="1"/>
  <c r="M60" i="8" s="1"/>
  <c r="N60" i="8" s="1"/>
  <c r="O60" i="8" s="1"/>
  <c r="P60" i="8" s="1"/>
  <c r="F55" i="8"/>
  <c r="G55" i="8" s="1"/>
  <c r="H55" i="8" s="1"/>
  <c r="I55" i="8" s="1"/>
  <c r="J55" i="8" s="1"/>
  <c r="K55" i="8" s="1"/>
  <c r="L55" i="8" s="1"/>
  <c r="M55" i="8" s="1"/>
  <c r="N55" i="8" s="1"/>
  <c r="O55" i="8" s="1"/>
  <c r="P55" i="8" s="1"/>
  <c r="F57" i="8"/>
  <c r="G57" i="8" s="1"/>
  <c r="H57" i="8" s="1"/>
  <c r="F59" i="8"/>
  <c r="G59" i="8" s="1"/>
  <c r="H59" i="8" s="1"/>
  <c r="I59" i="8" s="1"/>
  <c r="J59" i="8" s="1"/>
  <c r="K59" i="8" s="1"/>
  <c r="L59" i="8" s="1"/>
  <c r="M59" i="8" s="1"/>
  <c r="N59" i="8" s="1"/>
  <c r="O59" i="8" s="1"/>
  <c r="P59" i="8" s="1"/>
  <c r="F43" i="8"/>
  <c r="G43" i="8" s="1"/>
  <c r="H43" i="8" s="1"/>
  <c r="I43" i="8" s="1"/>
  <c r="J43" i="8" s="1"/>
  <c r="K43" i="8" s="1"/>
  <c r="L43" i="8" s="1"/>
  <c r="M43" i="8" s="1"/>
  <c r="N43" i="8" s="1"/>
  <c r="O43" i="8" s="1"/>
  <c r="P43" i="8" s="1"/>
  <c r="F56" i="8"/>
  <c r="G56" i="8" s="1"/>
  <c r="H56" i="8" s="1"/>
  <c r="E49" i="8"/>
  <c r="F49" i="8" s="1"/>
  <c r="G49" i="8" s="1"/>
  <c r="H49" i="8" s="1"/>
  <c r="I49" i="8" s="1"/>
  <c r="J49" i="8" s="1"/>
  <c r="K49" i="8" s="1"/>
  <c r="L49" i="8" s="1"/>
  <c r="M49" i="8" s="1"/>
  <c r="N49" i="8" s="1"/>
  <c r="O49" i="8" s="1"/>
  <c r="P49" i="8" s="1"/>
  <c r="Q12" i="8"/>
  <c r="R12" i="8" s="1"/>
  <c r="E53" i="8"/>
  <c r="F53" i="8" s="1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16" i="8"/>
  <c r="R16" i="8" s="1"/>
  <c r="E45" i="8"/>
  <c r="F45" i="8" s="1"/>
  <c r="G45" i="8" s="1"/>
  <c r="H45" i="8" s="1"/>
  <c r="I45" i="8" s="1"/>
  <c r="J45" i="8" s="1"/>
  <c r="K45" i="8" s="1"/>
  <c r="L45" i="8" s="1"/>
  <c r="M45" i="8" s="1"/>
  <c r="N45" i="8" s="1"/>
  <c r="O45" i="8" s="1"/>
  <c r="P45" i="8" s="1"/>
  <c r="Q8" i="8"/>
  <c r="E47" i="8"/>
  <c r="F47" i="8" s="1"/>
  <c r="G47" i="8" s="1"/>
  <c r="H47" i="8" s="1"/>
  <c r="I47" i="8" s="1"/>
  <c r="J47" i="8" s="1"/>
  <c r="K47" i="8" s="1"/>
  <c r="L47" i="8" s="1"/>
  <c r="M47" i="8" s="1"/>
  <c r="N47" i="8" s="1"/>
  <c r="O47" i="8" s="1"/>
  <c r="P47" i="8" s="1"/>
  <c r="Q10" i="8"/>
  <c r="R10" i="8" s="1"/>
  <c r="F51" i="8"/>
  <c r="G51" i="8" s="1"/>
  <c r="H51" i="8" s="1"/>
  <c r="Q14" i="8"/>
  <c r="R14" i="8" s="1"/>
  <c r="F42" i="8"/>
  <c r="G42" i="8" s="1"/>
  <c r="H42" i="8" s="1"/>
  <c r="I42" i="8" s="1"/>
  <c r="J42" i="8" s="1"/>
  <c r="K42" i="8" s="1"/>
  <c r="L42" i="8" s="1"/>
  <c r="M42" i="8" s="1"/>
  <c r="N42" i="8" s="1"/>
  <c r="O42" i="8" s="1"/>
  <c r="P42" i="8" s="1"/>
  <c r="Q5" i="8"/>
  <c r="F50" i="8"/>
  <c r="G50" i="8" s="1"/>
  <c r="H50" i="8" s="1"/>
  <c r="I50" i="8" s="1"/>
  <c r="J50" i="8" s="1"/>
  <c r="K50" i="8" s="1"/>
  <c r="L50" i="8" s="1"/>
  <c r="M50" i="8" s="1"/>
  <c r="N50" i="8" s="1"/>
  <c r="O50" i="8" s="1"/>
  <c r="P50" i="8" s="1"/>
  <c r="Q13" i="8"/>
  <c r="R13" i="8" s="1"/>
  <c r="F44" i="8"/>
  <c r="G44" i="8" s="1"/>
  <c r="H44" i="8" s="1"/>
  <c r="I44" i="8" s="1"/>
  <c r="J44" i="8" s="1"/>
  <c r="K44" i="8" s="1"/>
  <c r="L44" i="8" s="1"/>
  <c r="M44" i="8" s="1"/>
  <c r="N44" i="8" s="1"/>
  <c r="O44" i="8" s="1"/>
  <c r="P44" i="8" s="1"/>
  <c r="Q7" i="8"/>
  <c r="R7" i="8" s="1"/>
  <c r="F52" i="8"/>
  <c r="G52" i="8" s="1"/>
  <c r="H52" i="8" s="1"/>
  <c r="Q15" i="8"/>
  <c r="R15" i="8" s="1"/>
  <c r="F54" i="8"/>
  <c r="G54" i="8" s="1"/>
  <c r="H54" i="8" s="1"/>
  <c r="I54" i="8" s="1"/>
  <c r="J54" i="8" s="1"/>
  <c r="K54" i="8" s="1"/>
  <c r="Q17" i="8"/>
  <c r="R17" i="8" s="1"/>
  <c r="Q4" i="8"/>
  <c r="R4" i="8" s="1"/>
  <c r="R8" i="8" l="1"/>
  <c r="S8" i="8" s="1"/>
  <c r="R5" i="8"/>
  <c r="S5" i="8" s="1"/>
  <c r="R6" i="8"/>
  <c r="S6" i="8" s="1"/>
  <c r="C24" i="36"/>
  <c r="L54" i="8"/>
  <c r="M54" i="8" s="1"/>
  <c r="V7" i="8"/>
  <c r="I56" i="8"/>
  <c r="J56" i="8" s="1"/>
  <c r="K56" i="8" s="1"/>
  <c r="V5" i="8"/>
  <c r="W5" i="8" s="1"/>
  <c r="V8" i="8"/>
  <c r="I57" i="8"/>
  <c r="J57" i="8" s="1"/>
  <c r="K57" i="8" s="1"/>
  <c r="I51" i="8"/>
  <c r="J51" i="8" s="1"/>
  <c r="K51" i="8" s="1"/>
  <c r="I52" i="8"/>
  <c r="J52" i="8" s="1"/>
  <c r="K52" i="8" s="1"/>
  <c r="AB67" i="38"/>
  <c r="AB56" i="38"/>
  <c r="AB64" i="38"/>
  <c r="AB65" i="38"/>
  <c r="AB66" i="38"/>
  <c r="AB63" i="38"/>
  <c r="AB62" i="38"/>
  <c r="AB79" i="38"/>
  <c r="AB103" i="38"/>
  <c r="AB7" i="38"/>
  <c r="AB39" i="38"/>
  <c r="AB23" i="38"/>
  <c r="AB89" i="38"/>
  <c r="N54" i="8" l="1"/>
  <c r="O54" i="8" s="1"/>
  <c r="P54" i="8" s="1"/>
  <c r="V4" i="8"/>
  <c r="W4" i="8" s="1"/>
  <c r="L56" i="8"/>
  <c r="M56" i="8" s="1"/>
  <c r="L57" i="8"/>
  <c r="M57" i="8" s="1"/>
  <c r="L51" i="8"/>
  <c r="M51" i="8" s="1"/>
  <c r="L52" i="8"/>
  <c r="M52" i="8" s="1"/>
  <c r="V6" i="8"/>
  <c r="AB75" i="38"/>
  <c r="AB100" i="38"/>
  <c r="N52" i="8" l="1"/>
  <c r="O52" i="8" s="1"/>
  <c r="P52" i="8" s="1"/>
  <c r="V16" i="8"/>
  <c r="W16" i="8" s="1"/>
  <c r="N51" i="8"/>
  <c r="O51" i="8" s="1"/>
  <c r="P51" i="8" s="1"/>
  <c r="V15" i="8"/>
  <c r="W15" i="8" s="1"/>
  <c r="N57" i="8"/>
  <c r="O57" i="8" s="1"/>
  <c r="P57" i="8" s="1"/>
  <c r="V19" i="8"/>
  <c r="W19" i="8" s="1"/>
  <c r="N56" i="8"/>
  <c r="O56" i="8" s="1"/>
  <c r="P56" i="8" s="1"/>
  <c r="V18" i="8"/>
  <c r="W18" i="8" s="1"/>
  <c r="V17" i="8"/>
  <c r="W17" i="8" s="1"/>
  <c r="AB55" i="38"/>
  <c r="AB87" i="38"/>
  <c r="AB74" i="38"/>
  <c r="AB76" i="38"/>
  <c r="AB59" i="38" l="1"/>
  <c r="AB50" i="38" l="1"/>
  <c r="AB61" i="38"/>
  <c r="C8" i="36" l="1"/>
  <c r="N2" i="8" l="1"/>
  <c r="K2" i="8"/>
  <c r="L2" i="8"/>
  <c r="M2" i="8"/>
  <c r="AB73" i="38" l="1"/>
  <c r="L27" i="12" l="1"/>
  <c r="E27" i="12"/>
  <c r="H27" i="12"/>
  <c r="J27" i="12"/>
  <c r="C27" i="12"/>
  <c r="M27" i="12"/>
  <c r="K27" i="12"/>
  <c r="I27" i="12"/>
  <c r="G27" i="12"/>
  <c r="D27" i="12"/>
  <c r="F27" i="12"/>
  <c r="AB72" i="38"/>
  <c r="E2" i="8"/>
  <c r="F2" i="8"/>
  <c r="G2" i="8"/>
  <c r="H2" i="8"/>
  <c r="I2" i="8"/>
  <c r="J2" i="8"/>
  <c r="AB49" i="38" l="1"/>
  <c r="AB8" i="38"/>
  <c r="AB106" i="38"/>
  <c r="AB96" i="38"/>
  <c r="AB41" i="38"/>
  <c r="AB51" i="38"/>
  <c r="AB28" i="38"/>
  <c r="AB101" i="38"/>
  <c r="AB2" i="38"/>
  <c r="AB6" i="38"/>
  <c r="AB88" i="38"/>
  <c r="AB86" i="38"/>
  <c r="AB91" i="38"/>
  <c r="AB24" i="38"/>
  <c r="AB11" i="38"/>
  <c r="AB25" i="38"/>
  <c r="AB4" i="38"/>
  <c r="AB110" i="38"/>
  <c r="AB108" i="38"/>
  <c r="AB109" i="38"/>
  <c r="AB107" i="38"/>
  <c r="AB111" i="38"/>
  <c r="AB105" i="38"/>
  <c r="AB104" i="38"/>
  <c r="AB93" i="38"/>
  <c r="AB80" i="38"/>
  <c r="AB77" i="38"/>
  <c r="AB48" i="38"/>
  <c r="AB45" i="38"/>
  <c r="AB40" i="38"/>
  <c r="AB26" i="38"/>
  <c r="AB3" i="38"/>
  <c r="AB5" i="38"/>
  <c r="AB9" i="38"/>
  <c r="AB10" i="38"/>
  <c r="AB12" i="38"/>
  <c r="AB15" i="38"/>
  <c r="AB16" i="38"/>
  <c r="AB17" i="38"/>
  <c r="AB18" i="38"/>
  <c r="AB19" i="38"/>
  <c r="AB20" i="38"/>
  <c r="AB21" i="38"/>
  <c r="AB22" i="38"/>
  <c r="AB27" i="38"/>
  <c r="AB29" i="38"/>
  <c r="AB30" i="38"/>
  <c r="AB31" i="38"/>
  <c r="AB32" i="38"/>
  <c r="AB33" i="38"/>
  <c r="AB34" i="38"/>
  <c r="AB36" i="38"/>
  <c r="AB35" i="38"/>
  <c r="AB37" i="38"/>
  <c r="AB38" i="38"/>
  <c r="AB42" i="38"/>
  <c r="AB43" i="38"/>
  <c r="AB44" i="38"/>
  <c r="AB46" i="38"/>
  <c r="AB47" i="38"/>
  <c r="AB52" i="38"/>
  <c r="AB53" i="38"/>
  <c r="AB54" i="38"/>
  <c r="AB60" i="38"/>
  <c r="AB69" i="38"/>
  <c r="AB70" i="38"/>
  <c r="AB71" i="38"/>
  <c r="AB78" i="38"/>
  <c r="AB82" i="38"/>
  <c r="AB81" i="38"/>
  <c r="AB83" i="38"/>
  <c r="AB84" i="38"/>
  <c r="AB85" i="38"/>
  <c r="AB90" i="38"/>
  <c r="AB94" i="38"/>
  <c r="AB95" i="38"/>
  <c r="AB97" i="38"/>
  <c r="AB98" i="38"/>
  <c r="AB99" i="38"/>
  <c r="AB102" i="38"/>
  <c r="AB14" i="38"/>
  <c r="Q18" i="8" l="1"/>
  <c r="R18" i="8" s="1"/>
  <c r="Q23" i="8"/>
  <c r="R23" i="8" s="1"/>
  <c r="Q20" i="8"/>
  <c r="R20" i="8" s="1"/>
  <c r="Q24" i="8"/>
  <c r="R24" i="8" s="1"/>
  <c r="Q21" i="8"/>
  <c r="Q22" i="8"/>
  <c r="R22" i="8" s="1"/>
  <c r="Q25" i="8"/>
  <c r="R25" i="8" s="1"/>
  <c r="M26" i="8"/>
  <c r="M30" i="8" s="1"/>
  <c r="L26" i="8"/>
  <c r="L30" i="8" s="1"/>
  <c r="K26" i="8"/>
  <c r="K30" i="8" s="1"/>
  <c r="N26" i="8"/>
  <c r="N30" i="8" s="1"/>
  <c r="J26" i="8"/>
  <c r="J30" i="8" s="1"/>
  <c r="Q3" i="8" l="1"/>
  <c r="Q19" i="8"/>
  <c r="R19" i="8" s="1"/>
  <c r="F26" i="8" l="1"/>
  <c r="I26" i="8"/>
  <c r="I30" i="8" s="1"/>
  <c r="G26" i="8" l="1"/>
  <c r="E26" i="8" l="1"/>
  <c r="H26" i="8" l="1"/>
  <c r="Q26" i="8" l="1"/>
  <c r="Q28" i="8" s="1"/>
  <c r="H30" i="8"/>
  <c r="R26" i="12"/>
  <c r="V9" i="8" l="1"/>
  <c r="W7" i="8" l="1"/>
  <c r="W8" i="8"/>
  <c r="W9" i="8"/>
  <c r="C3" i="8"/>
  <c r="R3" i="8" l="1"/>
  <c r="C40" i="8"/>
  <c r="E40" i="8"/>
  <c r="F40" i="8" s="1"/>
  <c r="G40" i="8" s="1"/>
  <c r="H40" i="8" s="1"/>
  <c r="I40" i="8" s="1"/>
  <c r="J40" i="8" s="1"/>
  <c r="K40" i="8" s="1"/>
  <c r="L40" i="8" s="1"/>
  <c r="M40" i="8" s="1"/>
  <c r="N40" i="8" s="1"/>
  <c r="O40" i="8" s="1"/>
  <c r="P40" i="8" s="1"/>
  <c r="W6" i="8"/>
  <c r="C21" i="8" l="1"/>
  <c r="C26" i="8" s="1"/>
  <c r="B2" i="36" s="1"/>
  <c r="B3" i="36" s="1"/>
  <c r="B12" i="36" s="1"/>
  <c r="B16" i="36" s="1"/>
  <c r="R21" i="8" l="1"/>
  <c r="R26" i="8" s="1"/>
  <c r="T26" i="8" s="1"/>
  <c r="E58" i="8"/>
  <c r="F58" i="8" s="1"/>
  <c r="G58" i="8" s="1"/>
  <c r="H58" i="8" s="1"/>
  <c r="I58" i="8" s="1"/>
  <c r="J58" i="8" s="1"/>
  <c r="K58" i="8" s="1"/>
  <c r="L58" i="8" s="1"/>
  <c r="M58" i="8" s="1"/>
  <c r="N58" i="8" s="1"/>
  <c r="O58" i="8" s="1"/>
  <c r="P58" i="8" s="1"/>
  <c r="C58" i="8"/>
  <c r="C28" i="8" l="1"/>
  <c r="E27" i="8"/>
  <c r="F27" i="8" s="1"/>
  <c r="G27" i="8" s="1"/>
  <c r="H27" i="8" s="1"/>
  <c r="I27" i="8" s="1"/>
  <c r="J27" i="8" s="1"/>
  <c r="K27" i="8" s="1"/>
  <c r="L27" i="8" s="1"/>
  <c r="V10" i="8"/>
  <c r="M27" i="8" l="1"/>
  <c r="N27" i="8" s="1"/>
  <c r="O27" i="8" s="1"/>
  <c r="P27" i="8" s="1"/>
  <c r="V11" i="8"/>
  <c r="W10" i="8"/>
  <c r="W11" i="8" s="1"/>
  <c r="C2" i="36"/>
  <c r="C3" i="36" l="1"/>
  <c r="C12" i="36" l="1"/>
  <c r="C16" i="36" l="1"/>
  <c r="C21" i="36" s="1"/>
  <c r="Z3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tc={2A3AD216-2FC3-4657-97D9-DD620EAF34DC}</author>
  </authors>
  <commentList>
    <comment ref="P30" authorId="0" shapeId="0" xr:uid="{2A3AD216-2FC3-4657-97D9-DD620EAF34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We need to account for all bags.
I think maybe some of the ‘routes’ being cancelled mean they don’t reach ‘post’ in your model? @Brillian Cherono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170485-23E0-4ABC-ACA2-2DDC3DC088C0}" keepAlive="1" name="Query - AutoBaseFile" description="Connection to the 'AutoBaseFile' query in the workbook." type="5" refreshedVersion="8" background="1" saveData="1">
    <dbPr connection="Provider=Microsoft.Mashup.OleDb.1;Data Source=$Workbook$;Location=AutoBaseFile;Extended Properties=&quot;&quot;" command="SELECT * FROM [AutoBaseFile]"/>
  </connection>
  <connection id="2" xr16:uid="{F9DA25D9-A310-47F6-B868-DD580210531C}" keepAlive="1" name="Query - AutoLogisticsREport" description="Connection to the 'AutoLogisticsREport' query in the workbook." type="5" refreshedVersion="8" background="1">
    <dbPr connection="Provider=Microsoft.Mashup.OleDb.1;Data Source=$Workbook$;Location=AutoLogisticsREport;Extended Properties=&quot;&quot;" command="SELECT * FROM [AutoLogisticsREport]"/>
  </connection>
  <connection id="3" xr16:uid="{E939CFC8-16FB-43D3-8ED4-3B1EA15B0487}" keepAlive="1" name="Query - FindNewSales" description="Connection to the 'FindNewSales' query in the workbook." type="5" refreshedVersion="8" background="1" saveData="1">
    <dbPr connection="Provider=Microsoft.Mashup.OleDb.1;Data Source=$Workbook$;Location=FindNewSales;Extended Properties=&quot;&quot;" command="SELECT * FROM [FindNewSales]"/>
  </connection>
  <connection id="4" xr16:uid="{65320B6B-7345-4E64-9547-DD9115CD8A03}" keepAlive="1" name="Query - FindOldSales" description="Connection to the 'FindOldSales' query in the workbook." type="5" refreshedVersion="8" background="1" saveData="1">
    <dbPr connection="Provider=Microsoft.Mashup.OleDb.1;Data Source=$Workbook$;Location=FindOldSales;Extended Properties=&quot;&quot;" command="SELECT * FROM [FindOldSales]"/>
  </connection>
</connections>
</file>

<file path=xl/sharedStrings.xml><?xml version="1.0" encoding="utf-8"?>
<sst xmlns="http://schemas.openxmlformats.org/spreadsheetml/2006/main" count="12846" uniqueCount="1318">
  <si>
    <t>How to update this sheet</t>
  </si>
  <si>
    <t>1. Prepare Source Data</t>
  </si>
  <si>
    <t>A) XBS: Current Stock Traders - All</t>
  </si>
  <si>
    <t>i. Download the Stock report, upload it to cobra460.sucafina.com:7000/stock-counter-new</t>
  </si>
  <si>
    <t>ii. Paste the stock table in the "Stocks" sheet from cell H2.</t>
  </si>
  <si>
    <t>iii. If Auction coffee has been purchased and not yet in XBS, add it in the middle column D</t>
  </si>
  <si>
    <t>iv. Known issue with the STOCK COUNTER ignored POST MBUNI HEAVY</t>
  </si>
  <si>
    <t>B) SOL</t>
  </si>
  <si>
    <t>i. Logistcs Report: Origin KENYA, Status 6- Sales Unallocated</t>
  </si>
  <si>
    <t>ii. Daily net Position: detail stock, search position, download</t>
  </si>
  <si>
    <t xml:space="preserve">iii. Open both excel files. </t>
  </si>
  <si>
    <t>iv. From row 2, copy/paste the entirety of the tables into the green sheets "daily net positon" and "logistics report" (Pro Tip: in excel, click on the row number 2, then shit+cntrl+down arrow ke to select all - uiseful for deleting old data here and copying new data over)</t>
  </si>
  <si>
    <t>2. Update Base File</t>
  </si>
  <si>
    <t>A) Click on the Data &gt; Queries &amp; Connections</t>
  </si>
  <si>
    <t>B) Click on "Refresh All"</t>
  </si>
  <si>
    <t>C) This basically compares the logistics report to the base file and spits out new sales to the "AutoFindNewSales" tab, and expired sales to the "FindOldSale" tab.</t>
  </si>
  <si>
    <t>D) Remove old sales from the base file, and add new ones. The colour coding in AutoFindNewSales will help you paste over the right parts without screwing up the formulas.</t>
  </si>
  <si>
    <t>E) If there are new sales, ensure a blend is assigned, and that the formulas for the blends are properly propagated all the way.</t>
  </si>
  <si>
    <t>3. Update Futs&amp;Spreads page</t>
  </si>
  <si>
    <t>A) in SOL, open the KENYACOF26, KENY_AR_DYN26, KENY_AR_ZZ pots</t>
  </si>
  <si>
    <t>B) Copy over the full tonnage of Kenyacof26 ONLY in the "Kenyacof futs" row</t>
  </si>
  <si>
    <t xml:space="preserve">C) Copy over the number of lots from ALL THREE pots specific breakdown per month </t>
  </si>
  <si>
    <t xml:space="preserve">D) Click refresh on the pivot table in A32 </t>
  </si>
  <si>
    <t>4) Check Position</t>
  </si>
  <si>
    <t>a. C21+C25+C26 from Futs and Spreads should be close to zero. Big swings tend to happen when futures crosses and coffee exiting xbs position don't align.</t>
  </si>
  <si>
    <t>b. Big Swings can also happen when PRODUCTION contracts are created matched to DS</t>
  </si>
  <si>
    <t>Monthly Position</t>
  </si>
  <si>
    <t>No. of bags</t>
  </si>
  <si>
    <t>Processed /Export Grades</t>
  </si>
  <si>
    <t>Theoretical stocks</t>
  </si>
  <si>
    <t>S2C</t>
  </si>
  <si>
    <t>Forward Sales</t>
  </si>
  <si>
    <t>Net Position</t>
  </si>
  <si>
    <t>Net with Specialty</t>
  </si>
  <si>
    <t>Net commercial position</t>
  </si>
  <si>
    <t>Certificates Positions</t>
  </si>
  <si>
    <t>Bags</t>
  </si>
  <si>
    <t>FINISHED</t>
  </si>
  <si>
    <t>Offers</t>
  </si>
  <si>
    <t>MT</t>
  </si>
  <si>
    <t>AAA</t>
  </si>
  <si>
    <t>POST NATURAL</t>
  </si>
  <si>
    <t>TOP</t>
  </si>
  <si>
    <t>RFA (Own SC)</t>
  </si>
  <si>
    <t>POST 17 UP TOP</t>
  </si>
  <si>
    <t>PLUS</t>
  </si>
  <si>
    <t>CP</t>
  </si>
  <si>
    <t>POST 16 TOP</t>
  </si>
  <si>
    <t>AA FAQ</t>
  </si>
  <si>
    <t>Net Zero</t>
  </si>
  <si>
    <t>POST 15 TOP</t>
  </si>
  <si>
    <t>AB FAQ</t>
  </si>
  <si>
    <t>POST PB - TOP</t>
  </si>
  <si>
    <t>ABC FAQ</t>
  </si>
  <si>
    <t>POST 17 UP PLUS</t>
  </si>
  <si>
    <t>GRINDER 14+</t>
  </si>
  <si>
    <t>POST 16 PLUS</t>
  </si>
  <si>
    <t>GRINDER 13-</t>
  </si>
  <si>
    <t>POST 15 PLUS</t>
  </si>
  <si>
    <t>TOTAL</t>
  </si>
  <si>
    <t>POST 14 PLUS</t>
  </si>
  <si>
    <t>POST PB - PLUS</t>
  </si>
  <si>
    <t>Commercial Position vs August</t>
  </si>
  <si>
    <t>update vs May</t>
  </si>
  <si>
    <t>POST 17 UP FAQ</t>
  </si>
  <si>
    <t>mt</t>
  </si>
  <si>
    <t>POST 16 FAQ</t>
  </si>
  <si>
    <t>POST 15 FAQ</t>
  </si>
  <si>
    <t>POST 14 FAQ</t>
  </si>
  <si>
    <t>POST PB - FAQ</t>
  </si>
  <si>
    <t>POST GRINDER BOLD</t>
  </si>
  <si>
    <t>POST GRINDER LIGHT</t>
  </si>
  <si>
    <t>POST MH</t>
  </si>
  <si>
    <t>POST ML</t>
  </si>
  <si>
    <t>POST REJECTS S</t>
  </si>
  <si>
    <t>POST REJECTS P</t>
  </si>
  <si>
    <t>Unclassified/Pending Alignment</t>
  </si>
  <si>
    <t xml:space="preserve">Total </t>
  </si>
  <si>
    <t>Monthly Total Shorts</t>
  </si>
  <si>
    <t>Zakayo</t>
  </si>
  <si>
    <t>Zakayo Tax</t>
  </si>
  <si>
    <t>2025/12</t>
  </si>
  <si>
    <t>2026/01</t>
  </si>
  <si>
    <t>2026/02</t>
  </si>
  <si>
    <t>2026/03</t>
  </si>
  <si>
    <t>2026/04</t>
  </si>
  <si>
    <t>2026/05</t>
  </si>
  <si>
    <t>2026/06</t>
  </si>
  <si>
    <t>2026/07</t>
  </si>
  <si>
    <t>2026/08</t>
  </si>
  <si>
    <t>2026/09</t>
  </si>
  <si>
    <t>2026/10</t>
  </si>
  <si>
    <t>2026/11</t>
  </si>
  <si>
    <t>BRILLIAN's MODEL</t>
  </si>
  <si>
    <t>Local Grades</t>
  </si>
  <si>
    <t>Stock NON-processed</t>
  </si>
  <si>
    <t>Recent Purchase</t>
  </si>
  <si>
    <t>Total Stock</t>
  </si>
  <si>
    <t>POST Grade</t>
  </si>
  <si>
    <t>Already in POST (Bags)</t>
  </si>
  <si>
    <t>Expected from Processing (Bags)</t>
  </si>
  <si>
    <t>Total Theoretical Stock (Bags)</t>
  </si>
  <si>
    <t>Already POST</t>
  </si>
  <si>
    <t>Expected</t>
  </si>
  <si>
    <t>Total</t>
  </si>
  <si>
    <t>DIFF</t>
  </si>
  <si>
    <t>BAGS IN IN/PRE</t>
  </si>
  <si>
    <t>-</t>
  </si>
  <si>
    <t>POST SPECIALTY WASHED</t>
  </si>
  <si>
    <t>PB PLUS FACTORED IN JS</t>
  </si>
  <si>
    <t>RC</t>
  </si>
  <si>
    <t>POST MBUNI HEAVY</t>
  </si>
  <si>
    <t>POST MBUNI LIGHT</t>
  </si>
  <si>
    <t>TOTALS</t>
  </si>
  <si>
    <t>IN GRINDER RECOVERABLE</t>
  </si>
  <si>
    <t>POST FAQ MINUS</t>
  </si>
  <si>
    <t>Check</t>
  </si>
  <si>
    <t>Com.</t>
  </si>
  <si>
    <t>Origin</t>
  </si>
  <si>
    <t>Grade</t>
  </si>
  <si>
    <t>Status</t>
  </si>
  <si>
    <t>Sale Ctr.</t>
  </si>
  <si>
    <t>VLOOKUP 
Still Sales Unallocated?</t>
  </si>
  <si>
    <t>VLOOKUP HEDGEABLE</t>
  </si>
  <si>
    <t>S.Grade</t>
  </si>
  <si>
    <t>Client</t>
  </si>
  <si>
    <t>Sale date</t>
  </si>
  <si>
    <t>SMT</t>
  </si>
  <si>
    <t>S.bags</t>
  </si>
  <si>
    <t>S.Term</t>
  </si>
  <si>
    <t>S.City</t>
  </si>
  <si>
    <t>S.Ship/Del Term</t>
  </si>
  <si>
    <t>S.Ship.</t>
  </si>
  <si>
    <t>Date</t>
  </si>
  <si>
    <t>Date2</t>
  </si>
  <si>
    <t>S.Dif</t>
  </si>
  <si>
    <t>S.Fob dif</t>
  </si>
  <si>
    <t>SoldGrade</t>
  </si>
  <si>
    <t>sFixDte</t>
  </si>
  <si>
    <t>S.Cup Profile</t>
  </si>
  <si>
    <t>S.strategy</t>
  </si>
  <si>
    <t xml:space="preserve">Blend No. </t>
  </si>
  <si>
    <t>POST 15 - TOP</t>
  </si>
  <si>
    <t>POST PB TOP</t>
  </si>
  <si>
    <t>FINISHED2</t>
  </si>
  <si>
    <t>POST NATURAL3</t>
  </si>
  <si>
    <t>POST 17 UP TOP4</t>
  </si>
  <si>
    <t>POST 16 TOP5</t>
  </si>
  <si>
    <t>POST 17 UP PLUS6</t>
  </si>
  <si>
    <t>POST 16 PLUS7</t>
  </si>
  <si>
    <t>POST 15 PLUS8</t>
  </si>
  <si>
    <t>POST 14 PLUS9</t>
  </si>
  <si>
    <t>POST PB - PLUS10</t>
  </si>
  <si>
    <t>POST 17 UP FAQ11</t>
  </si>
  <si>
    <t>POST 16 FAQ12</t>
  </si>
  <si>
    <t>POST 15 FAQ13</t>
  </si>
  <si>
    <t>POST 14 FAQ14</t>
  </si>
  <si>
    <t>POST PB - FAQ15</t>
  </si>
  <si>
    <t>POST FAQ MINUS16</t>
  </si>
  <si>
    <t>POST GRINDER BOLD17</t>
  </si>
  <si>
    <t>POST GRINDER LIGHT18</t>
  </si>
  <si>
    <t>POST MH19</t>
  </si>
  <si>
    <t>POST ML20</t>
  </si>
  <si>
    <t>POST REJECTS S21</t>
  </si>
  <si>
    <t>POST REJECTS P22</t>
  </si>
  <si>
    <t>Check 3</t>
  </si>
  <si>
    <t>Check 2</t>
  </si>
  <si>
    <t>AR</t>
  </si>
  <si>
    <t>KENY</t>
  </si>
  <si>
    <t>NAT.SPECIALTY</t>
  </si>
  <si>
    <t>6-Sales Unallocated</t>
  </si>
  <si>
    <t>SSGP-105409-2</t>
  </si>
  <si>
    <t>32CUP</t>
  </si>
  <si>
    <t>FOB</t>
  </si>
  <si>
    <t>KEMBA</t>
  </si>
  <si>
    <t>Shipment to BEANR</t>
  </si>
  <si>
    <t>Ngacha Collective Natural ABC</t>
  </si>
  <si>
    <t>KCK/2026</t>
  </si>
  <si>
    <t>Specialty-X</t>
  </si>
  <si>
    <t>AA</t>
  </si>
  <si>
    <t>SSKE-107140</t>
  </si>
  <si>
    <t>CHINALIGHT</t>
  </si>
  <si>
    <t>CIF</t>
  </si>
  <si>
    <t>CNSHA</t>
  </si>
  <si>
    <t>Shipment to CNSHA</t>
  </si>
  <si>
    <t>FAQ AA</t>
  </si>
  <si>
    <t>KCN/2026</t>
  </si>
  <si>
    <t>SSKE-103501</t>
  </si>
  <si>
    <t>NESTRADE</t>
  </si>
  <si>
    <t>Shipment to OPEN</t>
  </si>
  <si>
    <t>Coffee Green WsA Pf-Kenya - AAA Nespresso quality, EUDR CP</t>
  </si>
  <si>
    <t>SSKE-103502</t>
  </si>
  <si>
    <t>SSKE-103503</t>
  </si>
  <si>
    <t>SSKE-103499</t>
  </si>
  <si>
    <t>Coffee Green WsA Pf-Kenya - AAA Nespresso quality, EUDR</t>
  </si>
  <si>
    <t>AB</t>
  </si>
  <si>
    <t>SSKE-104926</t>
  </si>
  <si>
    <t>NESTLE SVE</t>
  </si>
  <si>
    <t>Coffee Green Class 1.0 Pf KE ZGS Sust RA RGV/ EUDR</t>
  </si>
  <si>
    <t>SSKE-104935</t>
  </si>
  <si>
    <t>Coffee Green Class 1.0 Pf KE ZOEGAS RGV/ EUDR</t>
  </si>
  <si>
    <t>SSKE-103504</t>
  </si>
  <si>
    <t>SSKE-104927</t>
  </si>
  <si>
    <t>SSGP-107139-2</t>
  </si>
  <si>
    <t>FIDELI CO</t>
  </si>
  <si>
    <t>Shipment to KRPUS</t>
  </si>
  <si>
    <t>Top</t>
  </si>
  <si>
    <t>Specialty</t>
  </si>
  <si>
    <t>SSKE-104936</t>
  </si>
  <si>
    <t>SSKE-104928</t>
  </si>
  <si>
    <t>SSKE-104937</t>
  </si>
  <si>
    <t>SSKE-104929</t>
  </si>
  <si>
    <t>SSKE-104938</t>
  </si>
  <si>
    <t>SSKE-104930</t>
  </si>
  <si>
    <t>SSKE-104939</t>
  </si>
  <si>
    <t>SSKE-104931</t>
  </si>
  <si>
    <t>SSKE-104940</t>
  </si>
  <si>
    <t>SSKE-107473</t>
  </si>
  <si>
    <t>CAFFE VERDE</t>
  </si>
  <si>
    <t>2026/06 All - 2026/06 All</t>
  </si>
  <si>
    <t>AA FAQ F.D.</t>
  </si>
  <si>
    <t>SSKE-107613</t>
  </si>
  <si>
    <t>SOBHY</t>
  </si>
  <si>
    <t>2026/05 Second - 2026/06 First</t>
  </si>
  <si>
    <t>AB/C</t>
  </si>
  <si>
    <t>SSKE-107141</t>
  </si>
  <si>
    <t>SSKE-107773</t>
  </si>
  <si>
    <t>GSIINTERNAT</t>
  </si>
  <si>
    <t>FAQ</t>
  </si>
  <si>
    <t>SSKE-107774</t>
  </si>
  <si>
    <t>SSKE-107775</t>
  </si>
  <si>
    <t>2026/07 All - 2026/07 All</t>
  </si>
  <si>
    <t>KCU/2026</t>
  </si>
  <si>
    <t>SSKE-106466</t>
  </si>
  <si>
    <t>Plus</t>
  </si>
  <si>
    <t>SSKE-107712</t>
  </si>
  <si>
    <t>SSKE-106874</t>
  </si>
  <si>
    <t>SUKUNSHAN</t>
  </si>
  <si>
    <t>OPEN</t>
  </si>
  <si>
    <t>SSKE-107713</t>
  </si>
  <si>
    <t>FAQ AB</t>
  </si>
  <si>
    <t>SSKE-107522</t>
  </si>
  <si>
    <t>KONINKLUJKE</t>
  </si>
  <si>
    <t>SSKE-107245</t>
  </si>
  <si>
    <t>SSKE-105761</t>
  </si>
  <si>
    <t>M.ICOFFEE</t>
  </si>
  <si>
    <t>AA FAQ Minus (SCA 80+)</t>
  </si>
  <si>
    <t>SSGP-107624-2</t>
  </si>
  <si>
    <t>ITOH</t>
  </si>
  <si>
    <t>AA KAGUYU / SL 14/6729-30 / Outturn 10KN0045</t>
  </si>
  <si>
    <t>SSGP-107624-1</t>
  </si>
  <si>
    <t>AB KIANGOTHE / SL 14/6686 / Outturn 10KN0048</t>
  </si>
  <si>
    <t>SSGP-107612-1</t>
  </si>
  <si>
    <t>RIDGE</t>
  </si>
  <si>
    <t>Shipment to GBLGP</t>
  </si>
  <si>
    <t>Karimikui AB - 08KN0009</t>
  </si>
  <si>
    <t>SSGP-107612-2</t>
  </si>
  <si>
    <t>Gachami AB - 13/6716-17</t>
  </si>
  <si>
    <t>KE.PB</t>
  </si>
  <si>
    <t>SSGP-107612-3</t>
  </si>
  <si>
    <t>Kapkiyai PB -11KK0084</t>
  </si>
  <si>
    <t>SSKE-107743</t>
  </si>
  <si>
    <t>SINJYCDINC</t>
  </si>
  <si>
    <t>2026/05 All - 2026/05 All</t>
  </si>
  <si>
    <t>SSKE-107744</t>
  </si>
  <si>
    <t>SSKE-104428</t>
  </si>
  <si>
    <t>Kenya ABC</t>
  </si>
  <si>
    <t>GRINDER</t>
  </si>
  <si>
    <t>SSKE-106869</t>
  </si>
  <si>
    <t>LIDLGE</t>
  </si>
  <si>
    <t>Kenya Grinder, 13up, RFA certified</t>
  </si>
  <si>
    <t>SSGP-107139-3</t>
  </si>
  <si>
    <t>MH</t>
  </si>
  <si>
    <t>SSKE-107620</t>
  </si>
  <si>
    <t>TOSTADORES</t>
  </si>
  <si>
    <t>IS</t>
  </si>
  <si>
    <t>ESBCN</t>
  </si>
  <si>
    <t>Delivery from KEMBA</t>
  </si>
  <si>
    <t>2026/08 All - 2026/08 All</t>
  </si>
  <si>
    <t>MBUNI HEAVY</t>
  </si>
  <si>
    <t>SSKE-107943</t>
  </si>
  <si>
    <t>DEESPREZZA</t>
  </si>
  <si>
    <t>THBKK</t>
  </si>
  <si>
    <t>Sangalai AA</t>
  </si>
  <si>
    <t>SSKE-107937</t>
  </si>
  <si>
    <t>NANJINGECO</t>
  </si>
  <si>
    <t>DAP</t>
  </si>
  <si>
    <t>Sangalai AA (Sucafina Original AA TOP)</t>
  </si>
  <si>
    <t>SSKE-107893</t>
  </si>
  <si>
    <t>Coffee Grn Class 1.1 Pf EAfr ZGS Sust GHG project (RGV)</t>
  </si>
  <si>
    <t>KCH/2027</t>
  </si>
  <si>
    <t>SSGP-107959-1</t>
  </si>
  <si>
    <t>SUCAHK</t>
  </si>
  <si>
    <t>HKHKG</t>
  </si>
  <si>
    <t>Shipment to HKHKG</t>
  </si>
  <si>
    <t>9162 Kenya Kabingara AA Washed</t>
  </si>
  <si>
    <t>SSGP-107959-2</t>
  </si>
  <si>
    <t>9163 Kenya Thunguri AA Washed</t>
  </si>
  <si>
    <t>SSGP-107959-5</t>
  </si>
  <si>
    <t>9166 Kenya Swara AB Washed</t>
  </si>
  <si>
    <t>SSGP-107959-3</t>
  </si>
  <si>
    <t>9164 Kenya Kiremba FCS PB Washed</t>
  </si>
  <si>
    <t>SSGP-107959-4</t>
  </si>
  <si>
    <t>9165 Kenya Kaiguri PB Washed</t>
  </si>
  <si>
    <t>SSKE-108133</t>
  </si>
  <si>
    <t>SUCAFINA NA</t>
  </si>
  <si>
    <t>Shipment to USEWR</t>
  </si>
  <si>
    <t>SSKE-108289</t>
  </si>
  <si>
    <t>AHOLD COFFE</t>
  </si>
  <si>
    <t>ABC FAQ RFA</t>
  </si>
  <si>
    <t>SSKE-108297</t>
  </si>
  <si>
    <t>Delivery from CNSHA</t>
  </si>
  <si>
    <t>SSKE-107052</t>
  </si>
  <si>
    <t>SSKE-108405</t>
  </si>
  <si>
    <t>2026/09 All - 2026/09 All</t>
  </si>
  <si>
    <t>KCZ/2026</t>
  </si>
  <si>
    <t>SSKE-108406</t>
  </si>
  <si>
    <t>SSKE-108412</t>
  </si>
  <si>
    <t>Hedgeable</t>
  </si>
  <si>
    <t>FCA</t>
  </si>
  <si>
    <t>CNKUS</t>
  </si>
  <si>
    <t>Delivery from CNKUS</t>
  </si>
  <si>
    <t>SSKE-103498</t>
  </si>
  <si>
    <t>CAFEXPORT</t>
  </si>
  <si>
    <t>SSKE-108500</t>
  </si>
  <si>
    <t>SSKE-108536</t>
  </si>
  <si>
    <t>Ngacha Colective Natural ABC</t>
  </si>
  <si>
    <t>SSKE-108570</t>
  </si>
  <si>
    <t>CNSGH</t>
  </si>
  <si>
    <t>Delivery from CNSGH</t>
  </si>
  <si>
    <t>SangalaiAA (Sucafina Original AA TOP)</t>
  </si>
  <si>
    <t>Futures</t>
  </si>
  <si>
    <t>Description</t>
  </si>
  <si>
    <t>Source / Notes</t>
  </si>
  <si>
    <t>Stock</t>
  </si>
  <si>
    <t>What we have in Stock (XBS)</t>
  </si>
  <si>
    <t>Summary Tab: Total Stocks in our warehouse right now, or that we've already bought.</t>
  </si>
  <si>
    <t>Stock when all DS arrives</t>
  </si>
  <si>
    <r>
      <rPr>
        <sz val="11"/>
        <color rgb="FF000000"/>
        <rFont val="Calibri"/>
        <family val="2"/>
        <scheme val="minor"/>
      </rPr>
      <t xml:space="preserve">Contracted, not in stock, </t>
    </r>
    <r>
      <rPr>
        <sz val="9"/>
        <color rgb="FF000000"/>
        <rFont val="Calibri"/>
        <family val="2"/>
        <scheme val="minor"/>
      </rPr>
      <t>no hedge assigned</t>
    </r>
  </si>
  <si>
    <r>
      <rPr>
        <sz val="11"/>
        <color rgb="FF000000"/>
        <rFont val="Calibri"/>
        <family val="2"/>
        <scheme val="minor"/>
      </rPr>
      <t xml:space="preserve">Contracted, not in stock, </t>
    </r>
    <r>
      <rPr>
        <sz val="9"/>
        <color rgb="FF000000"/>
        <rFont val="Calibri"/>
        <family val="2"/>
        <scheme val="minor"/>
      </rPr>
      <t>hedges assigned</t>
    </r>
  </si>
  <si>
    <t>This has an SPKE, but the coffee is not yet in our Stock (XBS)</t>
  </si>
  <si>
    <t>If its in Daily Net = contracted. check the totline to see if hedged.</t>
  </si>
  <si>
    <r>
      <t xml:space="preserve">Not contracted, not in stock, </t>
    </r>
    <r>
      <rPr>
        <sz val="8"/>
        <color rgb="FF000000"/>
        <rFont val="Calibri"/>
        <family val="2"/>
        <scheme val="minor"/>
      </rPr>
      <t>no hedges assigned</t>
    </r>
  </si>
  <si>
    <t>Direct Sales Stock</t>
  </si>
  <si>
    <t>Stock we have contracted, bought by Sucafina directly</t>
  </si>
  <si>
    <t>Daily Net Position (Detail Stock): Remove "Non-Hedgeable". Only keep "0-In Store Origin Unsold" and "2-to be shipped unsold". Remove supplier "Rabobank" and "Kenyacof", then sum column P.MT (col O). Should never be higher than last 3 months of DS.</t>
  </si>
  <si>
    <t>LG Non hedgeable</t>
  </si>
  <si>
    <t>Very low grade coffee, likely to be sold outright.</t>
  </si>
  <si>
    <t>Summary: Rejects S and Rejects P</t>
  </si>
  <si>
    <t>Specialty Coffee</t>
  </si>
  <si>
    <t>Coffee most likely to be sold outright</t>
  </si>
  <si>
    <t>Summary: Post Natural</t>
  </si>
  <si>
    <t>Stock hedgeable</t>
  </si>
  <si>
    <t>Kenyacof futs</t>
  </si>
  <si>
    <t>Futures Sold, in Kenyacof POT</t>
  </si>
  <si>
    <t>SOL &gt; "Kenyacof26" &gt; Total MT (bottom row) into cell B9</t>
  </si>
  <si>
    <t>KenyaZZ</t>
  </si>
  <si>
    <t>Kenyacof Net</t>
  </si>
  <si>
    <t>Sucafina</t>
  </si>
  <si>
    <t>Futures in Sucafina Books</t>
  </si>
  <si>
    <t>Daily Net Position (Detail Stock): Remove "non-hedgeable" , then remove "invoiced with fixing only". Remove "Rabobank" from Customer. Sum "tot line"</t>
  </si>
  <si>
    <t>True_Net_Excl_Specialty</t>
  </si>
  <si>
    <t>Expected Specialty Sales</t>
  </si>
  <si>
    <t>Pending addition to SOL</t>
  </si>
  <si>
    <t>Net Specialty</t>
  </si>
  <si>
    <t>Δ Hedge (KENY_AR_DYN)</t>
  </si>
  <si>
    <t>REMEMBER TO REFRESH THIS TABLE</t>
  </si>
  <si>
    <t>Row Labels</t>
  </si>
  <si>
    <t>Sum of SMT</t>
  </si>
  <si>
    <t>+5 H/K 1.75</t>
  </si>
  <si>
    <t>+8 K/N 3.9</t>
  </si>
  <si>
    <t>+5 N/U 4.15</t>
  </si>
  <si>
    <t>Grand Total</t>
  </si>
  <si>
    <t>Trading Month</t>
  </si>
  <si>
    <t>TBFIXED</t>
  </si>
  <si>
    <t>Spread Expo</t>
  </si>
  <si>
    <t>Spread</t>
  </si>
  <si>
    <t>Rolling Cost</t>
  </si>
  <si>
    <t>H26</t>
  </si>
  <si>
    <t>K26</t>
  </si>
  <si>
    <t>N26</t>
  </si>
  <si>
    <t>U26</t>
  </si>
  <si>
    <t>Z26</t>
  </si>
  <si>
    <t>H27</t>
  </si>
  <si>
    <t>SSKE-98454</t>
  </si>
  <si>
    <t>ALDINORD</t>
  </si>
  <si>
    <t>DEBRE</t>
  </si>
  <si>
    <t>Delivery from DEBRE</t>
  </si>
  <si>
    <t>2025/09 All - 2025/09 All</t>
  </si>
  <si>
    <t>KENYA GRINDER RA</t>
  </si>
  <si>
    <t>KCU/2025</t>
  </si>
  <si>
    <t>Quality</t>
  </si>
  <si>
    <t>Contract</t>
  </si>
  <si>
    <t>Commo</t>
  </si>
  <si>
    <t>State</t>
  </si>
  <si>
    <t>Country/Book</t>
  </si>
  <si>
    <t>CodGrade</t>
  </si>
  <si>
    <t>CodGrade2</t>
  </si>
  <si>
    <t>Company</t>
  </si>
  <si>
    <t>MatchedCtr</t>
  </si>
  <si>
    <t>DatePos</t>
  </si>
  <si>
    <t>Split</t>
  </si>
  <si>
    <t>Book</t>
  </si>
  <si>
    <t>P.MT</t>
  </si>
  <si>
    <t>S.MT</t>
  </si>
  <si>
    <t>TBF</t>
  </si>
  <si>
    <t>Hedge</t>
  </si>
  <si>
    <t>TotLine</t>
  </si>
  <si>
    <t>CupProfile</t>
  </si>
  <si>
    <t>certification</t>
  </si>
  <si>
    <t>CropYear</t>
  </si>
  <si>
    <t>IDStrategy</t>
  </si>
  <si>
    <t>Process</t>
  </si>
  <si>
    <t>CodCombine</t>
  </si>
  <si>
    <t>LastSDDate</t>
  </si>
  <si>
    <t>Ctr. CodWHS</t>
  </si>
  <si>
    <t>WHSE</t>
  </si>
  <si>
    <t>Ctr.Date</t>
  </si>
  <si>
    <t>GRN</t>
  </si>
  <si>
    <t>Fix Date</t>
  </si>
  <si>
    <t>PCropYear</t>
  </si>
  <si>
    <t>SCorpYear</t>
  </si>
  <si>
    <t>Check Posi</t>
  </si>
  <si>
    <t>SPGP-45576-1</t>
  </si>
  <si>
    <t>0-In Store Origin unsold</t>
  </si>
  <si>
    <t>KENYA</t>
  </si>
  <si>
    <t>WASHED</t>
  </si>
  <si>
    <t>SUCASTAI</t>
  </si>
  <si>
    <t>A5</t>
  </si>
  <si>
    <t>W</t>
  </si>
  <si>
    <t>2018/2019</t>
  </si>
  <si>
    <t>SPGP-63607-10</t>
  </si>
  <si>
    <t>RFA</t>
  </si>
  <si>
    <t>2021/2022</t>
  </si>
  <si>
    <t>SPGP-64395-11</t>
  </si>
  <si>
    <t>SPGP-80614-14</t>
  </si>
  <si>
    <t>BARAGWI</t>
  </si>
  <si>
    <t>2023/2024</t>
  </si>
  <si>
    <t>SPGP-86359-1</t>
  </si>
  <si>
    <t>NYERIHILL</t>
  </si>
  <si>
    <t>2024/2025</t>
  </si>
  <si>
    <t>SPGP-86359-5</t>
  </si>
  <si>
    <t>SPGP-87909-1</t>
  </si>
  <si>
    <t>KIRIMIRIESTA</t>
  </si>
  <si>
    <t>SPGP-93194-1</t>
  </si>
  <si>
    <t>Invoiced with hedge</t>
  </si>
  <si>
    <t>ALLIANCEBERR</t>
  </si>
  <si>
    <t>2025/2026</t>
  </si>
  <si>
    <t>SPGP-93403-1</t>
  </si>
  <si>
    <t>RUNGETOFCS</t>
  </si>
  <si>
    <t>SPGP-93412-1</t>
  </si>
  <si>
    <t>SPGP-93417-1</t>
  </si>
  <si>
    <t>SPGP-93418-1</t>
  </si>
  <si>
    <t>THIRIRIKA</t>
  </si>
  <si>
    <t>SPKE-66505</t>
  </si>
  <si>
    <t>SUCAFINA SA</t>
  </si>
  <si>
    <t>SPKE-66509</t>
  </si>
  <si>
    <t>SPKE-71956</t>
  </si>
  <si>
    <t>2022/2023</t>
  </si>
  <si>
    <t>SPKE-74997</t>
  </si>
  <si>
    <t>SPKE-82171</t>
  </si>
  <si>
    <t>SPKE-83538</t>
  </si>
  <si>
    <t>SPKE-94385</t>
  </si>
  <si>
    <t>2-To Be Shipped Unsold</t>
  </si>
  <si>
    <t>KENYACOF</t>
  </si>
  <si>
    <t>CP.EUDR</t>
  </si>
  <si>
    <t>SPKE-94588</t>
  </si>
  <si>
    <t>SPKE-94927</t>
  </si>
  <si>
    <t>SPKE-94928</t>
  </si>
  <si>
    <t>3-Afloat sold</t>
  </si>
  <si>
    <t>SSKE-103496</t>
  </si>
  <si>
    <t>EUDR</t>
  </si>
  <si>
    <t>25/26</t>
  </si>
  <si>
    <t>SPKE-95049</t>
  </si>
  <si>
    <t>SPKE-95377</t>
  </si>
  <si>
    <t>SPKE-95379</t>
  </si>
  <si>
    <t>SPKE-95477</t>
  </si>
  <si>
    <t>SPKE-95707</t>
  </si>
  <si>
    <t>0-On Quay Origin sold</t>
  </si>
  <si>
    <t>SSKE-107287</t>
  </si>
  <si>
    <t>SPKE-95791</t>
  </si>
  <si>
    <t>SSKE-103497</t>
  </si>
  <si>
    <t>SPKE-95937</t>
  </si>
  <si>
    <t>1-Transit Origin sold</t>
  </si>
  <si>
    <t>SSKE-107134</t>
  </si>
  <si>
    <t>SPKE-95938</t>
  </si>
  <si>
    <t>SSKE-107135</t>
  </si>
  <si>
    <t>SPKE-95939</t>
  </si>
  <si>
    <t>SPKE-95940</t>
  </si>
  <si>
    <t>SPKE-96055</t>
  </si>
  <si>
    <t>SPKE-96110</t>
  </si>
  <si>
    <t>SPKE-96111</t>
  </si>
  <si>
    <t>SPKE-96112</t>
  </si>
  <si>
    <t>SPW-95176</t>
  </si>
  <si>
    <t>RABOBANK IN</t>
  </si>
  <si>
    <t>Cash&amp;Carry</t>
  </si>
  <si>
    <t>2-To Be Shipped Sold</t>
  </si>
  <si>
    <t>SSWW-96188B</t>
  </si>
  <si>
    <t>23/24</t>
  </si>
  <si>
    <t>*</t>
  </si>
  <si>
    <t>SSKE-103500</t>
  </si>
  <si>
    <t>SSKE-105559</t>
  </si>
  <si>
    <t>FULLERTON</t>
  </si>
  <si>
    <t>High Commercial</t>
  </si>
  <si>
    <t>SSKE-105760</t>
  </si>
  <si>
    <t>SSKE-106787</t>
  </si>
  <si>
    <t>DANDALIS</t>
  </si>
  <si>
    <t>2026/2027</t>
  </si>
  <si>
    <t>SSKE-107244</t>
  </si>
  <si>
    <t>2026/2026</t>
  </si>
  <si>
    <t>WOOSUNG M.F</t>
  </si>
  <si>
    <t>26/26</t>
  </si>
  <si>
    <t>Repo Commercial</t>
  </si>
  <si>
    <t>SPGP-64104-3</t>
  </si>
  <si>
    <t>AB FAQ F.D.</t>
  </si>
  <si>
    <t>SPGP-79317-2</t>
  </si>
  <si>
    <t>MAWARA</t>
  </si>
  <si>
    <t>RA</t>
  </si>
  <si>
    <t>SPGP-83600-3</t>
  </si>
  <si>
    <t>EDMAXTEA</t>
  </si>
  <si>
    <t>SPGP-86359-2</t>
  </si>
  <si>
    <t>SPGP-86359-6</t>
  </si>
  <si>
    <t>SPGP-87909-2</t>
  </si>
  <si>
    <t>SPGP-93403-2</t>
  </si>
  <si>
    <t>SPGP-93403-6</t>
  </si>
  <si>
    <t>SPGP-93440-1</t>
  </si>
  <si>
    <t>SPGP-93443-1</t>
  </si>
  <si>
    <t>SPGP-93714-2</t>
  </si>
  <si>
    <t>SPGP-94415-3</t>
  </si>
  <si>
    <t>THANGAINI</t>
  </si>
  <si>
    <t>SPKE-66915</t>
  </si>
  <si>
    <t>2017/2018</t>
  </si>
  <si>
    <t>SPKE-67265</t>
  </si>
  <si>
    <t>SPKE-73650</t>
  </si>
  <si>
    <t>SPKE-73665</t>
  </si>
  <si>
    <t>2022/2022</t>
  </si>
  <si>
    <t>SPKE-74736</t>
  </si>
  <si>
    <t>SPKE-74998</t>
  </si>
  <si>
    <t>SPKE-83446</t>
  </si>
  <si>
    <t>SPKE-92402</t>
  </si>
  <si>
    <t>SPKE-93323</t>
  </si>
  <si>
    <t>SPKE-94290</t>
  </si>
  <si>
    <t>RA.EUDR</t>
  </si>
  <si>
    <t>SPKE-94291</t>
  </si>
  <si>
    <t>AAA.EUDR</t>
  </si>
  <si>
    <t>SPKE-94589</t>
  </si>
  <si>
    <t>SPKE-94632</t>
  </si>
  <si>
    <t>SPKE-94635</t>
  </si>
  <si>
    <t>SPKE-94922</t>
  </si>
  <si>
    <t>SPKE-94929</t>
  </si>
  <si>
    <t>TRC SPECIA</t>
  </si>
  <si>
    <t>SPKE-94934</t>
  </si>
  <si>
    <t>SPKE-95048</t>
  </si>
  <si>
    <t>SSKE-104925</t>
  </si>
  <si>
    <t>SPKE-95050</t>
  </si>
  <si>
    <t>SSKE-104934</t>
  </si>
  <si>
    <t>SPKE-95058</t>
  </si>
  <si>
    <t>SPKE-95059</t>
  </si>
  <si>
    <t>SPKE-95378</t>
  </si>
  <si>
    <t>SSKE-106313</t>
  </si>
  <si>
    <t>SPKE-95380</t>
  </si>
  <si>
    <t>SSKE-107142</t>
  </si>
  <si>
    <t>SPKE-95495</t>
  </si>
  <si>
    <t>SPKE-95536</t>
  </si>
  <si>
    <t>SPKE-95706</t>
  </si>
  <si>
    <t>SSKE-107286</t>
  </si>
  <si>
    <t>SPKE-95708</t>
  </si>
  <si>
    <t>SPKE-95709</t>
  </si>
  <si>
    <t>SPKE-95710</t>
  </si>
  <si>
    <t>SSKE-104004</t>
  </si>
  <si>
    <t>SPKE-95711</t>
  </si>
  <si>
    <t>SSKE-104003</t>
  </si>
  <si>
    <t>SPKE-95790</t>
  </si>
  <si>
    <t>SSKE-104003A</t>
  </si>
  <si>
    <t>SPKE-95792</t>
  </si>
  <si>
    <t>SSKE-107621</t>
  </si>
  <si>
    <t>SPKE-95793</t>
  </si>
  <si>
    <t>SSKE-107374</t>
  </si>
  <si>
    <t>SPKE-95936</t>
  </si>
  <si>
    <t>SSKE-107372</t>
  </si>
  <si>
    <t>SPKE-96054</t>
  </si>
  <si>
    <t>SPKE-96056</t>
  </si>
  <si>
    <t>SPKE-96057</t>
  </si>
  <si>
    <t>SPKE-96058</t>
  </si>
  <si>
    <t>SPKE-96059</t>
  </si>
  <si>
    <t>SPKE-96060</t>
  </si>
  <si>
    <t>SPW-95094</t>
  </si>
  <si>
    <t>SSKE-103517</t>
  </si>
  <si>
    <t>STARBUCKS</t>
  </si>
  <si>
    <t>SSKE-104711</t>
  </si>
  <si>
    <t>SSKE-104923</t>
  </si>
  <si>
    <t>SSKE-104924</t>
  </si>
  <si>
    <t>SSKE-104932</t>
  </si>
  <si>
    <t>SSKE-104933</t>
  </si>
  <si>
    <t>ARVID NORDQ</t>
  </si>
  <si>
    <t>SSKE-106409</t>
  </si>
  <si>
    <t>SSKE-107225</t>
  </si>
  <si>
    <t>SSKE-107557</t>
  </si>
  <si>
    <t>SSKE-108300</t>
  </si>
  <si>
    <t>AB KAFFE</t>
  </si>
  <si>
    <t>SSW-107351</t>
  </si>
  <si>
    <t>SPKE-66550</t>
  </si>
  <si>
    <t>AB/C FAQ F.D.</t>
  </si>
  <si>
    <t>SPKE-77118</t>
  </si>
  <si>
    <t>SPKE-94386</t>
  </si>
  <si>
    <t>SPKE-95047</t>
  </si>
  <si>
    <t>SPKE-95475</t>
  </si>
  <si>
    <t>SSKE-104427</t>
  </si>
  <si>
    <t>SPKE-95789</t>
  </si>
  <si>
    <t>SPKE-95794</t>
  </si>
  <si>
    <t>SSKE-103873</t>
  </si>
  <si>
    <t>ALDISUD NEWC</t>
  </si>
  <si>
    <t>26/27</t>
  </si>
  <si>
    <t>SPGP-83600-4</t>
  </si>
  <si>
    <t>C</t>
  </si>
  <si>
    <t>C FAQ F.D.</t>
  </si>
  <si>
    <t>SPGP-85481-4</t>
  </si>
  <si>
    <t>SPGP-86359-10</t>
  </si>
  <si>
    <t>SPGP-86359-3</t>
  </si>
  <si>
    <t>SPGP-86359-8</t>
  </si>
  <si>
    <t>SPGP-86359-9</t>
  </si>
  <si>
    <t>SPGP-87909-4</t>
  </si>
  <si>
    <t>SPGP-83600-5</t>
  </si>
  <si>
    <t>KENYA GRINDER</t>
  </si>
  <si>
    <t>SPGP-83600-6</t>
  </si>
  <si>
    <t>SPKE-64423</t>
  </si>
  <si>
    <t>SPKE-66918</t>
  </si>
  <si>
    <t>2019/2020</t>
  </si>
  <si>
    <t>SPKE-66919</t>
  </si>
  <si>
    <t>SPKE-75599</t>
  </si>
  <si>
    <t>SPKE-93187</t>
  </si>
  <si>
    <t>5-In Store unsold</t>
  </si>
  <si>
    <t>UNITED COFF</t>
  </si>
  <si>
    <t>SPKE-95382</t>
  </si>
  <si>
    <t>SPKE-95474</t>
  </si>
  <si>
    <t>SPKE-95935</t>
  </si>
  <si>
    <t>SPW-95823</t>
  </si>
  <si>
    <t>SSKE-106195</t>
  </si>
  <si>
    <t>4C.RFA</t>
  </si>
  <si>
    <t>24/25</t>
  </si>
  <si>
    <t>SSW-108267</t>
  </si>
  <si>
    <t>SPGP-86736</t>
  </si>
  <si>
    <t>KE.LOW GRADE</t>
  </si>
  <si>
    <t>KENYA Low Grade</t>
  </si>
  <si>
    <t>KENYA.LG</t>
  </si>
  <si>
    <t>SPGP-86762</t>
  </si>
  <si>
    <t>SPGP-86770</t>
  </si>
  <si>
    <t>SPGP-86920</t>
  </si>
  <si>
    <t>SPGP-88803</t>
  </si>
  <si>
    <t>SPGP-88974</t>
  </si>
  <si>
    <t>SPGP-88976</t>
  </si>
  <si>
    <t>SPGP-88978</t>
  </si>
  <si>
    <t>SPGP-88980</t>
  </si>
  <si>
    <t>SPKE-74100</t>
  </si>
  <si>
    <t>SPKE-74402</t>
  </si>
  <si>
    <t>SPKE-74406</t>
  </si>
  <si>
    <t>SPKE-74411</t>
  </si>
  <si>
    <t>SPKE-74419</t>
  </si>
  <si>
    <t>SPKE-74460</t>
  </si>
  <si>
    <t>SPKE-74548</t>
  </si>
  <si>
    <t>SPKE-74582</t>
  </si>
  <si>
    <t>SPKE-74589</t>
  </si>
  <si>
    <t>SPKE-74625</t>
  </si>
  <si>
    <t>SPKE-74689</t>
  </si>
  <si>
    <t>2020/2021</t>
  </si>
  <si>
    <t>SPKE-74713</t>
  </si>
  <si>
    <t>SPKE-74720</t>
  </si>
  <si>
    <t>SPKE-74735</t>
  </si>
  <si>
    <t>SPKE-74797</t>
  </si>
  <si>
    <t>SPKE-74862</t>
  </si>
  <si>
    <t>SPKE-74865</t>
  </si>
  <si>
    <t>SPKE-74868</t>
  </si>
  <si>
    <t>SPKE-74928</t>
  </si>
  <si>
    <t>SPKE-74932</t>
  </si>
  <si>
    <t>SPKE-75404</t>
  </si>
  <si>
    <t>SPKE-75463</t>
  </si>
  <si>
    <t>SPKE-75600</t>
  </si>
  <si>
    <t>SPKE-76130</t>
  </si>
  <si>
    <t>SPKE-77461</t>
  </si>
  <si>
    <t>SPKE-77464</t>
  </si>
  <si>
    <t>SPKE-79758</t>
  </si>
  <si>
    <t>SPKE-80828</t>
  </si>
  <si>
    <t>High Commercial-X</t>
  </si>
  <si>
    <t>SPKE-80830</t>
  </si>
  <si>
    <t>SPKE-80832</t>
  </si>
  <si>
    <t>SPKE-82312</t>
  </si>
  <si>
    <t>SPKE-82314</t>
  </si>
  <si>
    <t>SPKE-82316</t>
  </si>
  <si>
    <t>SPKE-83867</t>
  </si>
  <si>
    <t>SPKE-83869</t>
  </si>
  <si>
    <t>SPKE-84795</t>
  </si>
  <si>
    <t>SPKE-84891</t>
  </si>
  <si>
    <t>SPKE-89864</t>
  </si>
  <si>
    <t>SPGP-55826-3</t>
  </si>
  <si>
    <t>PEABERRY</t>
  </si>
  <si>
    <t>2020/2020</t>
  </si>
  <si>
    <t>SPGP-71327-3</t>
  </si>
  <si>
    <t>2023/2023</t>
  </si>
  <si>
    <t>SPGP-83600-1</t>
  </si>
  <si>
    <t>SPGP-86359-4</t>
  </si>
  <si>
    <t>SPGP-86359-7</t>
  </si>
  <si>
    <t>SPGP-87909-3</t>
  </si>
  <si>
    <t>SPKE-72799</t>
  </si>
  <si>
    <t>KENYA-KC-ZZ</t>
  </si>
  <si>
    <t>KENYA.POT</t>
  </si>
  <si>
    <t>KENYA POT</t>
  </si>
  <si>
    <t>2025/2025</t>
  </si>
  <si>
    <t>SPKE-96053</t>
  </si>
  <si>
    <t>KENYA UNWA</t>
  </si>
  <si>
    <t>A4</t>
  </si>
  <si>
    <t>U</t>
  </si>
  <si>
    <t>SPKE-67266</t>
  </si>
  <si>
    <t>NATURAL SPECIALTY</t>
  </si>
  <si>
    <t>SPKE-74552</t>
  </si>
  <si>
    <t>SPKE-74591</t>
  </si>
  <si>
    <t>SPGP-83600-7</t>
  </si>
  <si>
    <t>TT</t>
  </si>
  <si>
    <t>Non Hedgeable</t>
  </si>
  <si>
    <t>SPGP-84435-1</t>
  </si>
  <si>
    <t>CHEPSANGOR</t>
  </si>
  <si>
    <t>SPGP-93401-2</t>
  </si>
  <si>
    <t>SPGP-93402-2</t>
  </si>
  <si>
    <t>NGARATUA</t>
  </si>
  <si>
    <t>SPGP-93402-3</t>
  </si>
  <si>
    <t>SPGP-95024-1</t>
  </si>
  <si>
    <t>SSGP-106404-1</t>
  </si>
  <si>
    <t>SPGP-95342-1</t>
  </si>
  <si>
    <t>IRIAINI</t>
  </si>
  <si>
    <t>SPGP-95342-2</t>
  </si>
  <si>
    <t>SPGP-95343-1</t>
  </si>
  <si>
    <t>AGUTHI</t>
  </si>
  <si>
    <t>SPGP-95985-1</t>
  </si>
  <si>
    <t>SSGP-107622-1</t>
  </si>
  <si>
    <t>SPGP-95985-2</t>
  </si>
  <si>
    <t>SSGP-107371-4</t>
  </si>
  <si>
    <t>SPGP-95985-3</t>
  </si>
  <si>
    <t>SSKE-107565</t>
  </si>
  <si>
    <t>SPGP-95999-1</t>
  </si>
  <si>
    <t>SSGP-107375-1</t>
  </si>
  <si>
    <t>SPGP-95999-2</t>
  </si>
  <si>
    <t>SSKE-107551</t>
  </si>
  <si>
    <t>SPGP-95999-3</t>
  </si>
  <si>
    <t>SSGP-107375-2</t>
  </si>
  <si>
    <t>SPGP-96000-2</t>
  </si>
  <si>
    <t>SSGP-107371-1</t>
  </si>
  <si>
    <t>SPGP-96000-3</t>
  </si>
  <si>
    <t>SSGP-107371-2</t>
  </si>
  <si>
    <t>SPGP-96000-4</t>
  </si>
  <si>
    <t>SSGP-107371-3</t>
  </si>
  <si>
    <t>SPGP-96001-1</t>
  </si>
  <si>
    <t>SSGP-107139-1</t>
  </si>
  <si>
    <t>SPGP-96001-2</t>
  </si>
  <si>
    <t>SPKE-65725</t>
  </si>
  <si>
    <t>SPKE-66597</t>
  </si>
  <si>
    <t>SPKE-66892</t>
  </si>
  <si>
    <t>SPKE-71313</t>
  </si>
  <si>
    <t>SSGP-105363-10</t>
  </si>
  <si>
    <t>SSGP-105363-14</t>
  </si>
  <si>
    <t>SSGP-105372-1</t>
  </si>
  <si>
    <t>SSGP-105372-4</t>
  </si>
  <si>
    <t>SSGP-105372-5</t>
  </si>
  <si>
    <t>SSGP-105409-10</t>
  </si>
  <si>
    <t>SSGP-105409-8</t>
  </si>
  <si>
    <t>SSGP-106185-2</t>
  </si>
  <si>
    <t>SSGP-106185-6</t>
  </si>
  <si>
    <t>ARPOR</t>
  </si>
  <si>
    <t>SSGP-106960-2</t>
  </si>
  <si>
    <t>SSGP-106960-3</t>
  </si>
  <si>
    <t>SSGP-106960-4</t>
  </si>
  <si>
    <t>SSGP-106993-3</t>
  </si>
  <si>
    <t>HAKSAN CO</t>
  </si>
  <si>
    <t>SSGP-106993-4</t>
  </si>
  <si>
    <t>SSGP-107204-5</t>
  </si>
  <si>
    <t>SARUTAHIKOJP</t>
  </si>
  <si>
    <t>SSGP-97775-2</t>
  </si>
  <si>
    <t>SSGP-97775-3</t>
  </si>
  <si>
    <t>SSGP-97775-4</t>
  </si>
  <si>
    <t>SSGP-97775-6</t>
  </si>
  <si>
    <t>SSGP-98230-2</t>
  </si>
  <si>
    <t>SSGP-98230-6</t>
  </si>
  <si>
    <t>SSGP-98288-1</t>
  </si>
  <si>
    <t>86+</t>
  </si>
  <si>
    <t>SSGP-98288-10</t>
  </si>
  <si>
    <t>SSGP-98288-4</t>
  </si>
  <si>
    <t>SSGP-98288-7</t>
  </si>
  <si>
    <t>SSGP-98288-8</t>
  </si>
  <si>
    <t>SPGP-93401-3</t>
  </si>
  <si>
    <t>SPGP-93402-1</t>
  </si>
  <si>
    <t>SPGP-93402-4</t>
  </si>
  <si>
    <t>SPGP-94932-1</t>
  </si>
  <si>
    <t>NGACHAEST</t>
  </si>
  <si>
    <t>SPGP-95024-2</t>
  </si>
  <si>
    <t>SSGP-106404-2</t>
  </si>
  <si>
    <t>SPGP-95342-3</t>
  </si>
  <si>
    <t>SPGP-95985-4</t>
  </si>
  <si>
    <t>SSGP-107623-1</t>
  </si>
  <si>
    <t>SPGP-96000-1</t>
  </si>
  <si>
    <t>SSKE-107477</t>
  </si>
  <si>
    <t>SSGP-105363-5</t>
  </si>
  <si>
    <t>SSGP-105978-8</t>
  </si>
  <si>
    <t>SSGP-106185-5</t>
  </si>
  <si>
    <t>SSGP-106960-5</t>
  </si>
  <si>
    <t>SSGP-106960-9</t>
  </si>
  <si>
    <t>SSGP-106993-1</t>
  </si>
  <si>
    <t>SSGP-106993-2</t>
  </si>
  <si>
    <t>SSGP-107204-2</t>
  </si>
  <si>
    <t>SSGP-107204-3</t>
  </si>
  <si>
    <t>FT</t>
  </si>
  <si>
    <t>SPGP-93401-5</t>
  </si>
  <si>
    <t>SPKE-82101</t>
  </si>
  <si>
    <t>SPA-78868</t>
  </si>
  <si>
    <t>SPGP-75477</t>
  </si>
  <si>
    <t>SPGP-94216</t>
  </si>
  <si>
    <t>SPGP-94218</t>
  </si>
  <si>
    <t>SPGP-94220</t>
  </si>
  <si>
    <t>SPGP-94222</t>
  </si>
  <si>
    <t>SPGP-94224</t>
  </si>
  <si>
    <t>SPKE-73657</t>
  </si>
  <si>
    <t>SPKE-73849</t>
  </si>
  <si>
    <t>SPKE-74846</t>
  </si>
  <si>
    <t>SPKE-74970</t>
  </si>
  <si>
    <t>SPKE-74996</t>
  </si>
  <si>
    <t>SPKE-75096</t>
  </si>
  <si>
    <t>Commercial-X</t>
  </si>
  <si>
    <t>SPKE-75513</t>
  </si>
  <si>
    <t>SPKE-75588</t>
  </si>
  <si>
    <t>SPKE-75595</t>
  </si>
  <si>
    <t>SPKE-76480</t>
  </si>
  <si>
    <t>SPKE-77119</t>
  </si>
  <si>
    <t>SPKE-77265</t>
  </si>
  <si>
    <t>SPKE-77788</t>
  </si>
  <si>
    <t>SPKE-77798</t>
  </si>
  <si>
    <t>SPKE-79306</t>
  </si>
  <si>
    <t>SPKE-79309</t>
  </si>
  <si>
    <t>SPKE-79388</t>
  </si>
  <si>
    <t>SPKE-79714</t>
  </si>
  <si>
    <t>SPKE-81109</t>
  </si>
  <si>
    <t>SPKE-81346</t>
  </si>
  <si>
    <t>SPKE-81974</t>
  </si>
  <si>
    <t>SPKE-81976</t>
  </si>
  <si>
    <t>SPKE-81978</t>
  </si>
  <si>
    <t>SPKE-82093</t>
  </si>
  <si>
    <t>SPKE-82097</t>
  </si>
  <si>
    <t>SPKE-82099</t>
  </si>
  <si>
    <t>SPKE-82102</t>
  </si>
  <si>
    <t>SPKE-83537</t>
  </si>
  <si>
    <t>SPKE-83913</t>
  </si>
  <si>
    <t>SPKE-84560</t>
  </si>
  <si>
    <t>SPGP-84435-2</t>
  </si>
  <si>
    <t>SPGP-93401-4</t>
  </si>
  <si>
    <t>SPGP-95024-3</t>
  </si>
  <si>
    <t>SSGP-106404-3</t>
  </si>
  <si>
    <t>SPGP-96001-3</t>
  </si>
  <si>
    <t>SSGP-100118-3</t>
  </si>
  <si>
    <t>DREYFUS SUI</t>
  </si>
  <si>
    <t>SSGP-105363-12</t>
  </si>
  <si>
    <t>SSGP-105363-8</t>
  </si>
  <si>
    <t>SSGP-105363-9</t>
  </si>
  <si>
    <t>SSGP-105978-9</t>
  </si>
  <si>
    <t>SSGP-106051-4</t>
  </si>
  <si>
    <t>SSGP-106051-5</t>
  </si>
  <si>
    <t>SSGP-106051-6</t>
  </si>
  <si>
    <t>SSGP-106185-4</t>
  </si>
  <si>
    <t>SSGP-107204-6</t>
  </si>
  <si>
    <t>SPKE-96061</t>
  </si>
  <si>
    <t>SSGP-106960-1</t>
  </si>
  <si>
    <t>SSGP-106960-6</t>
  </si>
  <si>
    <t>SSGP-106960-7</t>
  </si>
  <si>
    <t>SSGP-106960-8</t>
  </si>
  <si>
    <t>SPGP-93401-1</t>
  </si>
  <si>
    <t>SPGP-94115-1</t>
  </si>
  <si>
    <t>SPGP-94932-2</t>
  </si>
  <si>
    <t>SPGP-95342-4</t>
  </si>
  <si>
    <t>SPGP-95342-5</t>
  </si>
  <si>
    <t>SPGP-95343-2</t>
  </si>
  <si>
    <t>SPGP-95593-1</t>
  </si>
  <si>
    <t>SSGP-105409-9</t>
  </si>
  <si>
    <t>Cup Profile</t>
  </si>
  <si>
    <t> </t>
  </si>
  <si>
    <t>SPECIALTY</t>
  </si>
  <si>
    <t>32CUP/SUCAFINA NV</t>
  </si>
  <si>
    <t>ABC</t>
  </si>
  <si>
    <t>DUMA</t>
  </si>
  <si>
    <t>ABUODEH</t>
  </si>
  <si>
    <t>13+</t>
  </si>
  <si>
    <t>ALGRANO</t>
  </si>
  <si>
    <t>ALHANEEN</t>
  </si>
  <si>
    <t>BEYERS KOFF</t>
  </si>
  <si>
    <t>BLESSBEAN</t>
  </si>
  <si>
    <t>BLOSSOM</t>
  </si>
  <si>
    <t>BRENNERIET</t>
  </si>
  <si>
    <t>BUSHEBV</t>
  </si>
  <si>
    <t>CKCO</t>
  </si>
  <si>
    <t>AA TOP</t>
  </si>
  <si>
    <t>CLI1063</t>
  </si>
  <si>
    <t>COFFY HAND</t>
  </si>
  <si>
    <t>DIWAN AL-QAH</t>
  </si>
  <si>
    <t>DOUBLESHOT</t>
  </si>
  <si>
    <t>EQUATORIAL</t>
  </si>
  <si>
    <t>FENGJEN</t>
  </si>
  <si>
    <t>SANGALAI</t>
  </si>
  <si>
    <t>SWARA</t>
  </si>
  <si>
    <t>PB</t>
  </si>
  <si>
    <t xml:space="preserve">FENGJEN </t>
  </si>
  <si>
    <t>FOOSUNGCORP</t>
  </si>
  <si>
    <t>JDE</t>
  </si>
  <si>
    <t>JIANGSU</t>
  </si>
  <si>
    <t>KHADER AL A</t>
  </si>
  <si>
    <t>GR14</t>
  </si>
  <si>
    <t>GR</t>
  </si>
  <si>
    <t>MELITTA KAF</t>
  </si>
  <si>
    <t>MICROLOT SPECIALTY</t>
  </si>
  <si>
    <t>NESTLE SVE/ZOEGAS</t>
  </si>
  <si>
    <t>NESTRADE/NESPRESSO</t>
  </si>
  <si>
    <t>NESTRADE/NESPRESSO APRIL25</t>
  </si>
  <si>
    <t>PAULIGFINLAN</t>
  </si>
  <si>
    <t>PRODIGALCO</t>
  </si>
  <si>
    <t>RENARDA</t>
  </si>
  <si>
    <t>RIDGE/SUCAFINA UK LTD</t>
  </si>
  <si>
    <t>REJECTS</t>
  </si>
  <si>
    <t>SARUTAHIKO</t>
  </si>
  <si>
    <t>SIMCAFE</t>
  </si>
  <si>
    <t>SLNCOFFEE</t>
  </si>
  <si>
    <t>SOPEXKR</t>
  </si>
  <si>
    <t xml:space="preserve">AB </t>
  </si>
  <si>
    <t>SUCAAU</t>
  </si>
  <si>
    <t>SUCACHINA</t>
  </si>
  <si>
    <t>SUSHARVEST/SUCAFINA NA</t>
  </si>
  <si>
    <t>TCHAMPION</t>
  </si>
  <si>
    <t>TYPE ABC FAQ</t>
  </si>
  <si>
    <t>TYPINC</t>
  </si>
  <si>
    <t>UCCSINGAPORE</t>
  </si>
  <si>
    <t>VOLIBE</t>
  </si>
  <si>
    <t>WASHINGPON</t>
  </si>
  <si>
    <t>NESPRESSO AA TOP Q1 BLEND</t>
  </si>
  <si>
    <t>ZOEGAS AB PLUS Q1 BLEND</t>
  </si>
  <si>
    <t>70526_2</t>
  </si>
  <si>
    <t xml:space="preserve"> </t>
  </si>
  <si>
    <t>Fin. bank</t>
  </si>
  <si>
    <t>Purchase ref</t>
  </si>
  <si>
    <t>Supplier</t>
  </si>
  <si>
    <t>P.Ctr. date</t>
  </si>
  <si>
    <t>Brok.</t>
  </si>
  <si>
    <t>Brok.Ref</t>
  </si>
  <si>
    <t>P. Price</t>
  </si>
  <si>
    <t>P. Unit</t>
  </si>
  <si>
    <t>P. Term</t>
  </si>
  <si>
    <t>Port</t>
  </si>
  <si>
    <t>GradeBought</t>
  </si>
  <si>
    <t>Ship/Del Term</t>
  </si>
  <si>
    <t>Ship.</t>
  </si>
  <si>
    <t>Cert.</t>
  </si>
  <si>
    <t>SAS</t>
  </si>
  <si>
    <t>P.Note</t>
  </si>
  <si>
    <t>SI.Date</t>
  </si>
  <si>
    <t>Sale SI.Date</t>
  </si>
  <si>
    <t>PLast sample</t>
  </si>
  <si>
    <t>P.Sample Lot</t>
  </si>
  <si>
    <t>P.Received on</t>
  </si>
  <si>
    <t>P.Cupped on</t>
  </si>
  <si>
    <t>P.Status</t>
  </si>
  <si>
    <t>S.Last Sample SENT</t>
  </si>
  <si>
    <t>S.ID Sample Sent</t>
  </si>
  <si>
    <t>S.Sent on</t>
  </si>
  <si>
    <t>S.Result on</t>
  </si>
  <si>
    <t>S.Status</t>
  </si>
  <si>
    <t>S.Ref</t>
  </si>
  <si>
    <t>S.Brok.</t>
  </si>
  <si>
    <t>S.Brok.Ref</t>
  </si>
  <si>
    <t>S. Price</t>
  </si>
  <si>
    <t>S. Unit</t>
  </si>
  <si>
    <t>S.SAS</t>
  </si>
  <si>
    <t>S.Cert</t>
  </si>
  <si>
    <t>S.Note</t>
  </si>
  <si>
    <t>PreshipID</t>
  </si>
  <si>
    <t>Booking Line</t>
  </si>
  <si>
    <t>Vessel</t>
  </si>
  <si>
    <t>Voy.Num</t>
  </si>
  <si>
    <t>TransType</t>
  </si>
  <si>
    <t>POL</t>
  </si>
  <si>
    <t>POD</t>
  </si>
  <si>
    <t>Booking num.</t>
  </si>
  <si>
    <t>ETD</t>
  </si>
  <si>
    <t>ETA</t>
  </si>
  <si>
    <t>ISF Filing</t>
  </si>
  <si>
    <t>Freight</t>
  </si>
  <si>
    <t>Pre.Landed for</t>
  </si>
  <si>
    <t>PS.Note</t>
  </si>
  <si>
    <t>Trans.Name</t>
  </si>
  <si>
    <t>TransType2</t>
  </si>
  <si>
    <t>Vessel3</t>
  </si>
  <si>
    <t>VOY NUM</t>
  </si>
  <si>
    <t>From</t>
  </si>
  <si>
    <t>To</t>
  </si>
  <si>
    <t>B/L num.</t>
  </si>
  <si>
    <t>B/L Dte.</t>
  </si>
  <si>
    <t>ETD4</t>
  </si>
  <si>
    <t>ETA5</t>
  </si>
  <si>
    <t>NA CUSTOM</t>
  </si>
  <si>
    <t>QuayDte.</t>
  </si>
  <si>
    <t>Landed for</t>
  </si>
  <si>
    <t>Land instr.</t>
  </si>
  <si>
    <t>WhseDte</t>
  </si>
  <si>
    <t>Forw.Ref</t>
  </si>
  <si>
    <t>Container</t>
  </si>
  <si>
    <t>Lot</t>
  </si>
  <si>
    <t>C.Cargo ID</t>
  </si>
  <si>
    <t>C.Note</t>
  </si>
  <si>
    <t>Production Date</t>
  </si>
  <si>
    <t>Expiry Date</t>
  </si>
  <si>
    <t>S Invoice Num</t>
  </si>
  <si>
    <t>sMktValo</t>
  </si>
  <si>
    <t>Payment term</t>
  </si>
  <si>
    <t>Due Date</t>
  </si>
  <si>
    <t>Docs to bank</t>
  </si>
  <si>
    <t>Docs to client</t>
  </si>
  <si>
    <t>P.Dif</t>
  </si>
  <si>
    <t>P.Fob dif</t>
  </si>
  <si>
    <t>YearMthEx</t>
  </si>
  <si>
    <t>RefClientP</t>
  </si>
  <si>
    <t>pBook</t>
  </si>
  <si>
    <t>sBook</t>
  </si>
  <si>
    <t>Unit</t>
  </si>
  <si>
    <t>FixDte</t>
  </si>
  <si>
    <t>sUnit</t>
  </si>
  <si>
    <t>pCrop</t>
  </si>
  <si>
    <t>sCrop</t>
  </si>
  <si>
    <t>Match</t>
  </si>
  <si>
    <t>pValoFobDif</t>
  </si>
  <si>
    <t>Strategy</t>
  </si>
  <si>
    <t>P.Hedge Value</t>
  </si>
  <si>
    <t>S.Hedge Value</t>
  </si>
  <si>
    <t>P.NoteJV</t>
  </si>
  <si>
    <t>S.NoteJV</t>
  </si>
  <si>
    <t>Consignee party</t>
  </si>
  <si>
    <t>Traffic note</t>
  </si>
  <si>
    <t>Traceability</t>
  </si>
  <si>
    <t>External_name</t>
  </si>
  <si>
    <t>Pricelist Adjustment (USC/LB)</t>
  </si>
  <si>
    <t>Quantity reserved</t>
  </si>
  <si>
    <t>Available for sales</t>
  </si>
  <si>
    <t>Reserved for</t>
  </si>
  <si>
    <t>User reserve</t>
  </si>
  <si>
    <t>Trader</t>
  </si>
  <si>
    <t>Inv Date</t>
  </si>
  <si>
    <t>S.CodCountry</t>
  </si>
  <si>
    <t>P.Packing</t>
  </si>
  <si>
    <t>S.Packing</t>
  </si>
  <si>
    <t>S.FreightCont</t>
  </si>
  <si>
    <t>S.SD Note</t>
  </si>
  <si>
    <t>SA Date</t>
  </si>
  <si>
    <t>ID Alert</t>
  </si>
  <si>
    <t>Alert Type</t>
  </si>
  <si>
    <t>Remarks</t>
  </si>
  <si>
    <t>First instore Date</t>
  </si>
  <si>
    <t>Freight agency</t>
  </si>
  <si>
    <t>Intended warehouse</t>
  </si>
  <si>
    <t>Docs received date in GNV/ our bank</t>
  </si>
  <si>
    <t>Bank remittance ref (LC/Collection)</t>
  </si>
  <si>
    <t>D-O</t>
  </si>
  <si>
    <t>Cov Orig</t>
  </si>
  <si>
    <t>Eta Pod</t>
  </si>
  <si>
    <t>P.Special Valo+Costs</t>
  </si>
  <si>
    <t>S.Special Valo+Costs</t>
  </si>
  <si>
    <t>P.Delta Specialty</t>
  </si>
  <si>
    <t>S.Delta Specialty</t>
  </si>
  <si>
    <t>P.FlatPrice</t>
  </si>
  <si>
    <t>S.FlatPrice</t>
  </si>
  <si>
    <t>C.Note2</t>
  </si>
  <si>
    <t>CG Status</t>
  </si>
  <si>
    <t>Empty Pickup</t>
  </si>
  <si>
    <t>POD6</t>
  </si>
  <si>
    <t>P.POD</t>
  </si>
  <si>
    <t>CIS to IS</t>
  </si>
  <si>
    <t>THC</t>
  </si>
  <si>
    <t>Cost rent</t>
  </si>
  <si>
    <t>Billing Period</t>
  </si>
  <si>
    <t>Freight7</t>
  </si>
  <si>
    <t>Pre.Ship Ref</t>
  </si>
  <si>
    <t>Shipment Ref</t>
  </si>
  <si>
    <t>PCli.Com1</t>
  </si>
  <si>
    <t>PAmoCom1</t>
  </si>
  <si>
    <t>PCli.Com18</t>
  </si>
  <si>
    <t>PAmoCom2</t>
  </si>
  <si>
    <t>SCli.Com1</t>
  </si>
  <si>
    <t>SAmoCom1</t>
  </si>
  <si>
    <t>SCli.Com19</t>
  </si>
  <si>
    <t>SAmoCom2</t>
  </si>
  <si>
    <t>P.Forcast PD</t>
  </si>
  <si>
    <t>S.Forcast PD</t>
  </si>
  <si>
    <t>Joint_venture</t>
  </si>
  <si>
    <t>eDoxOpId</t>
  </si>
  <si>
    <t>CGRef</t>
  </si>
  <si>
    <t>Tariff(%)</t>
  </si>
  <si>
    <t>Tariff(USD)</t>
  </si>
  <si>
    <t>Forw.Ceel</t>
  </si>
  <si>
    <t>Forw.Cargo</t>
  </si>
  <si>
    <t>NAXI</t>
  </si>
  <si>
    <t>21/12/2020 - BLY - is there a booking schedule ? thks</t>
  </si>
  <si>
    <t>USC/LB</t>
  </si>
  <si>
    <t>Y</t>
  </si>
  <si>
    <t>2026-06</t>
  </si>
  <si>
    <t>0/0</t>
  </si>
  <si>
    <t>MKB</t>
  </si>
  <si>
    <t>KORE</t>
  </si>
  <si>
    <t>Grain Pro bags</t>
  </si>
  <si>
    <t>Unallocated - Missing Sample - Missing Pre-shipment</t>
  </si>
  <si>
    <t>OEXP</t>
  </si>
  <si>
    <t>REN JIAN 10</t>
  </si>
  <si>
    <t>621E</t>
  </si>
  <si>
    <t>VESSEL</t>
  </si>
  <si>
    <t>KRPUS</t>
  </si>
  <si>
    <t>NONE</t>
  </si>
  <si>
    <t>CAD</t>
  </si>
  <si>
    <t>FCH</t>
  </si>
  <si>
    <t>JAPA</t>
  </si>
  <si>
    <t>For Cerrad Coffee</t>
  </si>
  <si>
    <t>P4127</t>
  </si>
  <si>
    <t>MTCI</t>
  </si>
  <si>
    <t>PENDING PSS RESULTS FOR PART 5 - RNJ</t>
  </si>
  <si>
    <t>CODCR</t>
  </si>
  <si>
    <t>TTS</t>
  </si>
  <si>
    <t>HONG</t>
  </si>
  <si>
    <t>OCF&lt;1580, 1KG per each lot to HK office</t>
  </si>
  <si>
    <t>A</t>
  </si>
  <si>
    <t>MSC</t>
  </si>
  <si>
    <t>HAO BO 01</t>
  </si>
  <si>
    <t>0026N</t>
  </si>
  <si>
    <t>BEANR</t>
  </si>
  <si>
    <t>OCH</t>
  </si>
  <si>
    <t>SWIT</t>
  </si>
  <si>
    <t>Bulk bags</t>
  </si>
  <si>
    <t>Missing Planning - Potential late shipment</t>
  </si>
  <si>
    <t>Needs to be covered from Origin</t>
  </si>
  <si>
    <t>Jute bags</t>
  </si>
  <si>
    <t>USD/MT</t>
  </si>
  <si>
    <t>PIL</t>
  </si>
  <si>
    <t>CADK</t>
  </si>
  <si>
    <t>JJA</t>
  </si>
  <si>
    <t>CHIN</t>
  </si>
  <si>
    <t>SUCAEASIA</t>
  </si>
  <si>
    <t>300-Gate out Empty</t>
  </si>
  <si>
    <t>ILHFA</t>
  </si>
  <si>
    <t>CADBC</t>
  </si>
  <si>
    <t>OYA</t>
  </si>
  <si>
    <t>ISRA</t>
  </si>
  <si>
    <t>215-Delegated</t>
  </si>
  <si>
    <t>C202605251527</t>
  </si>
  <si>
    <t>real buyer - Beijing Coffee Flag</t>
  </si>
  <si>
    <t>C202605151059</t>
  </si>
  <si>
    <t>G26-KE05-SU08A-C</t>
  </si>
  <si>
    <t>ONEYMBAG01231700</t>
  </si>
  <si>
    <t>BLCR</t>
  </si>
  <si>
    <t>AWO</t>
  </si>
  <si>
    <t>- Double Kraft include Ceiling Top/Bottom -6 sides\n- Fumigation needed\n- Shipper : Origin to decide ( with Sucafina logo on Jute)\n\n- PSS : 500g per item\n\nAttn : GSC Lab , Jay Jin\n4F Floor, 66, Donggyo-ro, Mapo-gu, Seoul, Republic of Korea, 04022</t>
  </si>
  <si>
    <t>230-Confirmed</t>
  </si>
  <si>
    <t>C202605150613</t>
  </si>
  <si>
    <t>ONEYMBAG01232800</t>
  </si>
  <si>
    <t>C202605150631</t>
  </si>
  <si>
    <t>0621E</t>
  </si>
  <si>
    <t>MBA600084100</t>
  </si>
  <si>
    <t>CAR</t>
  </si>
  <si>
    <t>TO BE SHIPPED IN JUN TO FULFILL THE DELIVERY IN JULY</t>
  </si>
  <si>
    <t>LYA</t>
  </si>
  <si>
    <t>No Alert</t>
  </si>
  <si>
    <t>C202605180244</t>
  </si>
  <si>
    <t>USD/KG</t>
  </si>
  <si>
    <t>JUN</t>
  </si>
  <si>
    <t>MALA</t>
  </si>
  <si>
    <t>Sucafina Originals logo</t>
  </si>
  <si>
    <t>NPKE-37929</t>
  </si>
  <si>
    <t>CMAF</t>
  </si>
  <si>
    <t>CMA CGM SEMARANG</t>
  </si>
  <si>
    <t>USNYC</t>
  </si>
  <si>
    <t>MOB0158775</t>
  </si>
  <si>
    <t>SRR</t>
  </si>
  <si>
    <t>USA</t>
  </si>
  <si>
    <t>C202605212218</t>
  </si>
  <si>
    <t>ZPKE-679</t>
  </si>
  <si>
    <t>N</t>
  </si>
  <si>
    <t>SUCAINTERC</t>
  </si>
  <si>
    <t>C202606101207</t>
  </si>
  <si>
    <t>CPKE-14634</t>
  </si>
  <si>
    <t>COA</t>
  </si>
  <si>
    <t>BELG</t>
  </si>
  <si>
    <t>2026-07</t>
  </si>
  <si>
    <t>2026-08</t>
  </si>
  <si>
    <t>Shipper: Kenyacof. Double Kraft include Ceiling Top/Bottomn. Fumigation needed. PSS: 500g X 2 options per container to Korea</t>
  </si>
  <si>
    <t>G26-KE06-SU05A-B</t>
  </si>
  <si>
    <t>2026-09</t>
  </si>
  <si>
    <t>PPGP-2805</t>
  </si>
  <si>
    <t>SLA</t>
  </si>
  <si>
    <t>UK</t>
  </si>
  <si>
    <t>Vacuum Packed</t>
  </si>
  <si>
    <t>MCHA</t>
  </si>
  <si>
    <t>RA Royalty fee at sellers account</t>
  </si>
  <si>
    <t>SWED</t>
  </si>
  <si>
    <t>FRFOS</t>
  </si>
  <si>
    <t>MEDUM2891569</t>
  </si>
  <si>
    <t>JDE300</t>
  </si>
  <si>
    <t>SBO</t>
  </si>
  <si>
    <t>NETH</t>
  </si>
  <si>
    <t>C202604281245</t>
  </si>
  <si>
    <t>real buyer is Beijing Coffee flag\nmatch with SPKE-94929 2FCL, SPKE-94922 2FCL</t>
  </si>
  <si>
    <t>SING</t>
  </si>
  <si>
    <t>CNCAN</t>
  </si>
  <si>
    <t>Shipment to CNCAN</t>
  </si>
  <si>
    <t>C202605151623</t>
  </si>
  <si>
    <t>Net Zero/ 2000054356</t>
  </si>
  <si>
    <t>G26-KE04-SU13A-B</t>
  </si>
  <si>
    <t>- Double Kraft include Ceiling Top/Bottom -6 sides\n- Fumigation needed\n- Shipper : Origin to decide ( with Sucafina logo on Jute)\n- PSS : 500g per item\nAttn : GSC Lab , Jay Jin\n4F Floor, 66, Donggyo-ro, Mapo-gu, Seoul, Republic of Korea, 04022</t>
  </si>
  <si>
    <t>Net Zero/ 2000054357</t>
  </si>
  <si>
    <t>Net Zero/ 2000054358</t>
  </si>
  <si>
    <t>Net Zero/ 2000054359</t>
  </si>
  <si>
    <t>2026/10 All - 2026/10 All</t>
  </si>
  <si>
    <t>2026-10</t>
  </si>
  <si>
    <t>Net Zero/ 2000054360</t>
  </si>
  <si>
    <t>2026/11 All - 2026/11 All</t>
  </si>
  <si>
    <t>2026-11</t>
  </si>
  <si>
    <t>KN186</t>
  </si>
  <si>
    <t xml:space="preserve"> PSS approval condition: PSS to be drawn by SGS and the sampling cost (including the SGS sampling report fee, courier, etc.) to be inclusive in the offer.</t>
  </si>
  <si>
    <t>2026/07 First - 2026/07 First</t>
  </si>
  <si>
    <t>SLS</t>
  </si>
  <si>
    <t>MSC ROBERTA V</t>
  </si>
  <si>
    <t>OM622R</t>
  </si>
  <si>
    <t>NLRTM</t>
  </si>
  <si>
    <t>EBKG16802955</t>
  </si>
  <si>
    <t>TOB</t>
  </si>
  <si>
    <t>GERM</t>
  </si>
  <si>
    <t>rotterdam</t>
  </si>
  <si>
    <t>SUCAGERMAN</t>
  </si>
  <si>
    <t>due date</t>
  </si>
  <si>
    <t>MARKUS</t>
  </si>
  <si>
    <t>400 Gr sample to be sent immediately + sample on arrival</t>
  </si>
  <si>
    <t>Coffee to be delivered 5 working days prior to the 1st day of delivery month</t>
  </si>
  <si>
    <t>To be shipped with No Preshipment and Delivery starts in less than 60 days</t>
  </si>
  <si>
    <t>Net Zero / 2000057223</t>
  </si>
  <si>
    <t>KG</t>
  </si>
  <si>
    <t>The GHG premium 2cts/lb is included in price</t>
  </si>
  <si>
    <t>SRT</t>
  </si>
  <si>
    <t>SPAI</t>
  </si>
  <si>
    <t>CUSTOMS CLEARED</t>
  </si>
  <si>
    <t>C202604301160</t>
  </si>
  <si>
    <t>CPGP-14362</t>
  </si>
  <si>
    <t>2026/03 All - 2026/03 All</t>
  </si>
  <si>
    <t>CPKE-14645</t>
  </si>
  <si>
    <t>Consolidation with SSKE-108500</t>
  </si>
  <si>
    <t>`</t>
  </si>
  <si>
    <t>2025/11</t>
  </si>
  <si>
    <t>03</t>
  </si>
  <si>
    <t>05</t>
  </si>
  <si>
    <t>06</t>
  </si>
  <si>
    <t>07</t>
  </si>
  <si>
    <t>08</t>
  </si>
  <si>
    <t>09</t>
  </si>
  <si>
    <t>10</t>
  </si>
  <si>
    <t>11</t>
  </si>
  <si>
    <t>SSKE-108572</t>
  </si>
  <si>
    <t>1005440.xxxx</t>
  </si>
  <si>
    <t>AB Standard</t>
  </si>
  <si>
    <t>Minus</t>
  </si>
  <si>
    <t>As per type sample approved 890000268435 / TYPE-905 AB FAQ Minus</t>
  </si>
  <si>
    <t>SSKE-108571</t>
  </si>
  <si>
    <t>SSKE-108573</t>
  </si>
  <si>
    <t>SSKE-108574</t>
  </si>
  <si>
    <t>Grinders S14+</t>
  </si>
  <si>
    <t>SSKE-108576</t>
  </si>
  <si>
    <t>Grinders</t>
  </si>
  <si>
    <t>SSKE-108575</t>
  </si>
  <si>
    <t>SSKE-108577</t>
  </si>
  <si>
    <t>14+</t>
  </si>
  <si>
    <t>STANDARD</t>
  </si>
  <si>
    <t>SPGP-96120-1</t>
  </si>
  <si>
    <t>SPGP-96120-2</t>
  </si>
  <si>
    <t>SPGP-96120-7</t>
  </si>
  <si>
    <t>SPGP-96120-5</t>
  </si>
  <si>
    <t>SPGP-96120-6</t>
  </si>
  <si>
    <t>SPGP-96120-3</t>
  </si>
  <si>
    <t>SPGP-96120-4</t>
  </si>
  <si>
    <t>ONEYMBAG01122600</t>
  </si>
  <si>
    <t>MEDUM2894589</t>
  </si>
  <si>
    <t>UNIT PLANNED FOR LOADING WEEK 25 - RNJ</t>
  </si>
  <si>
    <t>MEDUM2894605</t>
  </si>
  <si>
    <t>UNIT PLANNED FOR LOADING IN WEEK 26 - RNJ</t>
  </si>
  <si>
    <t>EXW</t>
  </si>
  <si>
    <t>Delivery from OPEN</t>
  </si>
  <si>
    <t>NPWW-35209</t>
  </si>
  <si>
    <t>2024/10 All - 2025/03 All</t>
  </si>
  <si>
    <t>Kenya Natural Crop 22/23</t>
  </si>
  <si>
    <t>KCH/2025</t>
  </si>
  <si>
    <t>Split requested by RES. Split Date: 03-14-2025</t>
  </si>
  <si>
    <t>DLA</t>
  </si>
  <si>
    <t>to get allocation. Delivery is in 90 days</t>
  </si>
  <si>
    <t>JPYOK</t>
  </si>
  <si>
    <t>MBA600097000</t>
  </si>
  <si>
    <t>UNIT PLANNED FOR LOADING IN WEEK 25 - RNJ</t>
  </si>
  <si>
    <t>UNITS PLANNED FOR LOADING WEEK 25 - RNJ</t>
  </si>
  <si>
    <t>2024/10</t>
  </si>
  <si>
    <t>NLVSN</t>
  </si>
  <si>
    <t>C202606170773</t>
  </si>
  <si>
    <t>ARGOLIKOS</t>
  </si>
  <si>
    <t>627N</t>
  </si>
  <si>
    <t>MBA600099600</t>
  </si>
  <si>
    <t>SW2000N19</t>
  </si>
  <si>
    <t>GREATCHINA</t>
  </si>
  <si>
    <t>KOTA SEMPENA</t>
  </si>
  <si>
    <t>KSMP0617E</t>
  </si>
  <si>
    <t>MBA600066900</t>
  </si>
  <si>
    <t>match with SPKE-94632</t>
  </si>
  <si>
    <t>C202604140208</t>
  </si>
  <si>
    <t>Match with SPKE-94632. JUNE Shipment to catch July delivery</t>
  </si>
  <si>
    <t>C202606021292</t>
  </si>
  <si>
    <t>5-In Store sold</t>
  </si>
  <si>
    <t>SSW-108684</t>
  </si>
  <si>
    <t>22/23</t>
  </si>
  <si>
    <t>SPW-96251</t>
  </si>
  <si>
    <t>3-Afloat unsold</t>
  </si>
  <si>
    <t>Matched Still in Whouse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</si>
</sst>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0.0"/>
    <numFmt numFmtId="166" formatCode="#,##0.0"/>
    <numFmt numFmtId="167" formatCode="_(* #,##0.0_);_(* \(#,##0.0\);_(* &quot;-&quot;??_);_(@_)"/>
    <numFmt numFmtId="168" formatCode="_(&quot;$&quot;* #,##0_);_(&quot;$&quot;* \(#,##0\);_(&quot;$&quot;* &quot;-&quot;??_);_(@_)"/>
  </numFmts>
  <fonts count="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0"/>
      <color theme="0"/>
      <name val="Arial"/>
      <family val="2"/>
    </font>
    <font>
      <sz val="11"/>
      <color theme="0" tint="-0.249977111117893"/>
      <name val="Calibri"/>
      <family val="2"/>
      <scheme val="minor"/>
    </font>
    <font>
      <b/>
      <u/>
      <sz val="10"/>
      <color theme="0"/>
      <name val="Arial"/>
      <family val="2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i/>
      <sz val="11"/>
      <color rgb="FFFF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61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rgb="FF242424"/>
      <name val="Aptos Narrow"/>
      <family val="2"/>
    </font>
    <font>
      <sz val="9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color rgb="FF000000"/>
      <name val="Aptos Narrow"/>
      <family val="2"/>
    </font>
    <font>
      <sz val="9"/>
      <color theme="1"/>
      <name val="Calibri"/>
      <family val="2"/>
      <scheme val="minor"/>
    </font>
    <font>
      <b/>
      <sz val="11"/>
      <color rgb="FFF5F5F5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4"/>
      <color rgb="FFFF0000"/>
      <name val="Arial"/>
      <family val="2"/>
    </font>
    <font>
      <b/>
      <sz val="14"/>
      <color rgb="FFFF0000"/>
      <name val="Arial"/>
      <family val="2"/>
    </font>
    <font>
      <sz val="14"/>
      <color rgb="FF00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5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9FAFB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E5E7EB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rgb="FFE5E7E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9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1" fillId="0" borderId="0"/>
    <xf numFmtId="0" fontId="32" fillId="40" borderId="0" applyNumberFormat="0" applyBorder="0" applyAlignment="0" applyProtection="0"/>
    <xf numFmtId="9" fontId="1" fillId="0" borderId="0" applyFont="0" applyFill="0" applyBorder="0" applyAlignment="0" applyProtection="0"/>
    <xf numFmtId="0" fontId="34" fillId="0" borderId="0" applyNumberFormat="0" applyBorder="0" applyAlignment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3" fontId="18" fillId="34" borderId="10" xfId="0" applyNumberFormat="1" applyFont="1" applyFill="1" applyBorder="1" applyAlignment="1">
      <alignment horizontal="center" vertical="center"/>
    </xf>
    <xf numFmtId="0" fontId="23" fillId="38" borderId="10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left"/>
    </xf>
    <xf numFmtId="0" fontId="23" fillId="38" borderId="11" xfId="0" applyFont="1" applyFill="1" applyBorder="1" applyAlignment="1">
      <alignment horizontal="center" vertical="center" wrapText="1"/>
    </xf>
    <xf numFmtId="0" fontId="18" fillId="34" borderId="14" xfId="0" applyFont="1" applyFill="1" applyBorder="1" applyAlignment="1">
      <alignment vertical="center"/>
    </xf>
    <xf numFmtId="3" fontId="18" fillId="34" borderId="14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0" fontId="25" fillId="38" borderId="10" xfId="0" applyFont="1" applyFill="1" applyBorder="1" applyAlignment="1">
      <alignment vertical="center"/>
    </xf>
    <xf numFmtId="0" fontId="25" fillId="38" borderId="11" xfId="0" applyFont="1" applyFill="1" applyBorder="1" applyAlignment="1">
      <alignment vertical="center"/>
    </xf>
    <xf numFmtId="0" fontId="26" fillId="0" borderId="0" xfId="0" applyFont="1"/>
    <xf numFmtId="3" fontId="27" fillId="37" borderId="12" xfId="1" applyNumberFormat="1" applyFont="1" applyFill="1" applyBorder="1" applyAlignment="1">
      <alignment horizontal="center" vertical="center"/>
    </xf>
    <xf numFmtId="3" fontId="27" fillId="37" borderId="15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10" xfId="0" applyBorder="1"/>
    <xf numFmtId="0" fontId="16" fillId="0" borderId="0" xfId="0" applyFont="1"/>
    <xf numFmtId="0" fontId="29" fillId="39" borderId="13" xfId="0" applyFont="1" applyFill="1" applyBorder="1" applyAlignment="1">
      <alignment vertical="center"/>
    </xf>
    <xf numFmtId="38" fontId="29" fillId="39" borderId="13" xfId="0" applyNumberFormat="1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16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3" fontId="19" fillId="34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1" applyFont="1" applyAlignment="1">
      <alignment horizontal="center"/>
    </xf>
    <xf numFmtId="165" fontId="0" fillId="0" borderId="10" xfId="0" applyNumberFormat="1" applyBorder="1" applyAlignment="1">
      <alignment horizontal="center"/>
    </xf>
    <xf numFmtId="0" fontId="20" fillId="35" borderId="10" xfId="0" applyFont="1" applyFill="1" applyBorder="1" applyAlignment="1">
      <alignment horizontal="center" vertical="center"/>
    </xf>
    <xf numFmtId="0" fontId="20" fillId="38" borderId="10" xfId="0" applyFont="1" applyFill="1" applyBorder="1" applyAlignment="1">
      <alignment horizontal="center" vertical="center"/>
    </xf>
    <xf numFmtId="0" fontId="21" fillId="38" borderId="10" xfId="0" applyFont="1" applyFill="1" applyBorder="1" applyAlignment="1">
      <alignment horizontal="center" vertical="center"/>
    </xf>
    <xf numFmtId="37" fontId="33" fillId="42" borderId="12" xfId="1" applyNumberFormat="1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/>
    </xf>
    <xf numFmtId="4" fontId="0" fillId="0" borderId="0" xfId="0" applyNumberFormat="1"/>
    <xf numFmtId="0" fontId="14" fillId="0" borderId="0" xfId="0" applyFont="1"/>
    <xf numFmtId="0" fontId="0" fillId="33" borderId="0" xfId="0" applyFill="1"/>
    <xf numFmtId="0" fontId="0" fillId="36" borderId="0" xfId="0" applyFill="1"/>
    <xf numFmtId="14" fontId="0" fillId="0" borderId="0" xfId="0" applyNumberFormat="1"/>
    <xf numFmtId="3" fontId="0" fillId="0" borderId="0" xfId="0" applyNumberFormat="1"/>
    <xf numFmtId="0" fontId="0" fillId="0" borderId="0" xfId="0" quotePrefix="1" applyAlignment="1">
      <alignment horizontal="left"/>
    </xf>
    <xf numFmtId="9" fontId="0" fillId="0" borderId="0" xfId="0" applyNumberFormat="1" applyAlignment="1">
      <alignment horizontal="left"/>
    </xf>
    <xf numFmtId="3" fontId="14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0" fontId="35" fillId="0" borderId="0" xfId="46" applyFont="1" applyBorder="1" applyAlignment="1">
      <alignment vertical="center"/>
    </xf>
    <xf numFmtId="3" fontId="14" fillId="0" borderId="0" xfId="0" applyNumberFormat="1" applyFont="1"/>
    <xf numFmtId="0" fontId="0" fillId="33" borderId="0" xfId="0" applyFill="1" applyAlignment="1">
      <alignment horizontal="center"/>
    </xf>
    <xf numFmtId="38" fontId="0" fillId="33" borderId="0" xfId="0" applyNumberFormat="1" applyFill="1" applyAlignment="1">
      <alignment horizontal="center"/>
    </xf>
    <xf numFmtId="3" fontId="0" fillId="33" borderId="0" xfId="0" applyNumberFormat="1" applyFill="1"/>
    <xf numFmtId="0" fontId="0" fillId="0" borderId="0" xfId="0" applyAlignment="1">
      <alignment vertical="center" wrapText="1"/>
    </xf>
    <xf numFmtId="3" fontId="16" fillId="0" borderId="0" xfId="0" applyNumberFormat="1" applyFont="1"/>
    <xf numFmtId="3" fontId="36" fillId="0" borderId="0" xfId="7" applyNumberFormat="1" applyFont="1" applyFill="1"/>
    <xf numFmtId="3" fontId="36" fillId="2" borderId="0" xfId="7" applyNumberFormat="1" applyFont="1"/>
    <xf numFmtId="3" fontId="36" fillId="2" borderId="0" xfId="7" applyNumberFormat="1" applyFont="1" applyAlignment="1">
      <alignment horizontal="right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45" borderId="0" xfId="0" applyFont="1" applyFill="1" applyAlignment="1">
      <alignment horizontal="center" vertical="center"/>
    </xf>
    <xf numFmtId="0" fontId="20" fillId="44" borderId="17" xfId="0" applyFont="1" applyFill="1" applyBorder="1" applyAlignment="1">
      <alignment horizontal="center" vertical="center"/>
    </xf>
    <xf numFmtId="0" fontId="20" fillId="44" borderId="18" xfId="0" applyFont="1" applyFill="1" applyBorder="1" applyAlignment="1">
      <alignment horizontal="center" vertical="center"/>
    </xf>
    <xf numFmtId="0" fontId="27" fillId="43" borderId="19" xfId="0" applyFont="1" applyFill="1" applyBorder="1" applyAlignment="1">
      <alignment horizontal="center" vertical="center"/>
    </xf>
    <xf numFmtId="9" fontId="34" fillId="0" borderId="20" xfId="0" applyNumberFormat="1" applyFont="1" applyBorder="1"/>
    <xf numFmtId="0" fontId="34" fillId="0" borderId="12" xfId="0" applyFont="1" applyBorder="1"/>
    <xf numFmtId="0" fontId="34" fillId="0" borderId="16" xfId="0" applyFont="1" applyBorder="1"/>
    <xf numFmtId="9" fontId="34" fillId="0" borderId="21" xfId="0" applyNumberFormat="1" applyFont="1" applyBorder="1"/>
    <xf numFmtId="9" fontId="34" fillId="0" borderId="22" xfId="0" applyNumberFormat="1" applyFont="1" applyBorder="1"/>
    <xf numFmtId="0" fontId="34" fillId="0" borderId="10" xfId="0" applyFont="1" applyBorder="1"/>
    <xf numFmtId="0" fontId="27" fillId="0" borderId="16" xfId="0" applyFont="1" applyBorder="1" applyAlignment="1">
      <alignment horizontal="center"/>
    </xf>
    <xf numFmtId="10" fontId="22" fillId="34" borderId="10" xfId="0" applyNumberFormat="1" applyFont="1" applyFill="1" applyBorder="1" applyAlignment="1">
      <alignment horizontal="center" vertical="center"/>
    </xf>
    <xf numFmtId="165" fontId="30" fillId="43" borderId="10" xfId="0" applyNumberFormat="1" applyFont="1" applyFill="1" applyBorder="1" applyAlignment="1">
      <alignment horizontal="center" vertical="center"/>
    </xf>
    <xf numFmtId="0" fontId="16" fillId="36" borderId="0" xfId="0" applyFont="1" applyFill="1" applyAlignment="1">
      <alignment horizontal="center"/>
    </xf>
    <xf numFmtId="4" fontId="17" fillId="41" borderId="0" xfId="0" applyNumberFormat="1" applyFont="1" applyFill="1" applyAlignment="1">
      <alignment horizontal="center"/>
    </xf>
    <xf numFmtId="3" fontId="0" fillId="0" borderId="0" xfId="0" quotePrefix="1" applyNumberFormat="1" applyAlignment="1">
      <alignment horizontal="center"/>
    </xf>
    <xf numFmtId="0" fontId="17" fillId="46" borderId="0" xfId="0" applyFont="1" applyFill="1"/>
    <xf numFmtId="3" fontId="17" fillId="46" borderId="0" xfId="0" applyNumberFormat="1" applyFont="1" applyFill="1" applyAlignment="1">
      <alignment horizontal="center"/>
    </xf>
    <xf numFmtId="3" fontId="23" fillId="38" borderId="11" xfId="0" applyNumberFormat="1" applyFont="1" applyFill="1" applyBorder="1" applyAlignment="1">
      <alignment horizontal="center" vertical="center" wrapText="1"/>
    </xf>
    <xf numFmtId="3" fontId="31" fillId="0" borderId="11" xfId="0" applyNumberFormat="1" applyFont="1" applyBorder="1" applyAlignment="1">
      <alignment horizontal="center" vertical="center" wrapText="1"/>
    </xf>
    <xf numFmtId="37" fontId="0" fillId="0" borderId="0" xfId="0" applyNumberFormat="1"/>
    <xf numFmtId="14" fontId="0" fillId="36" borderId="0" xfId="0" applyNumberFormat="1" applyFill="1"/>
    <xf numFmtId="165" fontId="0" fillId="0" borderId="0" xfId="0" applyNumberFormat="1"/>
    <xf numFmtId="1" fontId="0" fillId="0" borderId="0" xfId="0" applyNumberFormat="1"/>
    <xf numFmtId="0" fontId="27" fillId="36" borderId="16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right"/>
    </xf>
    <xf numFmtId="2" fontId="0" fillId="0" borderId="0" xfId="0" applyNumberFormat="1"/>
    <xf numFmtId="167" fontId="0" fillId="0" borderId="0" xfId="1" applyNumberFormat="1" applyFont="1"/>
    <xf numFmtId="4" fontId="0" fillId="33" borderId="0" xfId="0" applyNumberFormat="1" applyFill="1"/>
    <xf numFmtId="1" fontId="0" fillId="0" borderId="10" xfId="0" applyNumberFormat="1" applyBorder="1"/>
    <xf numFmtId="2" fontId="0" fillId="33" borderId="0" xfId="0" applyNumberFormat="1" applyFill="1"/>
    <xf numFmtId="0" fontId="16" fillId="45" borderId="0" xfId="0" applyFont="1" applyFill="1" applyAlignment="1">
      <alignment horizontal="center" vertical="center" wrapText="1"/>
    </xf>
    <xf numFmtId="2" fontId="16" fillId="45" borderId="0" xfId="0" applyNumberFormat="1" applyFont="1" applyFill="1" applyAlignment="1">
      <alignment horizontal="center" vertical="center"/>
    </xf>
    <xf numFmtId="0" fontId="16" fillId="47" borderId="23" xfId="0" applyFont="1" applyFill="1" applyBorder="1" applyAlignment="1">
      <alignment horizontal="center"/>
    </xf>
    <xf numFmtId="0" fontId="34" fillId="36" borderId="12" xfId="0" applyFont="1" applyFill="1" applyBorder="1"/>
    <xf numFmtId="0" fontId="34" fillId="36" borderId="16" xfId="0" applyFont="1" applyFill="1" applyBorder="1"/>
    <xf numFmtId="9" fontId="34" fillId="36" borderId="20" xfId="0" applyNumberFormat="1" applyFont="1" applyFill="1" applyBorder="1"/>
    <xf numFmtId="0" fontId="0" fillId="0" borderId="0" xfId="0" applyAlignment="1">
      <alignment wrapText="1"/>
    </xf>
    <xf numFmtId="3" fontId="19" fillId="34" borderId="11" xfId="0" applyNumberFormat="1" applyFont="1" applyFill="1" applyBorder="1" applyAlignment="1">
      <alignment horizontal="center" vertical="center"/>
    </xf>
    <xf numFmtId="0" fontId="27" fillId="34" borderId="12" xfId="0" applyFont="1" applyFill="1" applyBorder="1" applyAlignment="1">
      <alignment horizontal="left" vertical="center" indent="1"/>
    </xf>
    <xf numFmtId="0" fontId="38" fillId="34" borderId="11" xfId="0" applyFont="1" applyFill="1" applyBorder="1" applyAlignment="1">
      <alignment horizontal="left" vertical="center" indent="1"/>
    </xf>
    <xf numFmtId="0" fontId="38" fillId="34" borderId="15" xfId="0" applyFont="1" applyFill="1" applyBorder="1" applyAlignment="1">
      <alignment horizontal="left" vertical="center" indent="1"/>
    </xf>
    <xf numFmtId="0" fontId="38" fillId="34" borderId="12" xfId="0" applyFont="1" applyFill="1" applyBorder="1" applyAlignment="1">
      <alignment horizontal="left" vertical="center" indent="1"/>
    </xf>
    <xf numFmtId="0" fontId="27" fillId="34" borderId="24" xfId="0" applyFont="1" applyFill="1" applyBorder="1" applyAlignment="1">
      <alignment horizontal="left" vertical="center" indent="1"/>
    </xf>
    <xf numFmtId="0" fontId="27" fillId="34" borderId="15" xfId="0" applyFont="1" applyFill="1" applyBorder="1" applyAlignment="1">
      <alignment horizontal="left" vertical="center" indent="1"/>
    </xf>
    <xf numFmtId="0" fontId="27" fillId="34" borderId="11" xfId="0" applyFont="1" applyFill="1" applyBorder="1" applyAlignment="1">
      <alignment horizontal="left" vertical="center" indent="1"/>
    </xf>
    <xf numFmtId="0" fontId="27" fillId="34" borderId="10" xfId="0" applyFont="1" applyFill="1" applyBorder="1" applyAlignment="1">
      <alignment horizontal="left" vertical="center" indent="1"/>
    </xf>
    <xf numFmtId="37" fontId="28" fillId="42" borderId="10" xfId="1" applyNumberFormat="1" applyFont="1" applyFill="1" applyBorder="1" applyAlignment="1">
      <alignment horizontal="center" vertical="center"/>
    </xf>
    <xf numFmtId="37" fontId="33" fillId="42" borderId="25" xfId="1" applyNumberFormat="1" applyFont="1" applyFill="1" applyBorder="1" applyAlignment="1">
      <alignment horizontal="center" vertical="center"/>
    </xf>
    <xf numFmtId="3" fontId="27" fillId="37" borderId="11" xfId="1" applyNumberFormat="1" applyFont="1" applyFill="1" applyBorder="1" applyAlignment="1">
      <alignment horizontal="center" vertical="center"/>
    </xf>
    <xf numFmtId="0" fontId="20" fillId="44" borderId="18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39" fillId="0" borderId="0" xfId="0" applyFont="1"/>
    <xf numFmtId="3" fontId="0" fillId="0" borderId="10" xfId="0" applyNumberFormat="1" applyBorder="1"/>
    <xf numFmtId="165" fontId="0" fillId="0" borderId="10" xfId="0" applyNumberFormat="1" applyBorder="1"/>
    <xf numFmtId="0" fontId="13" fillId="48" borderId="10" xfId="0" applyFont="1" applyFill="1" applyBorder="1"/>
    <xf numFmtId="3" fontId="13" fillId="48" borderId="10" xfId="0" applyNumberFormat="1" applyFont="1" applyFill="1" applyBorder="1"/>
    <xf numFmtId="1" fontId="13" fillId="48" borderId="10" xfId="0" applyNumberFormat="1" applyFont="1" applyFill="1" applyBorder="1"/>
    <xf numFmtId="0" fontId="25" fillId="48" borderId="10" xfId="0" applyFont="1" applyFill="1" applyBorder="1" applyAlignment="1">
      <alignment horizontal="center" vertical="center"/>
    </xf>
    <xf numFmtId="0" fontId="34" fillId="36" borderId="10" xfId="0" applyFont="1" applyFill="1" applyBorder="1"/>
    <xf numFmtId="0" fontId="27" fillId="34" borderId="26" xfId="0" applyFont="1" applyFill="1" applyBorder="1" applyAlignment="1">
      <alignment horizontal="left" vertical="center" indent="1"/>
    </xf>
    <xf numFmtId="3" fontId="27" fillId="37" borderId="26" xfId="1" applyNumberFormat="1" applyFont="1" applyFill="1" applyBorder="1" applyAlignment="1">
      <alignment horizontal="center" vertical="center"/>
    </xf>
    <xf numFmtId="0" fontId="40" fillId="0" borderId="0" xfId="0" quotePrefix="1" applyFont="1"/>
    <xf numFmtId="0" fontId="0" fillId="52" borderId="0" xfId="0" applyFill="1"/>
    <xf numFmtId="3" fontId="0" fillId="52" borderId="0" xfId="0" applyNumberFormat="1" applyFill="1"/>
    <xf numFmtId="166" fontId="0" fillId="52" borderId="0" xfId="0" applyNumberFormat="1" applyFill="1"/>
    <xf numFmtId="0" fontId="25" fillId="48" borderId="11" xfId="0" applyFont="1" applyFill="1" applyBorder="1" applyAlignment="1">
      <alignment horizontal="center" vertical="center"/>
    </xf>
    <xf numFmtId="0" fontId="27" fillId="34" borderId="29" xfId="0" applyFont="1" applyFill="1" applyBorder="1" applyAlignment="1">
      <alignment horizontal="left" vertical="center" indent="1"/>
    </xf>
    <xf numFmtId="3" fontId="27" fillId="37" borderId="28" xfId="1" applyNumberFormat="1" applyFont="1" applyFill="1" applyBorder="1" applyAlignment="1">
      <alignment horizontal="center" vertical="center"/>
    </xf>
    <xf numFmtId="0" fontId="27" fillId="34" borderId="28" xfId="0" applyFont="1" applyFill="1" applyBorder="1" applyAlignment="1">
      <alignment horizontal="left" vertical="center" indent="1"/>
    </xf>
    <xf numFmtId="3" fontId="27" fillId="37" borderId="27" xfId="1" applyNumberFormat="1" applyFont="1" applyFill="1" applyBorder="1" applyAlignment="1">
      <alignment horizontal="center" vertical="center"/>
    </xf>
    <xf numFmtId="165" fontId="30" fillId="43" borderId="11" xfId="0" applyNumberFormat="1" applyFont="1" applyFill="1" applyBorder="1" applyAlignment="1">
      <alignment horizontal="center" vertical="center"/>
    </xf>
    <xf numFmtId="9" fontId="14" fillId="0" borderId="0" xfId="0" applyNumberFormat="1" applyFont="1"/>
    <xf numFmtId="10" fontId="22" fillId="34" borderId="11" xfId="0" applyNumberFormat="1" applyFont="1" applyFill="1" applyBorder="1" applyAlignment="1">
      <alignment horizontal="center" vertical="center"/>
    </xf>
    <xf numFmtId="0" fontId="0" fillId="53" borderId="0" xfId="0" applyFill="1"/>
    <xf numFmtId="0" fontId="0" fillId="53" borderId="0" xfId="0" quotePrefix="1" applyFill="1"/>
    <xf numFmtId="0" fontId="0" fillId="54" borderId="0" xfId="0" applyFill="1"/>
    <xf numFmtId="2" fontId="0" fillId="52" borderId="0" xfId="0" applyNumberFormat="1" applyFill="1"/>
    <xf numFmtId="1" fontId="0" fillId="52" borderId="0" xfId="0" applyNumberFormat="1" applyFill="1"/>
    <xf numFmtId="165" fontId="0" fillId="52" borderId="0" xfId="0" applyNumberFormat="1" applyFill="1"/>
    <xf numFmtId="4" fontId="0" fillId="52" borderId="0" xfId="0" applyNumberFormat="1" applyFill="1"/>
    <xf numFmtId="0" fontId="0" fillId="46" borderId="10" xfId="0" applyFill="1" applyBorder="1" applyAlignment="1">
      <alignment horizontal="center"/>
    </xf>
    <xf numFmtId="0" fontId="30" fillId="33" borderId="0" xfId="0" applyFont="1" applyFill="1" applyAlignment="1">
      <alignment wrapText="1"/>
    </xf>
    <xf numFmtId="9" fontId="14" fillId="0" borderId="0" xfId="45" applyFont="1"/>
    <xf numFmtId="9" fontId="0" fillId="0" borderId="0" xfId="0" applyNumberFormat="1"/>
    <xf numFmtId="0" fontId="43" fillId="0" borderId="0" xfId="0" applyFont="1"/>
    <xf numFmtId="3" fontId="0" fillId="43" borderId="0" xfId="0" applyNumberFormat="1" applyFill="1"/>
    <xf numFmtId="4" fontId="0" fillId="43" borderId="0" xfId="0" applyNumberFormat="1" applyFill="1"/>
    <xf numFmtId="2" fontId="0" fillId="43" borderId="0" xfId="0" applyNumberFormat="1" applyFill="1"/>
    <xf numFmtId="2" fontId="0" fillId="0" borderId="0" xfId="0" applyNumberFormat="1" applyAlignment="1">
      <alignment horizontal="right"/>
    </xf>
    <xf numFmtId="0" fontId="16" fillId="47" borderId="0" xfId="0" applyFont="1" applyFill="1" applyAlignment="1">
      <alignment horizontal="center"/>
    </xf>
    <xf numFmtId="0" fontId="21" fillId="53" borderId="10" xfId="0" applyFont="1" applyFill="1" applyBorder="1" applyAlignment="1">
      <alignment horizontal="center" vertical="center"/>
    </xf>
    <xf numFmtId="14" fontId="0" fillId="54" borderId="0" xfId="0" applyNumberFormat="1" applyFill="1"/>
    <xf numFmtId="44" fontId="0" fillId="0" borderId="0" xfId="48" applyFont="1" applyAlignment="1">
      <alignment horizontal="left"/>
    </xf>
    <xf numFmtId="0" fontId="0" fillId="0" borderId="34" xfId="0" applyBorder="1"/>
    <xf numFmtId="0" fontId="0" fillId="0" borderId="35" xfId="0" applyBorder="1"/>
    <xf numFmtId="0" fontId="16" fillId="0" borderId="0" xfId="0" applyFont="1" applyAlignment="1">
      <alignment horizontal="right" vertical="center"/>
    </xf>
    <xf numFmtId="9" fontId="34" fillId="36" borderId="22" xfId="0" applyNumberFormat="1" applyFont="1" applyFill="1" applyBorder="1"/>
    <xf numFmtId="9" fontId="34" fillId="36" borderId="21" xfId="0" applyNumberFormat="1" applyFont="1" applyFill="1" applyBorder="1"/>
    <xf numFmtId="168" fontId="44" fillId="0" borderId="0" xfId="48" applyNumberFormat="1" applyFont="1"/>
    <xf numFmtId="0" fontId="44" fillId="0" borderId="0" xfId="0" applyFont="1"/>
    <xf numFmtId="2" fontId="13" fillId="41" borderId="37" xfId="0" applyNumberFormat="1" applyFont="1" applyFill="1" applyBorder="1"/>
    <xf numFmtId="0" fontId="45" fillId="56" borderId="0" xfId="0" applyFont="1" applyFill="1"/>
    <xf numFmtId="37" fontId="28" fillId="57" borderId="11" xfId="1" applyNumberFormat="1" applyFont="1" applyFill="1" applyBorder="1" applyAlignment="1">
      <alignment horizontal="center" vertical="center"/>
    </xf>
    <xf numFmtId="38" fontId="29" fillId="57" borderId="13" xfId="0" applyNumberFormat="1" applyFont="1" applyFill="1" applyBorder="1" applyAlignment="1">
      <alignment horizontal="center" vertical="center" wrapText="1"/>
    </xf>
    <xf numFmtId="0" fontId="46" fillId="57" borderId="11" xfId="0" applyFont="1" applyFill="1" applyBorder="1" applyAlignment="1">
      <alignment horizontal="center" vertical="center" wrapText="1"/>
    </xf>
    <xf numFmtId="0" fontId="34" fillId="0" borderId="0" xfId="0" applyFont="1"/>
    <xf numFmtId="0" fontId="0" fillId="0" borderId="0" xfId="0" applyAlignment="1">
      <alignment horizontal="center" vertical="center" wrapText="1"/>
    </xf>
    <xf numFmtId="2" fontId="0" fillId="54" borderId="0" xfId="0" applyNumberFormat="1" applyFill="1"/>
    <xf numFmtId="0" fontId="47" fillId="33" borderId="0" xfId="0" applyFont="1" applyFill="1"/>
    <xf numFmtId="3" fontId="47" fillId="33" borderId="0" xfId="0" applyNumberFormat="1" applyFont="1" applyFill="1"/>
    <xf numFmtId="4" fontId="47" fillId="33" borderId="0" xfId="0" applyNumberFormat="1" applyFont="1" applyFill="1"/>
    <xf numFmtId="0" fontId="49" fillId="51" borderId="33" xfId="0" applyFont="1" applyFill="1" applyBorder="1" applyAlignment="1">
      <alignment horizontal="right" vertical="center" wrapText="1"/>
    </xf>
    <xf numFmtId="0" fontId="48" fillId="51" borderId="33" xfId="0" applyFont="1" applyFill="1" applyBorder="1" applyAlignment="1">
      <alignment horizontal="right" vertical="center" wrapText="1"/>
    </xf>
    <xf numFmtId="0" fontId="48" fillId="51" borderId="0" xfId="0" applyFont="1" applyFill="1" applyAlignment="1">
      <alignment vertical="center" wrapText="1"/>
    </xf>
    <xf numFmtId="0" fontId="34" fillId="0" borderId="15" xfId="0" applyFont="1" applyBorder="1"/>
    <xf numFmtId="0" fontId="0" fillId="36" borderId="0" xfId="0" applyFill="1" applyAlignment="1">
      <alignment horizontal="center"/>
    </xf>
    <xf numFmtId="0" fontId="49" fillId="51" borderId="33" xfId="0" applyFont="1" applyFill="1" applyBorder="1" applyAlignment="1">
      <alignment vertical="center"/>
    </xf>
    <xf numFmtId="3" fontId="48" fillId="51" borderId="0" xfId="0" applyNumberFormat="1" applyFont="1" applyFill="1" applyAlignment="1">
      <alignment horizontal="right" vertical="center" wrapText="1"/>
    </xf>
    <xf numFmtId="0" fontId="50" fillId="51" borderId="33" xfId="0" applyFont="1" applyFill="1" applyBorder="1" applyAlignment="1">
      <alignment vertical="center"/>
    </xf>
    <xf numFmtId="3" fontId="50" fillId="51" borderId="33" xfId="0" applyNumberFormat="1" applyFont="1" applyFill="1" applyBorder="1" applyAlignment="1">
      <alignment horizontal="right" vertical="center" wrapText="1"/>
    </xf>
    <xf numFmtId="3" fontId="51" fillId="51" borderId="33" xfId="0" applyNumberFormat="1" applyFont="1" applyFill="1" applyBorder="1" applyAlignment="1">
      <alignment horizontal="right" vertical="center" wrapText="1"/>
    </xf>
    <xf numFmtId="0" fontId="50" fillId="51" borderId="33" xfId="0" applyFont="1" applyFill="1" applyBorder="1" applyAlignment="1">
      <alignment horizontal="right" vertical="center" wrapText="1"/>
    </xf>
    <xf numFmtId="0" fontId="51" fillId="51" borderId="33" xfId="0" applyFont="1" applyFill="1" applyBorder="1" applyAlignment="1">
      <alignment horizontal="right" vertical="center" wrapText="1"/>
    </xf>
    <xf numFmtId="0" fontId="0" fillId="0" borderId="0" xfId="0" applyAlignment="1">
      <alignment vertical="top"/>
    </xf>
    <xf numFmtId="3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9" fontId="0" fillId="0" borderId="0" xfId="0" applyNumberFormat="1" applyAlignment="1">
      <alignment horizontal="center" vertical="top"/>
    </xf>
    <xf numFmtId="0" fontId="16" fillId="0" borderId="0" xfId="0" applyFont="1" applyAlignment="1">
      <alignment vertical="top"/>
    </xf>
    <xf numFmtId="0" fontId="0" fillId="0" borderId="0" xfId="0" quotePrefix="1" applyAlignment="1">
      <alignment horizontal="left" vertical="top"/>
    </xf>
    <xf numFmtId="9" fontId="0" fillId="0" borderId="0" xfId="0" applyNumberFormat="1" applyAlignment="1">
      <alignment horizontal="left" vertical="top"/>
    </xf>
    <xf numFmtId="0" fontId="14" fillId="0" borderId="0" xfId="0" applyFont="1" applyAlignment="1">
      <alignment vertical="top"/>
    </xf>
    <xf numFmtId="3" fontId="49" fillId="51" borderId="33" xfId="0" applyNumberFormat="1" applyFont="1" applyFill="1" applyBorder="1" applyAlignment="1">
      <alignment horizontal="right" vertical="center" wrapText="1"/>
    </xf>
    <xf numFmtId="3" fontId="48" fillId="51" borderId="33" xfId="0" applyNumberFormat="1" applyFont="1" applyFill="1" applyBorder="1" applyAlignment="1">
      <alignment horizontal="right" vertical="center" wrapText="1"/>
    </xf>
    <xf numFmtId="0" fontId="48" fillId="49" borderId="36" xfId="0" applyFont="1" applyFill="1" applyBorder="1" applyAlignment="1">
      <alignment horizontal="center" vertical="center"/>
    </xf>
    <xf numFmtId="0" fontId="48" fillId="49" borderId="36" xfId="0" applyFont="1" applyFill="1" applyBorder="1" applyAlignment="1">
      <alignment horizontal="right" vertical="center" wrapText="1"/>
    </xf>
    <xf numFmtId="0" fontId="48" fillId="50" borderId="33" xfId="0" applyFont="1" applyFill="1" applyBorder="1" applyAlignment="1">
      <alignment vertical="center"/>
    </xf>
    <xf numFmtId="3" fontId="49" fillId="50" borderId="33" xfId="0" applyNumberFormat="1" applyFont="1" applyFill="1" applyBorder="1" applyAlignment="1">
      <alignment horizontal="right" vertical="center" wrapText="1"/>
    </xf>
    <xf numFmtId="0" fontId="49" fillId="50" borderId="33" xfId="0" applyFont="1" applyFill="1" applyBorder="1" applyAlignment="1">
      <alignment horizontal="right" vertical="center" wrapText="1"/>
    </xf>
    <xf numFmtId="3" fontId="48" fillId="50" borderId="33" xfId="0" applyNumberFormat="1" applyFont="1" applyFill="1" applyBorder="1" applyAlignment="1">
      <alignment horizontal="right" vertical="center" wrapText="1"/>
    </xf>
    <xf numFmtId="0" fontId="49" fillId="52" borderId="33" xfId="0" applyFont="1" applyFill="1" applyBorder="1" applyAlignment="1">
      <alignment vertical="center"/>
    </xf>
    <xf numFmtId="3" fontId="49" fillId="52" borderId="33" xfId="0" applyNumberFormat="1" applyFont="1" applyFill="1" applyBorder="1" applyAlignment="1">
      <alignment horizontal="right" vertical="center" wrapText="1"/>
    </xf>
    <xf numFmtId="3" fontId="48" fillId="52" borderId="33" xfId="0" applyNumberFormat="1" applyFont="1" applyFill="1" applyBorder="1" applyAlignment="1">
      <alignment horizontal="right" vertical="center" wrapText="1"/>
    </xf>
    <xf numFmtId="0" fontId="49" fillId="52" borderId="33" xfId="0" applyFont="1" applyFill="1" applyBorder="1" applyAlignment="1">
      <alignment horizontal="right" vertical="center" wrapText="1"/>
    </xf>
    <xf numFmtId="0" fontId="48" fillId="52" borderId="33" xfId="0" applyFont="1" applyFill="1" applyBorder="1" applyAlignment="1">
      <alignment horizontal="right" vertical="center" wrapText="1"/>
    </xf>
    <xf numFmtId="0" fontId="0" fillId="54" borderId="34" xfId="0" applyFill="1" applyBorder="1"/>
    <xf numFmtId="14" fontId="0" fillId="54" borderId="34" xfId="0" applyNumberFormat="1" applyFill="1" applyBorder="1"/>
    <xf numFmtId="0" fontId="0" fillId="0" borderId="38" xfId="0" applyBorder="1" applyAlignment="1">
      <alignment horizontal="center" vertical="center"/>
    </xf>
    <xf numFmtId="1" fontId="14" fillId="0" borderId="0" xfId="0" applyNumberFormat="1" applyFont="1"/>
    <xf numFmtId="0" fontId="48" fillId="49" borderId="36" xfId="0" applyFont="1" applyFill="1" applyBorder="1" applyAlignment="1">
      <alignment horizontal="center" vertical="center" wrapText="1"/>
    </xf>
    <xf numFmtId="0" fontId="48" fillId="50" borderId="33" xfId="0" applyFont="1" applyFill="1" applyBorder="1" applyAlignment="1">
      <alignment vertical="center" wrapText="1"/>
    </xf>
    <xf numFmtId="0" fontId="48" fillId="50" borderId="33" xfId="0" applyFont="1" applyFill="1" applyBorder="1" applyAlignment="1">
      <alignment horizontal="right" vertical="center" wrapText="1"/>
    </xf>
    <xf numFmtId="0" fontId="48" fillId="51" borderId="0" xfId="0" applyFont="1" applyFill="1" applyAlignment="1">
      <alignment horizontal="right" vertical="center" wrapText="1"/>
    </xf>
    <xf numFmtId="0" fontId="52" fillId="51" borderId="33" xfId="0" applyFont="1" applyFill="1" applyBorder="1" applyAlignment="1">
      <alignment vertical="center" wrapText="1"/>
    </xf>
    <xf numFmtId="2" fontId="0" fillId="0" borderId="34" xfId="0" applyNumberFormat="1" applyBorder="1"/>
    <xf numFmtId="14" fontId="0" fillId="0" borderId="34" xfId="0" applyNumberFormat="1" applyBorder="1"/>
    <xf numFmtId="1" fontId="0" fillId="0" borderId="34" xfId="0" applyNumberFormat="1" applyBorder="1"/>
    <xf numFmtId="0" fontId="0" fillId="55" borderId="0" xfId="0" applyFill="1"/>
    <xf numFmtId="0" fontId="0" fillId="47" borderId="0" xfId="0" applyFill="1" applyAlignment="1">
      <alignment horizontal="center" vertical="center"/>
    </xf>
    <xf numFmtId="38" fontId="0" fillId="0" borderId="0" xfId="0" applyNumberFormat="1"/>
    <xf numFmtId="0" fontId="25" fillId="48" borderId="30" xfId="0" applyFont="1" applyFill="1" applyBorder="1" applyAlignment="1">
      <alignment horizontal="center" vertical="center"/>
    </xf>
    <xf numFmtId="0" fontId="25" fillId="48" borderId="31" xfId="0" applyFont="1" applyFill="1" applyBorder="1" applyAlignment="1">
      <alignment horizontal="center" vertical="center"/>
    </xf>
    <xf numFmtId="0" fontId="25" fillId="48" borderId="32" xfId="0" applyFont="1" applyFill="1" applyBorder="1" applyAlignment="1">
      <alignment horizontal="center" vertical="center"/>
    </xf>
    <xf numFmtId="0" fontId="0" fillId="54" borderId="0" xfId="0" applyFill="1" applyAlignment="1">
      <alignment horizontal="center" vertical="center" wrapText="1"/>
    </xf>
  </cellXfs>
  <cellStyles count="49">
    <cellStyle name="20 % - Accent2" xfId="44" xr:uid="{48B710EB-AC3C-48C8-A9F1-9B385BCA638C}"/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Comma 30 2" xfId="47" xr:uid="{0A277AEF-B603-461A-AE27-53E4F237D304}"/>
    <cellStyle name="Currency" xfId="48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456D78DC-4A47-40E5-A287-679D591815F6}"/>
    <cellStyle name="Normal 3" xfId="46" xr:uid="{05DBDFA5-7DA2-4D6A-A1E0-19E73F044051}"/>
    <cellStyle name="Note" xfId="16" builtinId="10" customBuiltin="1"/>
    <cellStyle name="Output" xfId="11" builtinId="21" customBuiltin="1"/>
    <cellStyle name="Percent" xfId="45" builtinId="5"/>
    <cellStyle name="Title" xfId="2" builtinId="15" customBuiltin="1"/>
    <cellStyle name="Total" xfId="18" builtinId="25" customBuiltin="1"/>
    <cellStyle name="Warning Text" xfId="15" builtinId="11" customBuiltin="1"/>
  </cellStyles>
  <dxfs count="1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bgColor theme="5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19" formatCode="dd/mm/yy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0.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numFmt numFmtId="19" formatCode="dd/mm/yy"/>
      <fill>
        <patternFill patternType="solid">
          <fgColor indexed="64"/>
          <bgColor rgb="FFFFFF00"/>
        </patternFill>
      </fill>
    </dxf>
    <dxf>
      <numFmt numFmtId="1" formatCode="0"/>
    </dxf>
    <dxf>
      <numFmt numFmtId="19" formatCode="dd/mm/yy"/>
    </dxf>
    <dxf>
      <numFmt numFmtId="2" formatCode="0.0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5F5F5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17/10/relationships/person" Target="persons/person.xml"/><Relationship Id="rId27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cafina0.sharepoint.com/sites/KENYACOF686/Shared%20Documents/General/KENYACOF/2025/001%20-%20Trade/001%20-%20Positions/2.%20AAA%20Position.xlsx" TargetMode="External"/><Relationship Id="rId1" Type="http://schemas.openxmlformats.org/officeDocument/2006/relationships/externalLinkPath" Target="2026/2.%20AAA%20Position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cafina0.sharepoint.com/sites/KENYACOF686/Shared%20Documents/General/KENYACOF/2025/001%20-%20Trade/001%20-%20Positions/3.%20RFA%20Position.xlsx" TargetMode="External"/><Relationship Id="rId1" Type="http://schemas.openxmlformats.org/officeDocument/2006/relationships/externalLinkPath" Target="2026/3.%20RFA%20Position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cafina0-my.sharepoint.com/personal/mrw_sucafina_com/Documents/Microsoft%20Teams%20Chat%20Files/CP%20Position_Jan%202026.xlsx" TargetMode="External"/><Relationship Id="rId1" Type="http://schemas.openxmlformats.org/officeDocument/2006/relationships/externalLinkPath" Target="https://sucafina0-my.sharepoint.com/personal/mrw_sucafina_com/Documents/Microsoft%20Teams%20Chat%20Files/CP%20Position_Jan%20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-zxgdWTRDkin0HFa-61TI1-tHRrq1bJCg-i11YwoZAq-622wcRaDRaB4E-7rTYHK" itemId="01SU3WY3WUIABCOP6QTVGIK7R5QMMZNFYC">
      <xxl21:absoluteUrl r:id="rId2"/>
    </xxl21:alternateUrls>
    <sheetNames>
      <sheetName val="AAA Cert Position"/>
      <sheetName val="Contracts"/>
      <sheetName val="AAA Cert Data"/>
      <sheetName val="Sheet1"/>
      <sheetName val="AAACoops"/>
    </sheetNames>
    <sheetDataSet>
      <sheetData sheetId="0">
        <row r="5">
          <cell r="B5">
            <v>649.61027777777781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-zxgdWTRDkin0HFa-61TI1-tHRrq1bJCg-i11YwoZAq-622wcRaDRaB4E-7rTYHK" itemId="01SU3WY3R4H6YR4BKU5BFZCMQBZNZYT22A">
      <xxl21:absoluteUrl r:id="rId2"/>
    </xxl21:alternateUrls>
    <sheetNames>
      <sheetName val="Last Contracts 2024"/>
      <sheetName val="NET POSITION"/>
      <sheetName val="Not Declared+To be shipped"/>
      <sheetName val="RFA Paper Stock"/>
      <sheetName val="Sheet1"/>
      <sheetName val="Certified Mills"/>
      <sheetName val="RFA Valid Coops"/>
      <sheetName val="RFA Contracts"/>
      <sheetName val="RFA To be shipped"/>
      <sheetName val="Shipped Declared"/>
      <sheetName val="Shipped Not Declared"/>
      <sheetName val="SOL RFA Contracts "/>
    </sheetNames>
    <sheetDataSet>
      <sheetData sheetId="0"/>
      <sheetData sheetId="1">
        <row r="8">
          <cell r="C8">
            <v>-3406.4333333333334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F3t1S7r1UkW0J920SlwQefq3NU_GPvhKtmrVedjI1Ao7FlM8i1R3QagRmpR-w96J" itemId="0125BIXDABZ2C27JC7DFAINNPOOWSMU2OZ">
      <xxl21:absoluteUrl r:id="rId2"/>
    </xxl21:alternateUrls>
    <sheetNames>
      <sheetName val="CP-Purchases"/>
      <sheetName val="Summary"/>
      <sheetName val="CP Shipments"/>
      <sheetName val="CP supply chain"/>
      <sheetName val="CP supply chain "/>
      <sheetName val="CP Coops &amp;Mills"/>
    </sheetNames>
    <sheetDataSet>
      <sheetData sheetId="0">
        <row r="4">
          <cell r="B4">
            <v>-1666.6666666666665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>
  <person displayName="Brillian Cherono" id="{2706855E-B63A-406F-9CAA-3A75545CFEDD}" userId="brc@sucafina.com" providerId="PeoplePicker"/>
  <person displayName="Ivo Jr. Sarjanovic" id="{C75B2035-7F64-4B20-8C4E-BCD100F35CAE}" userId="S::ivo@sucafina.com::decfd7d2-af76-46a0-9393-a294b65b94d6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o Sarjanovic" refreshedDate="46191.5406337963" createdVersion="8" refreshedVersion="8" minRefreshableVersion="3" recordCount="72" xr:uid="{FCE55244-794E-41F5-86DB-185BAC647E5D}">
  <cacheSource type="worksheet">
    <worksheetSource ref="A1:V1048576" sheet="BASE FILE "/>
  </cacheSource>
  <cacheFields count="22">
    <cacheField name="Com." numFmtId="0">
      <sharedItems containsBlank="1"/>
    </cacheField>
    <cacheField name="Origin" numFmtId="0">
      <sharedItems containsBlank="1"/>
    </cacheField>
    <cacheField name="Grade" numFmtId="0">
      <sharedItems containsBlank="1"/>
    </cacheField>
    <cacheField name="Status" numFmtId="0">
      <sharedItems containsBlank="1"/>
    </cacheField>
    <cacheField name="Sale Ctr." numFmtId="0">
      <sharedItems containsBlank="1"/>
    </cacheField>
    <cacheField name="VLOOKUP _x000a_Still Sales Unallocated?" numFmtId="0">
      <sharedItems containsBlank="1"/>
    </cacheField>
    <cacheField name="VLOOKUP HEDGEABLE" numFmtId="0">
      <sharedItems containsBlank="1" count="6">
        <s v="Non Hedgeable"/>
        <s v="Hedgeable"/>
        <m/>
        <e v="#N/A" u="1"/>
        <s v="SSKE-108500" u="1"/>
        <s v="SSKE-108536" u="1"/>
      </sharedItems>
    </cacheField>
    <cacheField name="S.Grade" numFmtId="0">
      <sharedItems containsBlank="1"/>
    </cacheField>
    <cacheField name="Client" numFmtId="0">
      <sharedItems containsBlank="1"/>
    </cacheField>
    <cacheField name="Sale date" numFmtId="0">
      <sharedItems containsNonDate="0" containsDate="1" containsString="0" containsBlank="1" minDate="2024-10-25T00:00:00" maxDate="2026-06-16T00:00:00"/>
    </cacheField>
    <cacheField name="SMT" numFmtId="0">
      <sharedItems containsString="0" containsBlank="1" containsNumber="1" minValue="-172.8" maxValue="-0.09"/>
    </cacheField>
    <cacheField name="S.bags" numFmtId="0">
      <sharedItems containsString="0" containsBlank="1" containsNumber="1" containsInteger="1" minValue="-2880" maxValue="-3"/>
    </cacheField>
    <cacheField name="S.Term" numFmtId="0">
      <sharedItems containsBlank="1"/>
    </cacheField>
    <cacheField name="S.City" numFmtId="0">
      <sharedItems containsBlank="1"/>
    </cacheField>
    <cacheField name="S.Ship/Del Term" numFmtId="0">
      <sharedItems containsBlank="1"/>
    </cacheField>
    <cacheField name="S.Ship." numFmtId="0">
      <sharedItems containsBlank="1"/>
    </cacheField>
    <cacheField name="Date" numFmtId="0">
      <sharedItems containsBlank="1"/>
    </cacheField>
    <cacheField name="Date2" numFmtId="0">
      <sharedItems containsBlank="1"/>
    </cacheField>
    <cacheField name="S.Dif" numFmtId="0">
      <sharedItems containsString="0" containsBlank="1" containsNumber="1" minValue="-22" maxValue="498"/>
    </cacheField>
    <cacheField name="S.Fob dif" numFmtId="0">
      <sharedItems containsString="0" containsBlank="1" containsNumber="1" minValue="-35.269100000000002" maxValue="498"/>
    </cacheField>
    <cacheField name="SoldGrade" numFmtId="0">
      <sharedItems containsBlank="1"/>
    </cacheField>
    <cacheField name="sFixDte" numFmtId="0">
      <sharedItems containsBlank="1" count="8">
        <s v="KCK/2026"/>
        <s v="KCN/2026"/>
        <s v="KCU/2026"/>
        <s v="KCZ/2026"/>
        <s v="KCH/2027"/>
        <s v="KCH/2025"/>
        <m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s v="AR"/>
    <s v="KENY"/>
    <s v="NAT.SPECIALTY"/>
    <s v="6-Sales Unallocated"/>
    <s v="SSGP-105409-2"/>
    <s v="SSGP-105409-2"/>
    <x v="0"/>
    <s v="NAT.SPECIALTY"/>
    <s v="32CUP"/>
    <d v="2026-02-04T00:00:00"/>
    <n v="-0.24"/>
    <n v="-8"/>
    <s v="FOB"/>
    <s v="KEMBA"/>
    <s v="Shipment to BEANR"/>
    <s v="2026/03 All - 2026/03 All"/>
    <s v="2026/03"/>
    <s v="03"/>
    <n v="451.3"/>
    <n v="451.3"/>
    <s v="Ngacha Collective Natural ABC"/>
    <x v="0"/>
  </r>
  <r>
    <s v="AR"/>
    <s v="KENY"/>
    <s v="AA"/>
    <s v="6-Sales Unallocated"/>
    <s v="SSKE-107613"/>
    <s v="SSKE-107613"/>
    <x v="1"/>
    <s v="AA"/>
    <s v="SOBHY"/>
    <d v="2026-04-28T00:00:00"/>
    <n v="-38.4"/>
    <n v="-1280"/>
    <s v="FOB"/>
    <s v="KEMBA"/>
    <s v="Shipment to OPEN"/>
    <s v="2026/05 Second - 2026/06 First"/>
    <s v="2026/05"/>
    <s v="05"/>
    <n v="56"/>
    <n v="50.5047"/>
    <s v="AA FAQ F.D."/>
    <x v="1"/>
  </r>
  <r>
    <s v="AR"/>
    <s v="KENY"/>
    <s v="GRINDER"/>
    <s v="6-Sales Unallocated"/>
    <s v="SSKE-106869"/>
    <s v="SSKE-106869"/>
    <x v="1"/>
    <s v="GRINDER"/>
    <s v="LIDLGE"/>
    <d v="2026-03-24T00:00:00"/>
    <n v="-108"/>
    <n v="-1800"/>
    <s v="FOB"/>
    <s v="KEMBA"/>
    <s v="Shipment to OPEN"/>
    <s v="2026/05 All - 2026/05 All"/>
    <s v="2026/05"/>
    <s v="05"/>
    <n v="-6"/>
    <n v="-9"/>
    <s v="Kenya Grinder, 13up, RFA certified"/>
    <x v="1"/>
  </r>
  <r>
    <s v="AR"/>
    <s v="KENY"/>
    <s v="AB"/>
    <s v="6-Sales Unallocated"/>
    <s v="SSKE-107052"/>
    <s v="SSKE-107052"/>
    <x v="1"/>
    <s v="AB"/>
    <s v="SUKUNSHAN"/>
    <d v="2026-03-24T00:00:00"/>
    <n v="-19.2"/>
    <n v="-320"/>
    <s v="FOB"/>
    <s v="KEMBA"/>
    <s v="Shipment to CNSHA"/>
    <s v="2026/05 All - 2026/05 All"/>
    <s v="2026/05"/>
    <s v="05"/>
    <n v="35"/>
    <n v="35"/>
    <s v="AB FAQ"/>
    <x v="2"/>
  </r>
  <r>
    <s v="AR"/>
    <s v="KENY"/>
    <s v="AA"/>
    <s v="6-Sales Unallocated"/>
    <s v="SSKE-103502"/>
    <s v="SSKE-103502"/>
    <x v="1"/>
    <s v="AA"/>
    <s v="NESTRADE"/>
    <d v="2025-11-10T00:00:00"/>
    <n v="-38.4"/>
    <n v="-640"/>
    <s v="FOB"/>
    <s v="KEMBA"/>
    <s v="Shipment to OPEN"/>
    <s v="2026/06 All - 2026/06 All"/>
    <s v="2026/06"/>
    <s v="06"/>
    <n v="175"/>
    <n v="161.00290000000001"/>
    <s v="Coffee Green WsA Pf-Kenya - AAA Nespresso quality, EUDR CP"/>
    <x v="1"/>
  </r>
  <r>
    <s v="AR"/>
    <s v="KENY"/>
    <s v="AA"/>
    <s v="6-Sales Unallocated"/>
    <s v="SSKE-107773"/>
    <s v="SSKE-107773"/>
    <x v="1"/>
    <s v="AA"/>
    <s v="GSIINTERNAT"/>
    <d v="2026-05-08T00:00:00"/>
    <n v="-19.2"/>
    <n v="-320"/>
    <s v="FOB"/>
    <s v="KEMBA"/>
    <s v="Shipment to KRPUS"/>
    <s v="2026/06 All - 2026/06 All"/>
    <s v="2026/06"/>
    <s v="06"/>
    <n v="60"/>
    <n v="55.195500000000003"/>
    <s v="AA FAQ"/>
    <x v="1"/>
  </r>
  <r>
    <s v="AR"/>
    <s v="KENY"/>
    <s v="AA"/>
    <s v="6-Sales Unallocated"/>
    <s v="SSKE-107774"/>
    <s v="SSKE-107774"/>
    <x v="1"/>
    <s v="AA"/>
    <s v="GSIINTERNAT"/>
    <d v="2026-05-08T00:00:00"/>
    <n v="-19.2"/>
    <n v="-320"/>
    <s v="FOB"/>
    <s v="KEMBA"/>
    <s v="Shipment to KRPUS"/>
    <s v="2026/06 All - 2026/06 All"/>
    <s v="2026/06"/>
    <s v="06"/>
    <n v="60"/>
    <n v="55.195500000000003"/>
    <s v="AA FAQ"/>
    <x v="1"/>
  </r>
  <r>
    <s v="AR"/>
    <s v="KENY"/>
    <s v="AA"/>
    <s v="6-Sales Unallocated"/>
    <s v="SSKE-107712"/>
    <s v="SSKE-107712"/>
    <x v="1"/>
    <s v="AA"/>
    <s v="CHINALIGHT"/>
    <d v="2026-05-06T00:00:00"/>
    <n v="-19.2"/>
    <n v="-320"/>
    <s v="CIF"/>
    <s v="CNSHA"/>
    <s v="Shipment to CNSHA"/>
    <s v="2026/06 All - 2026/06 All"/>
    <s v="2026/06"/>
    <s v="06"/>
    <n v="57"/>
    <n v="50.002200000000002"/>
    <s v="FAQ AA"/>
    <x v="1"/>
  </r>
  <r>
    <s v="AR"/>
    <s v="KENY"/>
    <s v="AB"/>
    <s v="6-Sales Unallocated"/>
    <s v="SSKE-107713"/>
    <s v="SSKE-107713"/>
    <x v="1"/>
    <s v="AB"/>
    <s v="CHINALIGHT"/>
    <d v="2026-05-06T00:00:00"/>
    <n v="-38.4"/>
    <n v="-1280"/>
    <s v="CIF"/>
    <s v="CNSHA"/>
    <s v="Shipment to CNSHA"/>
    <s v="2026/06 All - 2026/06 All"/>
    <s v="2026/06"/>
    <s v="06"/>
    <n v="44"/>
    <n v="30.002199999999998"/>
    <s v="FAQ AB"/>
    <x v="1"/>
  </r>
  <r>
    <s v="AR"/>
    <s v="KENY"/>
    <s v="AB"/>
    <s v="6-Sales Unallocated"/>
    <s v="SSKE-107522"/>
    <s v="SSKE-107522"/>
    <x v="1"/>
    <s v="AB"/>
    <s v="KONINKLUJKE"/>
    <d v="2026-04-21T00:00:00"/>
    <n v="-108"/>
    <n v="-1800"/>
    <s v="FOB"/>
    <s v="KEMBA"/>
    <s v="Shipment to OPEN"/>
    <s v="2026/06 All - 2026/06 All"/>
    <s v="2026/06"/>
    <s v="06"/>
    <n v="44"/>
    <n v="29.4849"/>
    <s v="AB FAQ"/>
    <x v="1"/>
  </r>
  <r>
    <s v="AR"/>
    <s v="KENY"/>
    <s v="AA"/>
    <s v="6-Sales Unallocated"/>
    <s v="SSGP-107624-2"/>
    <s v="SSGP-107624-2"/>
    <x v="0"/>
    <s v="AA"/>
    <s v="ITOH"/>
    <d v="2026-04-28T00:00:00"/>
    <n v="-1.8"/>
    <n v="-60"/>
    <s v="FOB"/>
    <s v="KEMBA"/>
    <s v="Shipment to OPEN"/>
    <s v="2026/06 All - 2026/06 All"/>
    <s v="2026/06"/>
    <s v="06"/>
    <n v="216.5"/>
    <n v="216.5"/>
    <s v="AA KAGUYU / SL 14/6729-30 / Outturn 10KN0045"/>
    <x v="1"/>
  </r>
  <r>
    <s v="AR"/>
    <s v="KENY"/>
    <s v="AB"/>
    <s v="6-Sales Unallocated"/>
    <s v="SSGP-107624-1"/>
    <s v="SSGP-107624-1"/>
    <x v="0"/>
    <s v="AB"/>
    <s v="ITOH"/>
    <d v="2026-04-28T00:00:00"/>
    <n v="-1.56"/>
    <n v="-52"/>
    <s v="FOB"/>
    <s v="KEMBA"/>
    <s v="Shipment to OPEN"/>
    <s v="2026/06 All - 2026/06 All"/>
    <s v="2026/06"/>
    <s v="06"/>
    <n v="205.5"/>
    <n v="205.5"/>
    <s v="AB KIANGOTHE / SL 14/6686 / Outturn 10KN0048"/>
    <x v="1"/>
  </r>
  <r>
    <s v="AR"/>
    <s v="KENY"/>
    <s v="AB"/>
    <s v="6-Sales Unallocated"/>
    <s v="SSGP-107612-1"/>
    <s v="SSGP-107612-1"/>
    <x v="0"/>
    <s v="AB"/>
    <s v="RIDGE"/>
    <d v="2026-04-28T00:00:00"/>
    <n v="-0.09"/>
    <n v="-3"/>
    <s v="FOB"/>
    <s v="KEMBA"/>
    <s v="Shipment to GBLGP"/>
    <s v="2026/06 All - 2026/06 All"/>
    <s v="2026/06"/>
    <s v="06"/>
    <n v="369.21570000000003"/>
    <n v="369.21570000000003"/>
    <s v="Karimikui AB - 08KN0009"/>
    <x v="1"/>
  </r>
  <r>
    <s v="AR"/>
    <s v="KENY"/>
    <s v="AB"/>
    <s v="6-Sales Unallocated"/>
    <s v="SSGP-107612-2"/>
    <s v="SSGP-107612-2"/>
    <x v="0"/>
    <s v="AB"/>
    <s v="RIDGE"/>
    <d v="2026-04-28T00:00:00"/>
    <n v="-0.09"/>
    <n v="-3"/>
    <s v="FOB"/>
    <s v="KEMBA"/>
    <s v="Shipment to GBLGP"/>
    <s v="2026/06 All - 2026/06 All"/>
    <s v="2026/06"/>
    <s v="06"/>
    <n v="301.17610000000002"/>
    <n v="301.17610000000002"/>
    <s v="Gachami AB - 13/6716-17"/>
    <x v="1"/>
  </r>
  <r>
    <s v="AR"/>
    <s v="KENY"/>
    <s v="KE.PB"/>
    <s v="6-Sales Unallocated"/>
    <s v="SSGP-107612-3"/>
    <s v="SSGP-107612-3"/>
    <x v="0"/>
    <s v="KE.PB"/>
    <s v="RIDGE"/>
    <d v="2026-04-28T00:00:00"/>
    <n v="-0.12"/>
    <n v="-4"/>
    <s v="FOB"/>
    <s v="KEMBA"/>
    <s v="Shipment to GBLGP"/>
    <s v="2026/06 All - 2026/06 All"/>
    <s v="2026/06"/>
    <s v="06"/>
    <n v="233.13659999999999"/>
    <n v="233.13659999999999"/>
    <s v="Kapkiyai PB -11KK0084"/>
    <x v="1"/>
  </r>
  <r>
    <s v="AR"/>
    <s v="KENY"/>
    <s v="AB"/>
    <s v="6-Sales Unallocated"/>
    <s v="SSKE-107744"/>
    <s v="SSKE-107744"/>
    <x v="1"/>
    <s v="AB"/>
    <s v="SINJYCDINC"/>
    <d v="2026-05-07T00:00:00"/>
    <n v="-19.2"/>
    <n v="-320"/>
    <s v="CIF"/>
    <s v="CNSHA"/>
    <s v="Shipment to CNSHA"/>
    <s v="2026/06 All - 2026/06 All"/>
    <s v="2026/06"/>
    <s v="06"/>
    <n v="50"/>
    <n v="50"/>
    <s v="FAQ AB"/>
    <x v="1"/>
  </r>
  <r>
    <s v="AR"/>
    <s v="KENY"/>
    <s v="AB/C"/>
    <s v="6-Sales Unallocated"/>
    <s v="SSKE-104428"/>
    <s v="SSKE-104428"/>
    <x v="1"/>
    <s v="AB/C"/>
    <s v="ITOH"/>
    <d v="2025-12-22T00:00:00"/>
    <n v="-50.4"/>
    <n v="-840"/>
    <s v="FOB"/>
    <s v="KEMBA"/>
    <s v="Shipment to OPEN"/>
    <s v="2026/06 All - 2026/06 All"/>
    <s v="2026/06"/>
    <s v="06"/>
    <n v="4"/>
    <n v="3.5242"/>
    <s v="Kenya ABC"/>
    <x v="1"/>
  </r>
  <r>
    <s v="AR"/>
    <s v="KENY"/>
    <s v="AA"/>
    <s v="6-Sales Unallocated"/>
    <s v="SSKE-107943"/>
    <s v="SSKE-107943"/>
    <x v="1"/>
    <s v="AA"/>
    <s v="DEESPREZZA"/>
    <d v="2026-05-15T00:00:00"/>
    <n v="-19.2"/>
    <n v="-320"/>
    <s v="CIF"/>
    <s v="THBKK"/>
    <s v="Shipment to OPEN"/>
    <s v="2026/06 All - 2026/06 All"/>
    <s v="2026/06"/>
    <s v="06"/>
    <n v="102.67149999999999"/>
    <n v="99.687299999999993"/>
    <s v="Sangalai AA"/>
    <x v="1"/>
  </r>
  <r>
    <s v="AR"/>
    <s v="KENY"/>
    <s v="AA"/>
    <s v="6-Sales Unallocated"/>
    <s v="SSGP-107959-1"/>
    <s v="SSGP-107959-1"/>
    <x v="0"/>
    <s v="AA"/>
    <s v="SUCAHK"/>
    <d v="2026-05-18T00:00:00"/>
    <n v="-0.96"/>
    <n v="-32"/>
    <s v="DAP"/>
    <s v="HKHKG"/>
    <s v="Shipment to HKHKG"/>
    <s v="2026/06 All - 2026/06 All"/>
    <s v="2026/06"/>
    <s v="06"/>
    <n v="197.94"/>
    <n v="186.10239999999999"/>
    <s v="9162 Kenya Kabingara AA Washed"/>
    <x v="1"/>
  </r>
  <r>
    <s v="AR"/>
    <s v="KENY"/>
    <s v="AA"/>
    <s v="6-Sales Unallocated"/>
    <s v="SSGP-107959-2"/>
    <s v="SSGP-107959-2"/>
    <x v="0"/>
    <s v="AA"/>
    <s v="SUCAHK"/>
    <d v="2026-05-18T00:00:00"/>
    <n v="-0.96"/>
    <n v="-32"/>
    <s v="DAP"/>
    <s v="HKHKG"/>
    <s v="Shipment to HKHKG"/>
    <s v="2026/06 All - 2026/06 All"/>
    <s v="2026/06"/>
    <s v="06"/>
    <n v="197.94"/>
    <n v="186.10239999999999"/>
    <s v="9163 Kenya Thunguri AA Washed"/>
    <x v="1"/>
  </r>
  <r>
    <s v="AR"/>
    <s v="KENY"/>
    <s v="AB"/>
    <s v="6-Sales Unallocated"/>
    <s v="SSGP-107959-5"/>
    <s v="SSGP-107959-5"/>
    <x v="0"/>
    <s v="AB"/>
    <s v="SUCAHK"/>
    <d v="2026-05-18T00:00:00"/>
    <n v="-3"/>
    <n v="-100"/>
    <s v="DAP"/>
    <s v="HKHKG"/>
    <s v="Shipment to HKHKG"/>
    <s v="2026/06 All - 2026/06 All"/>
    <s v="2026/06"/>
    <s v="06"/>
    <n v="97.94"/>
    <n v="86.102400000000003"/>
    <s v="9166 Kenya Swara AB Washed"/>
    <x v="1"/>
  </r>
  <r>
    <s v="AR"/>
    <s v="KENY"/>
    <s v="KE.PB"/>
    <s v="6-Sales Unallocated"/>
    <s v="SSGP-107959-3"/>
    <s v="SSGP-107959-3"/>
    <x v="0"/>
    <s v="KE.PB"/>
    <s v="SUCAHK"/>
    <d v="2026-05-18T00:00:00"/>
    <n v="-0.36"/>
    <n v="-12"/>
    <s v="DAP"/>
    <s v="HKHKG"/>
    <s v="Shipment to HKHKG"/>
    <s v="2026/06 All - 2026/06 All"/>
    <s v="2026/06"/>
    <s v="06"/>
    <n v="192.94"/>
    <n v="181.10239999999999"/>
    <s v="9164 Kenya Kiremba FCS PB Washed"/>
    <x v="1"/>
  </r>
  <r>
    <s v="AR"/>
    <s v="KENY"/>
    <s v="KE.PB"/>
    <s v="6-Sales Unallocated"/>
    <s v="SSGP-107959-4"/>
    <s v="SSGP-107959-4"/>
    <x v="0"/>
    <s v="KE.PB"/>
    <s v="SUCAHK"/>
    <d v="2026-05-18T00:00:00"/>
    <n v="-0.72"/>
    <n v="-24"/>
    <s v="DAP"/>
    <s v="HKHKG"/>
    <s v="Shipment to HKHKG"/>
    <s v="2026/06 All - 2026/06 All"/>
    <s v="2026/06"/>
    <s v="06"/>
    <n v="192.94"/>
    <n v="181.10239999999999"/>
    <s v="9165 Kenya Kaiguri PB Washed"/>
    <x v="1"/>
  </r>
  <r>
    <s v="AR"/>
    <s v="KENY"/>
    <s v="AA"/>
    <s v="6-Sales Unallocated"/>
    <s v="SSKE-108133"/>
    <s v="SSKE-108133"/>
    <x v="1"/>
    <s v="AA"/>
    <s v="SUCAFINA NA"/>
    <d v="2026-05-21T00:00:00"/>
    <n v="-19.2"/>
    <n v="-320"/>
    <s v="FOB"/>
    <s v="KEMBA"/>
    <s v="Shipment to USEWR"/>
    <s v="2026/06 All - 2026/06 All"/>
    <s v="2026/06"/>
    <s v="06"/>
    <n v="95"/>
    <n v="95"/>
    <s v="Sangalai AA"/>
    <x v="1"/>
  </r>
  <r>
    <s v="AR"/>
    <s v="KENY"/>
    <s v="AA"/>
    <s v="6-Sales Unallocated"/>
    <s v="SSKE-108500"/>
    <s v="SSKE-108500"/>
    <x v="0"/>
    <s v="AA"/>
    <s v="32CUP"/>
    <d v="2026-06-10T00:00:00"/>
    <n v="-18.899999999999999"/>
    <n v="-315"/>
    <s v="FOB"/>
    <s v="KEMBA"/>
    <s v="Shipment to BEANR"/>
    <s v="2026/06 All - 2026/06 All"/>
    <s v="2026/06"/>
    <s v="06"/>
    <n v="95"/>
    <n v="95"/>
    <s v="Sangalai AA"/>
    <x v="1"/>
  </r>
  <r>
    <s v="AR"/>
    <s v="KENY"/>
    <s v="NAT.SPECIALTY"/>
    <s v="6-Sales Unallocated"/>
    <s v="SSKE-108536"/>
    <s v="SSKE-108536"/>
    <x v="0"/>
    <s v="NAT.SPECIALTY"/>
    <s v="32CUP"/>
    <d v="2026-06-12T00:00:00"/>
    <n v="-0.21"/>
    <n v="-7"/>
    <s v="FOB"/>
    <s v="KEMBA"/>
    <s v="Shipment to BEANR"/>
    <s v="2026/06 All - 2026/06 All"/>
    <s v="2026/06"/>
    <s v="06"/>
    <n v="498"/>
    <n v="498"/>
    <s v="Ngacha Colective Natural ABC"/>
    <x v="1"/>
  </r>
  <r>
    <s v="AR"/>
    <s v="KENY"/>
    <s v="AA"/>
    <s v="6-Sales Unallocated"/>
    <s v="SSKE-103503"/>
    <s v="SSKE-103503"/>
    <x v="1"/>
    <s v="AA"/>
    <s v="NESTRADE"/>
    <d v="2025-11-10T00:00:00"/>
    <n v="-134.4"/>
    <n v="-2240"/>
    <s v="FOB"/>
    <s v="KEMBA"/>
    <s v="Shipment to OPEN"/>
    <s v="2026/07 All - 2026/07 All"/>
    <s v="2026/07"/>
    <s v="07"/>
    <n v="175"/>
    <n v="161.00290000000001"/>
    <s v="Coffee Green WsA Pf-Kenya - AAA Nespresso quality, EUDR CP"/>
    <x v="2"/>
  </r>
  <r>
    <s v="AR"/>
    <s v="KENY"/>
    <s v="AB"/>
    <s v="6-Sales Unallocated"/>
    <s v="SSKE-104927"/>
    <s v="SSKE-104927"/>
    <x v="1"/>
    <s v="AB"/>
    <s v="NESTLE SVE"/>
    <d v="2026-01-20T00:00:00"/>
    <n v="-64.8"/>
    <n v="-1080"/>
    <s v="FOB"/>
    <s v="KEMBA"/>
    <s v="Shipment to OPEN"/>
    <s v="2026/07 All - 2026/07 All"/>
    <s v="2026/07"/>
    <s v="07"/>
    <n v="123"/>
    <n v="111.0001"/>
    <s v="Coffee Green Class 1.0 Pf KE ZGS Sust RA RGV/ EUDR"/>
    <x v="3"/>
  </r>
  <r>
    <s v="AR"/>
    <s v="KENY"/>
    <s v="AB"/>
    <s v="6-Sales Unallocated"/>
    <s v="SSKE-104936"/>
    <s v="SSKE-104936"/>
    <x v="1"/>
    <s v="AB"/>
    <s v="NESTLE SVE"/>
    <d v="2026-01-20T00:00:00"/>
    <n v="-43.2"/>
    <n v="-720"/>
    <s v="FOB"/>
    <s v="KEMBA"/>
    <s v="Shipment to OPEN"/>
    <s v="2026/07 All - 2026/07 All"/>
    <s v="2026/07"/>
    <s v="07"/>
    <n v="113"/>
    <n v="101.0001"/>
    <s v="Coffee Green Class 1.0 Pf KE ZOEGAS RGV/ EUDR"/>
    <x v="3"/>
  </r>
  <r>
    <s v="AR"/>
    <s v="KENY"/>
    <s v="AA"/>
    <s v="6-Sales Unallocated"/>
    <s v="SSKE-107775"/>
    <s v="SSKE-107775"/>
    <x v="1"/>
    <s v="AA"/>
    <s v="GSIINTERNAT"/>
    <d v="2026-05-08T00:00:00"/>
    <n v="-19.2"/>
    <n v="-320"/>
    <s v="FOB"/>
    <s v="KEMBA"/>
    <s v="Shipment to KRPUS"/>
    <s v="2026/07 All - 2026/07 All"/>
    <s v="2026/07"/>
    <s v="07"/>
    <n v="70"/>
    <n v="65.200900000000004"/>
    <s v="AA FAQ"/>
    <x v="2"/>
  </r>
  <r>
    <s v="AR"/>
    <s v="KENY"/>
    <s v="AB"/>
    <s v="6-Sales Unallocated"/>
    <s v="SSKE-107245"/>
    <s v="SSKE-107245"/>
    <x v="1"/>
    <s v="AB"/>
    <s v="GSIINTERNAT"/>
    <d v="2026-04-13T00:00:00"/>
    <n v="-19.2"/>
    <n v="-320"/>
    <s v="FOB"/>
    <s v="KEMBA"/>
    <s v="Shipment to KRPUS"/>
    <s v="2026/07 All - 2026/07 All"/>
    <s v="2026/07"/>
    <s v="07"/>
    <n v="35"/>
    <n v="30.196400000000001"/>
    <s v="AB FAQ"/>
    <x v="2"/>
  </r>
  <r>
    <s v="AR"/>
    <s v="KENY"/>
    <s v="AA"/>
    <s v="6-Sales Unallocated"/>
    <s v="SSKE-107937"/>
    <s v="SSKE-107937"/>
    <x v="1"/>
    <s v="AA"/>
    <s v="NANJINGECO"/>
    <d v="2026-05-15T00:00:00"/>
    <n v="-19.2"/>
    <n v="-320"/>
    <s v="DAP"/>
    <s v="CNSHA"/>
    <s v="Delivery from KEMBA"/>
    <s v="2026/07 All - 2026/07 All"/>
    <s v="2026/07"/>
    <s v="07"/>
    <n v="125"/>
    <n v="95.179100000000005"/>
    <s v="Sangalai AA (Sucafina Original AA TOP)"/>
    <x v="1"/>
  </r>
  <r>
    <s v="AR"/>
    <s v="KENY"/>
    <s v="AB/C"/>
    <s v="6-Sales Unallocated"/>
    <s v="SSKE-108289"/>
    <s v="SSKE-108289"/>
    <x v="1"/>
    <s v="AB/C"/>
    <s v="AHOLD COFFE"/>
    <d v="2026-05-29T00:00:00"/>
    <n v="-21.6"/>
    <n v="-360"/>
    <s v="FOB"/>
    <s v="KEMBA"/>
    <s v="Shipment to OPEN"/>
    <s v="2026/07 First - 2026/07 First"/>
    <s v="2026/07"/>
    <s v="07"/>
    <n v="50"/>
    <n v="47.997399999999999"/>
    <s v="ABC FAQ RFA"/>
    <x v="2"/>
  </r>
  <r>
    <s v="AR"/>
    <s v="KENY"/>
    <s v="AA"/>
    <s v="6-Sales Unallocated"/>
    <s v="SSKE-103498"/>
    <s v="SSKE-103498"/>
    <x v="1"/>
    <s v="AA"/>
    <s v="NESTRADE"/>
    <d v="2025-11-10T00:00:00"/>
    <n v="-172.8"/>
    <n v="-2880"/>
    <s v="FOB"/>
    <s v="KEMBA"/>
    <s v="Shipment to OPEN"/>
    <s v="2026/07 All - 2026/07 All"/>
    <s v="2026/07"/>
    <s v="07"/>
    <n v="175"/>
    <n v="161.00290000000001"/>
    <s v="Coffee Green WsA Pf-Kenya - AAA Nespresso quality, EUDR"/>
    <x v="2"/>
  </r>
  <r>
    <s v="AR"/>
    <s v="KENY"/>
    <s v="AB"/>
    <s v="6-Sales Unallocated"/>
    <s v="SSKE-108297"/>
    <s v="SSKE-108297"/>
    <x v="1"/>
    <s v="AB"/>
    <s v="NANJINGECO"/>
    <d v="2026-06-01T00:00:00"/>
    <n v="-19.2"/>
    <n v="-320"/>
    <s v="DAP"/>
    <s v="CNSHA"/>
    <s v="Delivery from CNSHA"/>
    <s v="2026/07 All - 2026/07 All"/>
    <s v="2026/07"/>
    <s v="07"/>
    <n v="70"/>
    <n v="35.295099999999998"/>
    <s v="FAQ AB"/>
    <x v="2"/>
  </r>
  <r>
    <s v="AR"/>
    <s v="KENY"/>
    <s v="AA"/>
    <s v="6-Sales Unallocated"/>
    <s v="SSKE-103499"/>
    <s v="SSKE-103499"/>
    <x v="1"/>
    <s v="AA"/>
    <s v="NESTRADE"/>
    <d v="2025-11-10T00:00:00"/>
    <n v="-134.4"/>
    <n v="-2240"/>
    <s v="FOB"/>
    <s v="KEMBA"/>
    <s v="Shipment to OPEN"/>
    <s v="2026/08 All - 2026/08 All"/>
    <s v="2026/08"/>
    <s v="08"/>
    <n v="175"/>
    <n v="161.00290000000001"/>
    <s v="Coffee Green WsA Pf-Kenya - AAA Nespresso quality, EUDR"/>
    <x v="2"/>
  </r>
  <r>
    <s v="AR"/>
    <s v="KENY"/>
    <s v="AA"/>
    <s v="6-Sales Unallocated"/>
    <s v="SSKE-103504"/>
    <s v="SSKE-103504"/>
    <x v="1"/>
    <s v="AA"/>
    <s v="NESTRADE"/>
    <d v="2025-11-10T00:00:00"/>
    <n v="-153.6"/>
    <n v="-2560"/>
    <s v="FOB"/>
    <s v="KEMBA"/>
    <s v="Shipment to OPEN"/>
    <s v="2026/08 All - 2026/08 All"/>
    <s v="2026/08"/>
    <s v="08"/>
    <n v="175"/>
    <n v="161.00290000000001"/>
    <s v="Coffee Green WsA Pf-Kenya - AAA Nespresso quality, EUDR CP"/>
    <x v="2"/>
  </r>
  <r>
    <s v="AR"/>
    <s v="KENY"/>
    <s v="AB"/>
    <s v="6-Sales Unallocated"/>
    <s v="SSKE-104928"/>
    <s v="SSKE-104928"/>
    <x v="1"/>
    <s v="AB"/>
    <s v="NESTLE SVE"/>
    <d v="2026-01-20T00:00:00"/>
    <n v="-64.8"/>
    <n v="-1080"/>
    <s v="FOB"/>
    <s v="KEMBA"/>
    <s v="Shipment to OPEN"/>
    <s v="2026/08 All - 2026/08 All"/>
    <s v="2026/08"/>
    <s v="08"/>
    <n v="123"/>
    <n v="111.0001"/>
    <s v="Coffee Green Class 1.0 Pf KE ZGS Sust RA RGV/ EUDR"/>
    <x v="3"/>
  </r>
  <r>
    <s v="AR"/>
    <s v="KENY"/>
    <s v="AB"/>
    <s v="6-Sales Unallocated"/>
    <s v="SSKE-104937"/>
    <s v="SSKE-104937"/>
    <x v="1"/>
    <s v="AB"/>
    <s v="NESTLE SVE"/>
    <d v="2026-01-20T00:00:00"/>
    <n v="-64.8"/>
    <n v="-1080"/>
    <s v="FOB"/>
    <s v="KEMBA"/>
    <s v="Shipment to OPEN"/>
    <s v="2026/08 All - 2026/08 All"/>
    <s v="2026/08"/>
    <s v="08"/>
    <n v="113"/>
    <n v="101.0001"/>
    <s v="Coffee Green Class 1.0 Pf KE ZOEGAS RGV/ EUDR"/>
    <x v="3"/>
  </r>
  <r>
    <s v="AR"/>
    <s v="KENY"/>
    <s v="AA"/>
    <s v="6-Sales Unallocated"/>
    <s v="SSKE-105761"/>
    <s v="SSKE-105761"/>
    <x v="1"/>
    <s v="AA"/>
    <s v="M.ICOFFEE"/>
    <d v="2026-02-14T00:00:00"/>
    <n v="-19.2"/>
    <n v="-320"/>
    <s v="FOB"/>
    <s v="KEMBA"/>
    <s v="Shipment to KRPUS"/>
    <s v="2026/08 All - 2026/08 All"/>
    <s v="2026/08"/>
    <s v="08"/>
    <n v="65"/>
    <n v="64.296000000000006"/>
    <s v="AA FAQ Minus (SCA 80+)"/>
    <x v="2"/>
  </r>
  <r>
    <s v="AR"/>
    <s v="KENY"/>
    <s v="MH"/>
    <s v="6-Sales Unallocated"/>
    <s v="SSKE-107620"/>
    <s v="SSKE-107620"/>
    <x v="1"/>
    <s v="MH"/>
    <s v="TOSTADORES"/>
    <d v="2026-04-28T00:00:00"/>
    <n v="-38.4"/>
    <n v="-640"/>
    <s v="IS"/>
    <s v="ESBCN"/>
    <s v="Delivery from KEMBA"/>
    <s v="2026/08 All - 2026/08 All"/>
    <s v="2026/08"/>
    <s v="08"/>
    <n v="-22"/>
    <n v="-35.269100000000002"/>
    <s v="MBUNI HEAVY"/>
    <x v="2"/>
  </r>
  <r>
    <s v="AR"/>
    <s v="KENY"/>
    <s v="AA"/>
    <s v="6-Sales Unallocated"/>
    <s v="SSKE-108412"/>
    <s v="SSKE-108412"/>
    <x v="1"/>
    <s v="AA"/>
    <s v="SUKUNSHAN"/>
    <d v="2026-06-05T00:00:00"/>
    <n v="-19.2"/>
    <n v="-320"/>
    <s v="FCA"/>
    <s v="CNKUS"/>
    <s v="Delivery from CNKUS"/>
    <s v="2026/08 All - 2026/08 All"/>
    <s v="2026/08"/>
    <s v="08"/>
    <n v="102.4"/>
    <n v="94.131799999999998"/>
    <s v="Sangalai AA"/>
    <x v="2"/>
  </r>
  <r>
    <s v="AR"/>
    <s v="KENY"/>
    <s v="AA"/>
    <s v="6-Sales Unallocated"/>
    <s v="SSKE-108570"/>
    <s v="SSKE-108570"/>
    <x v="1"/>
    <s v="AA"/>
    <s v="NANJINGECO"/>
    <d v="2026-06-15T00:00:00"/>
    <n v="-19.2"/>
    <n v="-320"/>
    <s v="DAP"/>
    <s v="CNSGH"/>
    <s v="Delivery from CNSGH"/>
    <s v="2026/08 All - 2026/08 All"/>
    <s v="2026/08"/>
    <s v="08"/>
    <n v="127"/>
    <n v="92.183199999999999"/>
    <s v="SangalaiAA (Sucafina Original AA TOP)"/>
    <x v="2"/>
  </r>
  <r>
    <s v="AR"/>
    <s v="KENY"/>
    <s v="AB"/>
    <s v="6-Sales Unallocated"/>
    <s v="SSKE-108572"/>
    <s v="SSKE-108572"/>
    <x v="1"/>
    <s v="AB"/>
    <s v="KONINKLUJKE"/>
    <d v="2026-06-15T00:00:00"/>
    <n v="-108"/>
    <n v="-1800"/>
    <s v="FOB"/>
    <s v="KEMBA"/>
    <s v="Shipment to OPEN"/>
    <s v="2026/08 All - 2026/08 All"/>
    <s v="2026/08"/>
    <s v="08"/>
    <n v="50"/>
    <n v="36.889200000000002"/>
    <s v="AB Standard"/>
    <x v="2"/>
  </r>
  <r>
    <s v="AR"/>
    <s v="KENY"/>
    <s v="AB"/>
    <s v="6-Sales Unallocated"/>
    <s v="SSKE-104929"/>
    <s v="SSKE-104929"/>
    <x v="1"/>
    <s v="AB"/>
    <s v="NESTLE SVE"/>
    <d v="2026-01-20T00:00:00"/>
    <n v="-64.8"/>
    <n v="-1080"/>
    <s v="FOB"/>
    <s v="KEMBA"/>
    <s v="Shipment to OPEN"/>
    <s v="2026/09 All - 2026/09 All"/>
    <s v="2026/09"/>
    <s v="09"/>
    <n v="133"/>
    <n v="120.9996"/>
    <s v="Coffee Green Class 1.0 Pf KE ZGS Sust RA RGV/ EUDR"/>
    <x v="4"/>
  </r>
  <r>
    <s v="AR"/>
    <s v="KENY"/>
    <s v="AB"/>
    <s v="6-Sales Unallocated"/>
    <s v="SSKE-104938"/>
    <s v="SSKE-104938"/>
    <x v="1"/>
    <s v="AB"/>
    <s v="NESTLE SVE"/>
    <d v="2026-01-20T00:00:00"/>
    <n v="-64.8"/>
    <n v="-1080"/>
    <s v="FOB"/>
    <s v="KEMBA"/>
    <s v="Shipment to OPEN"/>
    <s v="2026/09 All - 2026/09 All"/>
    <s v="2026/09"/>
    <s v="09"/>
    <n v="123"/>
    <n v="111.0001"/>
    <s v="Coffee Green Class 1.0 Pf KE ZOEGAS RGV/ EUDR"/>
    <x v="4"/>
  </r>
  <r>
    <s v="AR"/>
    <s v="KENY"/>
    <s v="GRINDER"/>
    <s v="6-Sales Unallocated"/>
    <s v="SSKE-107893"/>
    <s v="SSKE-107893"/>
    <x v="1"/>
    <s v="GRINDER"/>
    <s v="NESTLE SVE"/>
    <d v="2026-05-14T00:00:00"/>
    <n v="-144.9"/>
    <n v="-2415"/>
    <s v="FOB"/>
    <s v="KEMBA"/>
    <s v="Shipment to OPEN"/>
    <s v="2026/09 All - 2026/09 All"/>
    <s v="2026/09"/>
    <s v="09"/>
    <n v="17"/>
    <n v="9.5001999999999995"/>
    <s v="Coffee Grn Class 1.1 Pf EAfr ZGS Sust GHG project (RGV)"/>
    <x v="4"/>
  </r>
  <r>
    <s v="AR"/>
    <s v="KENY"/>
    <s v="AA"/>
    <s v="6-Sales Unallocated"/>
    <s v="SSKE-108405"/>
    <s v="SSKE-108405"/>
    <x v="1"/>
    <s v="AA"/>
    <s v="GSIINTERNAT"/>
    <d v="2026-06-05T00:00:00"/>
    <n v="-19.2"/>
    <n v="-320"/>
    <s v="FOB"/>
    <s v="KEMBA"/>
    <s v="Shipment to KRPUS"/>
    <s v="2026/09 All - 2026/09 All"/>
    <s v="2026/09"/>
    <s v="09"/>
    <n v="75"/>
    <n v="71.002899999999997"/>
    <s v="AA FAQ"/>
    <x v="3"/>
  </r>
  <r>
    <s v="AR"/>
    <s v="KENY"/>
    <s v="AA"/>
    <s v="6-Sales Unallocated"/>
    <s v="SSKE-108406"/>
    <s v="SSKE-108406"/>
    <x v="1"/>
    <s v="AA"/>
    <s v="GSIINTERNAT"/>
    <d v="2026-06-05T00:00:00"/>
    <n v="-19.2"/>
    <n v="-320"/>
    <s v="FOB"/>
    <s v="KEMBA"/>
    <s v="Shipment to KRPUS"/>
    <s v="2026/09 All - 2026/09 All"/>
    <s v="2026/09"/>
    <s v="09"/>
    <n v="75"/>
    <n v="71.002899999999997"/>
    <s v="AA FAQ"/>
    <x v="3"/>
  </r>
  <r>
    <s v="AR"/>
    <s v="KENY"/>
    <s v="AB"/>
    <s v="6-Sales Unallocated"/>
    <s v="SSKE-108571"/>
    <s v="SSKE-108571"/>
    <x v="1"/>
    <s v="AB"/>
    <s v="KONINKLUJKE"/>
    <d v="2026-06-15T00:00:00"/>
    <n v="-108"/>
    <n v="-1800"/>
    <s v="FOB"/>
    <s v="KEMBA"/>
    <s v="Shipment to OPEN"/>
    <s v="2026/09 All - 2026/09 All"/>
    <s v="2026/09"/>
    <s v="09"/>
    <n v="65"/>
    <n v="51.266399999999997"/>
    <s v="AB FAQ"/>
    <x v="3"/>
  </r>
  <r>
    <s v="AR"/>
    <s v="KENY"/>
    <s v="AB"/>
    <s v="6-Sales Unallocated"/>
    <s v="SSKE-108573"/>
    <s v="SSKE-108573"/>
    <x v="1"/>
    <s v="AB"/>
    <s v="KONINKLUJKE"/>
    <d v="2026-06-15T00:00:00"/>
    <n v="-108"/>
    <n v="-1800"/>
    <s v="FOB"/>
    <s v="KEMBA"/>
    <s v="Shipment to OPEN"/>
    <s v="2026/09 All - 2026/09 All"/>
    <s v="2026/09"/>
    <s v="09"/>
    <n v="50"/>
    <n v="36.920499999999997"/>
    <s v="AB Standard"/>
    <x v="3"/>
  </r>
  <r>
    <s v="AR"/>
    <s v="KENY"/>
    <s v="GRINDER"/>
    <s v="6-Sales Unallocated"/>
    <s v="SSKE-108574"/>
    <s v="SSKE-108574"/>
    <x v="1"/>
    <s v="GRINDER"/>
    <s v="KONINKLUJKE"/>
    <d v="2026-06-15T00:00:00"/>
    <n v="-108"/>
    <n v="-1800"/>
    <s v="FOB"/>
    <s v="KEMBA"/>
    <s v="Shipment to OPEN"/>
    <s v="2026/09 All - 2026/09 All"/>
    <s v="2026/09"/>
    <s v="09"/>
    <n v="21"/>
    <n v="9.0780999999999992"/>
    <s v="Grinders S14+"/>
    <x v="3"/>
  </r>
  <r>
    <s v="AR"/>
    <s v="KENY"/>
    <s v="GRINDER"/>
    <s v="6-Sales Unallocated"/>
    <s v="SSKE-108576"/>
    <s v="SSKE-108576"/>
    <x v="1"/>
    <s v="GRINDER"/>
    <s v="KONINKLUJKE"/>
    <d v="2026-06-15T00:00:00"/>
    <n v="-108"/>
    <n v="-1800"/>
    <s v="FOB"/>
    <s v="KEMBA"/>
    <s v="Shipment to OPEN"/>
    <s v="2026/09 All - 2026/09 All"/>
    <s v="2026/09"/>
    <s v="09"/>
    <n v="8"/>
    <n v="-3.3525999999999998"/>
    <s v="Grinders"/>
    <x v="3"/>
  </r>
  <r>
    <s v="AR"/>
    <s v="KENY"/>
    <s v="AB"/>
    <s v="6-Sales Unallocated"/>
    <s v="SSKE-104930"/>
    <s v="SSKE-104930"/>
    <x v="1"/>
    <s v="AB"/>
    <s v="NESTLE SVE"/>
    <d v="2026-01-20T00:00:00"/>
    <n v="-64.8"/>
    <n v="-1080"/>
    <s v="FOB"/>
    <s v="KEMBA"/>
    <s v="Shipment to OPEN"/>
    <s v="2026/10 All - 2026/10 All"/>
    <s v="2026/10"/>
    <s v="10"/>
    <n v="133"/>
    <n v="121.0001"/>
    <s v="Coffee Green Class 1.0 Pf KE ZGS Sust RA RGV/ EUDR"/>
    <x v="4"/>
  </r>
  <r>
    <s v="AR"/>
    <s v="KENY"/>
    <s v="AB"/>
    <s v="6-Sales Unallocated"/>
    <s v="SSKE-104939"/>
    <s v="SSKE-104939"/>
    <x v="1"/>
    <s v="AB"/>
    <s v="NESTLE SVE"/>
    <d v="2026-01-20T00:00:00"/>
    <n v="-64.8"/>
    <n v="-1080"/>
    <s v="FOB"/>
    <s v="KEMBA"/>
    <s v="Shipment to OPEN"/>
    <s v="2026/10 All - 2026/10 All"/>
    <s v="2026/10"/>
    <s v="10"/>
    <n v="123"/>
    <n v="111.0001"/>
    <s v="Coffee Green Class 1.0 Pf KE ZOEGAS RGV/ EUDR"/>
    <x v="4"/>
  </r>
  <r>
    <s v="AR"/>
    <s v="KENY"/>
    <s v="GRINDER"/>
    <s v="6-Sales Unallocated"/>
    <s v="SSKE-108575"/>
    <s v="SSKE-108575"/>
    <x v="1"/>
    <s v="GRINDER"/>
    <s v="KONINKLUJKE"/>
    <d v="2026-06-15T00:00:00"/>
    <n v="-108"/>
    <n v="-1800"/>
    <s v="FOB"/>
    <s v="KEMBA"/>
    <s v="Shipment to OPEN"/>
    <s v="2026/10 All - 2026/10 All"/>
    <s v="2026/10"/>
    <s v="10"/>
    <n v="21"/>
    <n v="9.0780999999999992"/>
    <s v="Grinders S14+"/>
    <x v="3"/>
  </r>
  <r>
    <s v="AR"/>
    <s v="KENY"/>
    <s v="GRINDER"/>
    <s v="6-Sales Unallocated"/>
    <s v="SSKE-108577"/>
    <s v="SSKE-108577"/>
    <x v="1"/>
    <s v="GRINDER"/>
    <s v="KONINKLUJKE"/>
    <d v="2026-06-15T00:00:00"/>
    <n v="-108"/>
    <n v="-1800"/>
    <s v="FOB"/>
    <s v="KEMBA"/>
    <s v="Shipment to OPEN"/>
    <s v="2026/10 All - 2026/10 All"/>
    <s v="2026/10"/>
    <s v="10"/>
    <n v="8"/>
    <n v="-3.3525999999999998"/>
    <s v="Grinders"/>
    <x v="3"/>
  </r>
  <r>
    <s v="AR"/>
    <s v="KENY"/>
    <s v="AA"/>
    <s v="6-Sales Unallocated"/>
    <s v="SSWW-96188B"/>
    <s v="SSWW-96188B"/>
    <x v="1"/>
    <s v="AA"/>
    <s v="SUCAFINA NA"/>
    <d v="2024-10-25T00:00:00"/>
    <n v="-1.2"/>
    <n v="-1200"/>
    <s v="EXW"/>
    <s v="OPEN"/>
    <s v="Delivery from OPEN"/>
    <s v="2024/10 All - 2025/03 All"/>
    <s v="2024/10"/>
    <s v="10"/>
    <n v="34.29"/>
    <n v="21.293500000000002"/>
    <s v="Kenya Natural Crop 22/23"/>
    <x v="5"/>
  </r>
  <r>
    <s v="AR"/>
    <s v="KENY"/>
    <s v="AB"/>
    <s v="6-Sales Unallocated"/>
    <s v="SSKE-104931"/>
    <s v="SSKE-104931"/>
    <x v="1"/>
    <s v="AB"/>
    <s v="NESTLE SVE"/>
    <d v="2026-01-20T00:00:00"/>
    <n v="-43.2"/>
    <n v="-720"/>
    <s v="FOB"/>
    <s v="KEMBA"/>
    <s v="Shipment to OPEN"/>
    <s v="2026/11 All - 2026/11 All"/>
    <s v="2026/11"/>
    <s v="11"/>
    <n v="133"/>
    <n v="120.9996"/>
    <s v="Coffee Green Class 1.0 Pf KE ZGS Sust RA RGV/ EUDR"/>
    <x v="4"/>
  </r>
  <r>
    <s v="AR"/>
    <s v="KENY"/>
    <s v="AB"/>
    <s v="6-Sales Unallocated"/>
    <s v="SSKE-104940"/>
    <s v="SSKE-104940"/>
    <x v="1"/>
    <s v="AB"/>
    <s v="NESTLE SVE"/>
    <d v="2026-01-20T00:00:00"/>
    <n v="-43.2"/>
    <n v="-720"/>
    <s v="FOB"/>
    <s v="KEMBA"/>
    <s v="Shipment to OPEN"/>
    <s v="2026/11 All - 2026/11 All"/>
    <s v="2026/11"/>
    <s v="11"/>
    <n v="123"/>
    <n v="111.0001"/>
    <s v="Coffee Green Class 1.0 Pf KE ZOEGAS RGV/ EUDR"/>
    <x v="4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  <r>
    <m/>
    <m/>
    <m/>
    <m/>
    <m/>
    <m/>
    <x v="2"/>
    <m/>
    <m/>
    <m/>
    <m/>
    <m/>
    <m/>
    <m/>
    <m/>
    <m/>
    <m/>
    <m/>
    <m/>
    <m/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C99B34-5980-48A2-8AC9-8BBB2D3C2D3A}" name="PivotTable1" cacheId="1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B38" firstHeaderRow="1" firstDataRow="1" firstDataCol="1" rowPageCount="1" colPageCount="1"/>
  <pivotFields count="22"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1"/>
        <item h="1" x="0"/>
        <item h="1" x="2"/>
        <item h="1" m="1" x="3"/>
        <item h="1" m="1" x="4"/>
        <item h="1" m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6"/>
        <item x="0"/>
        <item x="2"/>
        <item x="1"/>
        <item x="3"/>
        <item x="4"/>
        <item m="1" x="7"/>
        <item x="5"/>
        <item t="default"/>
      </items>
    </pivotField>
  </pivotFields>
  <rowFields count="1">
    <field x="21"/>
  </rowFields>
  <rowItems count="6">
    <i>
      <x v="2"/>
    </i>
    <i>
      <x v="3"/>
    </i>
    <i>
      <x v="4"/>
    </i>
    <i>
      <x v="5"/>
    </i>
    <i>
      <x v="7"/>
    </i>
    <i t="grand">
      <x/>
    </i>
  </rowItems>
  <colItems count="1">
    <i/>
  </colItems>
  <pageFields count="1">
    <pageField fld="6" hier="-1"/>
  </pageFields>
  <dataFields count="1">
    <dataField name="Sum of SMT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0E4007E-7720-4FD6-876C-B8E2356566BF}" autoFormatId="16" applyNumberFormats="0" applyBorderFormats="0" applyFontFormats="0" applyPatternFormats="0" applyAlignmentFormats="0" applyWidthHeightFormats="0">
  <queryTableRefresh nextId="21">
    <queryTableFields count="20">
      <queryTableField id="1" name="Com." tableColumnId="1"/>
      <queryTableField id="2" name="Origin" tableColumnId="2"/>
      <queryTableField id="3" name="Grade" tableColumnId="3"/>
      <queryTableField id="4" name="Status" tableColumnId="4"/>
      <queryTableField id="5" name="Sale Ctr." tableColumnId="5"/>
      <queryTableField id="6" name="S.Grade" tableColumnId="6"/>
      <queryTableField id="7" name="Client" tableColumnId="7"/>
      <queryTableField id="8" name="Sale date" tableColumnId="8"/>
      <queryTableField id="9" name="SMT" tableColumnId="9"/>
      <queryTableField id="10" name="S.bags" tableColumnId="10"/>
      <queryTableField id="11" name="S.Term" tableColumnId="11"/>
      <queryTableField id="12" name="S.City" tableColumnId="12"/>
      <queryTableField id="13" name="S.Ship/Del Term" tableColumnId="13"/>
      <queryTableField id="14" name="S.Ship." tableColumnId="14"/>
      <queryTableField id="15" name="S.Dif" tableColumnId="15"/>
      <queryTableField id="16" name="S.Fob dif" tableColumnId="16"/>
      <queryTableField id="17" name="SoldGrade" tableColumnId="17"/>
      <queryTableField id="18" name="sFixDte" tableColumnId="18"/>
      <queryTableField id="19" name="S.Cup Profile" tableColumnId="19"/>
      <queryTableField id="20" name="S.strategy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EAD28C1-83C1-4CC1-93CD-6AB3EC4C9EAD}" autoFormatId="16" applyNumberFormats="0" applyBorderFormats="0" applyFontFormats="0" applyPatternFormats="0" applyAlignmentFormats="0" applyWidthHeightFormats="0">
  <queryTableRefresh nextId="75">
    <queryTableFields count="74">
      <queryTableField id="1" name="Com." tableColumnId="1"/>
      <queryTableField id="2" name="Origin" tableColumnId="2"/>
      <queryTableField id="3" name="Grade" tableColumnId="3"/>
      <queryTableField id="4" name="Status" tableColumnId="4"/>
      <queryTableField id="5" name="Sale Ctr." tableColumnId="5"/>
      <queryTableField id="6" name="VLOOKUP _x000a_Still Sales Unallocated?" tableColumnId="6"/>
      <queryTableField id="7" name="VLOOKUP HEDGEABLE" tableColumnId="7"/>
      <queryTableField id="8" name="S.Grade" tableColumnId="8"/>
      <queryTableField id="9" name="Client" tableColumnId="9"/>
      <queryTableField id="10" name="Sale date" tableColumnId="10"/>
      <queryTableField id="11" name="SMT" tableColumnId="11"/>
      <queryTableField id="12" name="S.bags" tableColumnId="12"/>
      <queryTableField id="13" name="S.Term" tableColumnId="13"/>
      <queryTableField id="14" name="S.City" tableColumnId="14"/>
      <queryTableField id="15" name="S.Ship/Del Term" tableColumnId="15"/>
      <queryTableField id="16" name="S.Ship." tableColumnId="16"/>
      <queryTableField id="17" name="Date" tableColumnId="17"/>
      <queryTableField id="18" name="Date2" tableColumnId="18"/>
      <queryTableField id="19" name="S.Dif" tableColumnId="19"/>
      <queryTableField id="20" name="S.Fob dif" tableColumnId="20"/>
      <queryTableField id="21" name="SoldGrade" tableColumnId="21"/>
      <queryTableField id="22" name="sFixDte" tableColumnId="22"/>
      <queryTableField id="23" name="S.Cup Profile" tableColumnId="23"/>
      <queryTableField id="24" name="S.strategy" tableColumnId="24"/>
      <queryTableField id="25" name="Blend No. " tableColumnId="25"/>
      <queryTableField id="26" name="FINISHED" tableColumnId="26"/>
      <queryTableField id="27" name="POST NATURAL" tableColumnId="27"/>
      <queryTableField id="28" name="POST 17 UP TOP" tableColumnId="28"/>
      <queryTableField id="29" name="POST 16 TOP" tableColumnId="29"/>
      <queryTableField id="30" name="POST 15 - TOP" tableColumnId="30"/>
      <queryTableField id="31" name="POST PB TOP" tableColumnId="31"/>
      <queryTableField id="32" name="POST 17 UP PLUS" tableColumnId="32"/>
      <queryTableField id="33" name="POST 16 PLUS" tableColumnId="33"/>
      <queryTableField id="34" name="POST 15 PLUS" tableColumnId="34"/>
      <queryTableField id="35" name="POST 14 PLUS" tableColumnId="35"/>
      <queryTableField id="36" name="POST PB - PLUS" tableColumnId="36"/>
      <queryTableField id="37" name="POST 17 UP FAQ" tableColumnId="37"/>
      <queryTableField id="38" name="POST 16 FAQ" tableColumnId="38"/>
      <queryTableField id="39" name="POST 15 FAQ" tableColumnId="39"/>
      <queryTableField id="40" name="POST 14 FAQ" tableColumnId="40"/>
      <queryTableField id="41" name="POST PB - FAQ" tableColumnId="41"/>
      <queryTableField id="42" name="POST FAQ MINUS" tableColumnId="42"/>
      <queryTableField id="43" name="POST GRINDER BOLD" tableColumnId="43"/>
      <queryTableField id="44" name="POST GRINDER LIGHT" tableColumnId="44"/>
      <queryTableField id="45" name="POST MH" tableColumnId="45"/>
      <queryTableField id="46" name="POST ML" tableColumnId="46"/>
      <queryTableField id="47" name="POST REJECTS S" tableColumnId="47"/>
      <queryTableField id="48" name="POST REJECTS P" tableColumnId="48"/>
      <queryTableField id="49" name="FINISHED2" tableColumnId="49"/>
      <queryTableField id="50" name="POST NATURAL3" tableColumnId="50"/>
      <queryTableField id="51" name="POST 17 UP TOP4" tableColumnId="51"/>
      <queryTableField id="52" name="POST 16 TOP5" tableColumnId="52"/>
      <queryTableField id="53" name="POST 15 TOP" tableColumnId="53"/>
      <queryTableField id="54" name="POST PB - TOP" tableColumnId="54"/>
      <queryTableField id="55" name="POST 17 UP PLUS6" tableColumnId="55"/>
      <queryTableField id="56" name="POST 16 PLUS7" tableColumnId="56"/>
      <queryTableField id="57" name="POST 15 PLUS8" tableColumnId="57"/>
      <queryTableField id="58" name="POST 14 PLUS9" tableColumnId="58"/>
      <queryTableField id="59" name="POST PB - PLUS10" tableColumnId="59"/>
      <queryTableField id="60" name="POST 17 UP FAQ11" tableColumnId="60"/>
      <queryTableField id="61" name="POST 16 FAQ12" tableColumnId="61"/>
      <queryTableField id="62" name="POST 15 FAQ13" tableColumnId="62"/>
      <queryTableField id="63" name="POST 14 FAQ14" tableColumnId="63"/>
      <queryTableField id="64" name="POST PB - FAQ15" tableColumnId="64"/>
      <queryTableField id="65" name="POST FAQ MINUS16" tableColumnId="65"/>
      <queryTableField id="66" name="POST GRINDER BOLD17" tableColumnId="66"/>
      <queryTableField id="67" name="POST GRINDER LIGHT18" tableColumnId="67"/>
      <queryTableField id="68" name="POST MH19" tableColumnId="68"/>
      <queryTableField id="69" name="POST ML20" tableColumnId="69"/>
      <queryTableField id="70" name="POST REJECTS S21" tableColumnId="70"/>
      <queryTableField id="71" name="POST REJECTS P22" tableColumnId="71"/>
      <queryTableField id="72" name="Check" tableColumnId="72"/>
      <queryTableField id="73" name="Check 3" tableColumnId="73"/>
      <queryTableField id="74" name="Check 2" tableColumnId="7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2" xr16:uid="{DDB5C0EB-F378-4A8B-A4FB-BE1A38C05A95}" autoFormatId="16" applyNumberFormats="0" applyBorderFormats="0" applyFontFormats="0" applyPatternFormats="0" applyAlignmentFormats="0" applyWidthHeightFormats="0">
  <queryTableRefresh nextId="21">
    <queryTableFields count="20">
      <queryTableField id="1" name="Com." tableColumnId="1"/>
      <queryTableField id="2" name="Origin" tableColumnId="2"/>
      <queryTableField id="3" name="Grade" tableColumnId="3"/>
      <queryTableField id="4" name="Status" tableColumnId="4"/>
      <queryTableField id="5" name="Sale Ctr." tableColumnId="5"/>
      <queryTableField id="6" name="S.Grade" tableColumnId="6"/>
      <queryTableField id="7" name="Client" tableColumnId="7"/>
      <queryTableField id="8" name="Sale date" tableColumnId="8"/>
      <queryTableField id="9" name="SMT" tableColumnId="9"/>
      <queryTableField id="10" name="S.bags" tableColumnId="10"/>
      <queryTableField id="11" name="S.Term" tableColumnId="11"/>
      <queryTableField id="12" name="S.City" tableColumnId="12"/>
      <queryTableField id="13" name="S.Ship/Del Term" tableColumnId="13"/>
      <queryTableField id="14" name="S.Ship." tableColumnId="14"/>
      <queryTableField id="15" name="S.Dif" tableColumnId="15"/>
      <queryTableField id="16" name="S.Fob dif" tableColumnId="16"/>
      <queryTableField id="17" name="SoldGrade" tableColumnId="17"/>
      <queryTableField id="18" name="sFixDte" tableColumnId="18"/>
      <queryTableField id="19" name="S.Cup Profile" tableColumnId="19"/>
      <queryTableField id="20" name="S.strategy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F4AFEA9-98F3-46EF-B32A-F393FF233561}" autoFormatId="16" applyNumberFormats="0" applyBorderFormats="0" applyFontFormats="0" applyPatternFormats="0" applyAlignmentFormats="0" applyWidthHeightFormats="0">
  <queryTableRefresh nextId="75">
    <queryTableFields count="74">
      <queryTableField id="1" name="Com." tableColumnId="1"/>
      <queryTableField id="2" name="Origin" tableColumnId="2"/>
      <queryTableField id="3" name="Grade" tableColumnId="3"/>
      <queryTableField id="4" name="Status" tableColumnId="4"/>
      <queryTableField id="5" name="Sale Ctr." tableColumnId="5"/>
      <queryTableField id="6" name="VLOOKUP _x000a_Still Sales Unallocated?" tableColumnId="6"/>
      <queryTableField id="7" name="VLOOKUP HEDGEABLE" tableColumnId="7"/>
      <queryTableField id="8" name="S.Grade" tableColumnId="8"/>
      <queryTableField id="9" name="Client" tableColumnId="9"/>
      <queryTableField id="10" name="Sale date" tableColumnId="10"/>
      <queryTableField id="11" name="SMT" tableColumnId="11"/>
      <queryTableField id="12" name="S.bags" tableColumnId="12"/>
      <queryTableField id="13" name="S.Term" tableColumnId="13"/>
      <queryTableField id="14" name="S.City" tableColumnId="14"/>
      <queryTableField id="15" name="S.Ship/Del Term" tableColumnId="15"/>
      <queryTableField id="16" name="S.Ship." tableColumnId="16"/>
      <queryTableField id="17" name="Date" tableColumnId="17"/>
      <queryTableField id="18" name="Date2" tableColumnId="18"/>
      <queryTableField id="19" name="S.Dif" tableColumnId="19"/>
      <queryTableField id="20" name="S.Fob dif" tableColumnId="20"/>
      <queryTableField id="21" name="SoldGrade" tableColumnId="21"/>
      <queryTableField id="22" name="sFixDte" tableColumnId="22"/>
      <queryTableField id="23" name="S.Cup Profile" tableColumnId="23"/>
      <queryTableField id="24" name="S.strategy" tableColumnId="24"/>
      <queryTableField id="25" name="Blend No. " tableColumnId="25"/>
      <queryTableField id="26" name="FINISHED" tableColumnId="26"/>
      <queryTableField id="27" name="POST NATURAL" tableColumnId="27"/>
      <queryTableField id="28" name="POST 17 UP TOP" tableColumnId="28"/>
      <queryTableField id="29" name="POST 16 TOP" tableColumnId="29"/>
      <queryTableField id="30" name="POST 15 - TOP" tableColumnId="30"/>
      <queryTableField id="31" name="POST PB TOP" tableColumnId="31"/>
      <queryTableField id="32" name="POST 17 UP PLUS" tableColumnId="32"/>
      <queryTableField id="33" name="POST 16 PLUS" tableColumnId="33"/>
      <queryTableField id="34" name="POST 15 PLUS" tableColumnId="34"/>
      <queryTableField id="35" name="POST 14 PLUS" tableColumnId="35"/>
      <queryTableField id="36" name="POST PB - PLUS" tableColumnId="36"/>
      <queryTableField id="37" name="POST 17 UP FAQ" tableColumnId="37"/>
      <queryTableField id="38" name="POST 16 FAQ" tableColumnId="38"/>
      <queryTableField id="39" name="POST 15 FAQ" tableColumnId="39"/>
      <queryTableField id="40" name="POST 14 FAQ" tableColumnId="40"/>
      <queryTableField id="41" name="POST PB - FAQ" tableColumnId="41"/>
      <queryTableField id="42" name="POST FAQ MINUS" tableColumnId="42"/>
      <queryTableField id="43" name="POST GRINDER BOLD" tableColumnId="43"/>
      <queryTableField id="44" name="POST GRINDER LIGHT" tableColumnId="44"/>
      <queryTableField id="45" name="POST MH" tableColumnId="45"/>
      <queryTableField id="46" name="POST ML" tableColumnId="46"/>
      <queryTableField id="47" name="POST REJECTS S" tableColumnId="47"/>
      <queryTableField id="48" name="POST REJECTS P" tableColumnId="48"/>
      <queryTableField id="49" name="FINISHED2" tableColumnId="49"/>
      <queryTableField id="50" name="POST NATURAL3" tableColumnId="50"/>
      <queryTableField id="51" name="POST 17 UP TOP4" tableColumnId="51"/>
      <queryTableField id="52" name="POST 16 TOP5" tableColumnId="52"/>
      <queryTableField id="53" name="POST 15 TOP" tableColumnId="53"/>
      <queryTableField id="54" name="POST PB - TOP" tableColumnId="54"/>
      <queryTableField id="55" name="POST 17 UP PLUS6" tableColumnId="55"/>
      <queryTableField id="56" name="POST 16 PLUS7" tableColumnId="56"/>
      <queryTableField id="57" name="POST 15 PLUS8" tableColumnId="57"/>
      <queryTableField id="58" name="POST 14 PLUS9" tableColumnId="58"/>
      <queryTableField id="59" name="POST PB - PLUS10" tableColumnId="59"/>
      <queryTableField id="60" name="POST 17 UP FAQ11" tableColumnId="60"/>
      <queryTableField id="61" name="POST 16 FAQ12" tableColumnId="61"/>
      <queryTableField id="62" name="POST 15 FAQ13" tableColumnId="62"/>
      <queryTableField id="63" name="POST 14 FAQ14" tableColumnId="63"/>
      <queryTableField id="64" name="POST PB - FAQ15" tableColumnId="64"/>
      <queryTableField id="65" name="POST FAQ MINUS16" tableColumnId="65"/>
      <queryTableField id="66" name="POST GRINDER BOLD17" tableColumnId="66"/>
      <queryTableField id="67" name="POST GRINDER LIGHT18" tableColumnId="67"/>
      <queryTableField id="68" name="POST MH19" tableColumnId="68"/>
      <queryTableField id="69" name="POST ML20" tableColumnId="69"/>
      <queryTableField id="70" name="POST REJECTS S21" tableColumnId="70"/>
      <queryTableField id="71" name="POST REJECTS P22" tableColumnId="71"/>
      <queryTableField id="72" name="Check" tableColumnId="72"/>
      <queryTableField id="73" name="Check 3" tableColumnId="73"/>
      <queryTableField id="74" name="Check 2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9F9EFE-E8BB-40B7-9ED9-1A28F3383ACB}" name="Table3" displayName="Table3" ref="A1:BV61" totalsRowShown="0" headerRowDxfId="124">
  <autoFilter ref="A1:BV61" xr:uid="{F59F9EFE-E8BB-40B7-9ED9-1A28F3383ACB}">
    <filterColumn colId="6">
      <filters>
        <filter val="Hedgeable"/>
      </filters>
    </filterColumn>
  </autoFilter>
  <tableColumns count="74">
    <tableColumn id="1" xr3:uid="{BD3D4E23-E60E-4D6A-A29C-5B366CE0F420}" name="Com."/>
    <tableColumn id="2" xr3:uid="{7B0BF450-DDAC-4C6B-BBBC-99BCB5C78475}" name="Origin"/>
    <tableColumn id="3" xr3:uid="{19C5A0B4-F2A6-4D8D-B9CC-DCFF28AA4B8B}" name="Grade"/>
    <tableColumn id="4" xr3:uid="{5892B909-4083-43CE-A730-A5BAA484C3F9}" name="Status"/>
    <tableColumn id="5" xr3:uid="{4176FF66-1F72-4F9A-9297-B901FF4B1FC7}" name="Sale Ctr."/>
    <tableColumn id="6" xr3:uid="{2A715E38-33C0-4CF4-848D-20A4716BFC63}" name="VLOOKUP _x000a_Still Sales Unallocated?" dataDxfId="123">
      <calculatedColumnFormula>VLOOKUP(E2,LogisticsReport!AI:AI,1,FALSE)</calculatedColumnFormula>
    </tableColumn>
    <tableColumn id="7" xr3:uid="{BCF17B1B-D0F1-4DBB-AC4F-68F7A2E2D9DF}" name="VLOOKUP HEDGEABLE">
      <calculatedColumnFormula>INDEX(DailyNetPosition!A:A,MATCH(E2,DailyNetPosition!B:B,0))</calculatedColumnFormula>
    </tableColumn>
    <tableColumn id="8" xr3:uid="{E2486A7B-63D7-4B96-AFDB-9684AF93B795}" name="S.Grade" dataDxfId="122"/>
    <tableColumn id="9" xr3:uid="{CE1EE4A8-9FFB-453D-872E-58F8925C57E5}" name="Client"/>
    <tableColumn id="10" xr3:uid="{BE307ED4-F34D-4BE4-B541-156AF3E9000F}" name="Sale date" dataDxfId="121"/>
    <tableColumn id="11" xr3:uid="{5DE08967-EF6F-41F7-88A4-E727AAD2CE18}" name="SMT"/>
    <tableColumn id="12" xr3:uid="{A6045A23-BC00-4DA5-8D2B-4B734D8D48D3}" name="S.bags" dataDxfId="120"/>
    <tableColumn id="13" xr3:uid="{9C27019E-C98F-491D-92F7-1DC5CB8BA1AA}" name="S.Term"/>
    <tableColumn id="14" xr3:uid="{B596B620-0830-4F8F-8EA6-FAE6331BE371}" name="S.City"/>
    <tableColumn id="15" xr3:uid="{7C8C615E-B4A8-466B-A3BA-6838B639A0CF}" name="S.Ship/Del Term"/>
    <tableColumn id="16" xr3:uid="{DBD8CCF8-4074-49D2-BB24-D4AD0BD85DC8}" name="S.Ship.">
      <calculatedColumnFormula>VLOOKUP(Table3[[#This Row],[Sale Ctr.]],LogisticsReport!AI:AW,15,FALSE)</calculatedColumnFormula>
    </tableColumn>
    <tableColumn id="17" xr3:uid="{E9D05110-3C37-4C4F-A06A-E1DBA6E8A6E3}" name="Date" dataDxfId="119">
      <calculatedColumnFormula>+LEFT(P2,7)</calculatedColumnFormula>
    </tableColumn>
    <tableColumn id="18" xr3:uid="{7906353A-5061-4423-8B63-319E009A26C8}" name="Date2" dataDxfId="118">
      <calculatedColumnFormula>+RIGHT(Q2,2)</calculatedColumnFormula>
    </tableColumn>
    <tableColumn id="19" xr3:uid="{A49B8AF5-D246-4ADA-93AD-82CB643CABC1}" name="S.Dif"/>
    <tableColumn id="20" xr3:uid="{7804DB34-D591-447B-B105-389A7298332A}" name="S.Fob dif"/>
    <tableColumn id="21" xr3:uid="{0CB44CA1-558C-4228-B072-6B7B5B71B1D0}" name="SoldGrade"/>
    <tableColumn id="22" xr3:uid="{BAFE29D6-AF58-497B-AC47-4EE2767524FE}" name="sFixDte">
      <calculatedColumnFormula>VLOOKUP(Table3[[#This Row],[Sale Ctr.]],LogisticsReport!AI:DC,74,FALSE)</calculatedColumnFormula>
    </tableColumn>
    <tableColumn id="23" xr3:uid="{073CA05D-CE6B-477C-AF62-CED70BB33ADD}" name="S.Cup Profile"/>
    <tableColumn id="24" xr3:uid="{4074AE7D-2A2C-4BB9-9973-74B308AEAB25}" name="S.strategy" dataDxfId="117">
      <calculatedColumnFormula>+VLOOKUP(E2,LogisticsReport!AI:FA,8,FALSE)</calculatedColumnFormula>
    </tableColumn>
    <tableColumn id="25" xr3:uid="{339544D9-1C45-4FCC-A8E5-BD13EC5C37F9}" name="Blend No. " dataDxfId="116"/>
    <tableColumn id="26" xr3:uid="{B850E82D-0F8A-4FCF-B3BD-2858F39EC082}" name="FINISHED" dataDxfId="115">
      <calculatedColumnFormula>VLOOKUP($Y2,Blends!$D:$AA,2, FALSE)</calculatedColumnFormula>
    </tableColumn>
    <tableColumn id="27" xr3:uid="{21420BEF-3771-43DD-A6ED-CE2474AE6371}" name="POST NATURAL" dataDxfId="114">
      <calculatedColumnFormula>VLOOKUP($Y2,Blends!$D:$AA,3, FALSE)</calculatedColumnFormula>
    </tableColumn>
    <tableColumn id="28" xr3:uid="{C73DC456-908D-44D4-8A32-9767C4205117}" name="POST 17 UP TOP" dataDxfId="113">
      <calculatedColumnFormula>VLOOKUP($Y2,Blends!$D:$AA,4, FALSE)</calculatedColumnFormula>
    </tableColumn>
    <tableColumn id="29" xr3:uid="{FF27AEBF-9846-4F58-9436-4211E4B9E44C}" name="POST 16 TOP" dataDxfId="112">
      <calculatedColumnFormula>VLOOKUP($Y2,Blends!$D:$AA,5, FALSE)</calculatedColumnFormula>
    </tableColumn>
    <tableColumn id="30" xr3:uid="{F37FA12C-4100-4C66-B018-51BC7ABEC468}" name="POST 15 - TOP" dataDxfId="111">
      <calculatedColumnFormula>VLOOKUP($Y2,Blends!$D:$AA,6, FALSE)</calculatedColumnFormula>
    </tableColumn>
    <tableColumn id="31" xr3:uid="{6272906B-8355-4EE7-B6FC-45939C991AD0}" name="POST PB TOP" dataDxfId="110">
      <calculatedColumnFormula>VLOOKUP($Y2,Blends!$D:$AA,7, FALSE)</calculatedColumnFormula>
    </tableColumn>
    <tableColumn id="32" xr3:uid="{94C686B5-1105-4F4D-865F-B15F68687460}" name="POST 17 UP PLUS" dataDxfId="109">
      <calculatedColumnFormula>VLOOKUP($Y2,Blends!$D:$AA,8, FALSE)</calculatedColumnFormula>
    </tableColumn>
    <tableColumn id="33" xr3:uid="{F7B92479-E43D-479E-AD13-F172DE3BA345}" name="POST 16 PLUS" dataDxfId="108">
      <calculatedColumnFormula>VLOOKUP($Y2,Blends!$D:$AA,9, FALSE)</calculatedColumnFormula>
    </tableColumn>
    <tableColumn id="34" xr3:uid="{E5B9AFAD-83EE-4302-9E6B-E0E027A0A2E1}" name="POST 15 PLUS" dataDxfId="107">
      <calculatedColumnFormula>VLOOKUP($Y2,Blends!$D:$AA,10, FALSE)</calculatedColumnFormula>
    </tableColumn>
    <tableColumn id="35" xr3:uid="{C8E3BD51-0B86-4811-831C-E0FCB8B15262}" name="POST 14 PLUS" dataDxfId="106">
      <calculatedColumnFormula>VLOOKUP($Y2,Blends!$D:$AA,11, FALSE)</calculatedColumnFormula>
    </tableColumn>
    <tableColumn id="36" xr3:uid="{CC6E5025-833D-4CEB-8651-3F85F9039D5E}" name="POST PB - PLUS" dataDxfId="105">
      <calculatedColumnFormula>VLOOKUP($Y2,Blends!$D:$AA,12, FALSE)</calculatedColumnFormula>
    </tableColumn>
    <tableColumn id="37" xr3:uid="{397CCD1F-42A0-4398-ADD2-186597B4B62E}" name="POST 17 UP FAQ" dataDxfId="104"/>
    <tableColumn id="38" xr3:uid="{13FBBC46-4680-4B8F-B720-E02544303E71}" name="POST 16 FAQ" dataDxfId="103">
      <calculatedColumnFormula>VLOOKUP($Y2,Blends!$D:$AA,14, FALSE)</calculatedColumnFormula>
    </tableColumn>
    <tableColumn id="39" xr3:uid="{83AC82FA-2D2D-4B36-8A26-9AB33E13ADE6}" name="POST 15 FAQ" dataDxfId="102">
      <calculatedColumnFormula>VLOOKUP($Y2,Blends!$D:$AA,15, FALSE)</calculatedColumnFormula>
    </tableColumn>
    <tableColumn id="40" xr3:uid="{7631D161-9E1B-42F1-B937-4E901196672E}" name="POST 14 FAQ" dataDxfId="101">
      <calculatedColumnFormula>VLOOKUP($Y2,Blends!$D:$AA,16, FALSE)</calculatedColumnFormula>
    </tableColumn>
    <tableColumn id="41" xr3:uid="{AFDAC9FC-8F89-45E7-B5CA-4277C9CA5E4B}" name="POST PB - FAQ" dataDxfId="100">
      <calculatedColumnFormula>VLOOKUP($Y2,Blends!$D:$AA,17, FALSE)</calculatedColumnFormula>
    </tableColumn>
    <tableColumn id="42" xr3:uid="{A4A52728-8634-4FB1-B83A-506F48E8B72D}" name="POST FAQ MINUS" dataDxfId="99">
      <calculatedColumnFormula>VLOOKUP($Y2,Blends!$D:$AA,18, FALSE)</calculatedColumnFormula>
    </tableColumn>
    <tableColumn id="43" xr3:uid="{8B3B40F8-F40C-4C32-A0BE-CBA6D118C1B7}" name="POST GRINDER BOLD" dataDxfId="98"/>
    <tableColumn id="44" xr3:uid="{CA1CEFC2-636C-4410-B06A-6D388DCA3830}" name="POST GRINDER LIGHT" dataDxfId="97">
      <calculatedColumnFormula>VLOOKUP($Y2,Blends!$D:$AA,20, FALSE)</calculatedColumnFormula>
    </tableColumn>
    <tableColumn id="45" xr3:uid="{E7DF30E7-EFFF-4221-970D-C2262E63581B}" name="POST MH" dataDxfId="96">
      <calculatedColumnFormula>VLOOKUP($Y2,Blends!$D:$AA,21, FALSE)</calculatedColumnFormula>
    </tableColumn>
    <tableColumn id="46" xr3:uid="{88278828-C79A-4860-A2A2-44E42A8B3504}" name="POST ML" dataDxfId="95">
      <calculatedColumnFormula>VLOOKUP($Y2,Blends!$D:$AA,22, FALSE)</calculatedColumnFormula>
    </tableColumn>
    <tableColumn id="47" xr3:uid="{F8562FD4-77FA-4F14-88F4-0DE29018116B}" name="POST REJECTS S" dataDxfId="94">
      <calculatedColumnFormula>VLOOKUP($Y2,Blends!$D:$AA,23, FALSE)</calculatedColumnFormula>
    </tableColumn>
    <tableColumn id="48" xr3:uid="{EE4CCC89-EA2D-4AE8-A697-F4EB115661B3}" name="POST REJECTS P" dataDxfId="93">
      <calculatedColumnFormula>VLOOKUP($Y2,Blends!$D:$AA,24, FALSE)</calculatedColumnFormula>
    </tableColumn>
    <tableColumn id="49" xr3:uid="{09EDA0A2-DA29-4A85-8C4D-0F9406BB181B}" name="FINISHED2" dataDxfId="92">
      <calculatedColumnFormula>+($K2*Z2)*1000/60</calculatedColumnFormula>
    </tableColumn>
    <tableColumn id="50" xr3:uid="{A73B2E01-EE0C-41D3-9A86-7ACB196601C7}" name="POST NATURAL3" dataDxfId="91">
      <calculatedColumnFormula>+($K2*AA2)*1000/60</calculatedColumnFormula>
    </tableColumn>
    <tableColumn id="51" xr3:uid="{7A941844-03CB-4EB6-B65C-CA0697FBB5E1}" name="POST 17 UP TOP4" dataDxfId="90">
      <calculatedColumnFormula>+($K2*AB2)*1000/60</calculatedColumnFormula>
    </tableColumn>
    <tableColumn id="52" xr3:uid="{0B8EEDF3-F758-4EEC-9690-0A8DA5704C19}" name="POST 16 TOP5" dataDxfId="89">
      <calculatedColumnFormula>+($K2*AC2)*1000/60</calculatedColumnFormula>
    </tableColumn>
    <tableColumn id="53" xr3:uid="{5D8B1551-92D1-4F16-8D8B-48D535900061}" name="POST 15 TOP" dataDxfId="88">
      <calculatedColumnFormula>+($K2*AD2)*1000/60</calculatedColumnFormula>
    </tableColumn>
    <tableColumn id="54" xr3:uid="{257509C1-2FD9-4DF5-83A5-5ADADA2D2B4A}" name="POST PB - TOP" dataDxfId="87">
      <calculatedColumnFormula>+($K2*AE2)*1000/60</calculatedColumnFormula>
    </tableColumn>
    <tableColumn id="55" xr3:uid="{B35595C6-FB15-4FDD-A241-AC600234F70A}" name="POST 17 UP PLUS6" dataDxfId="86">
      <calculatedColumnFormula>+($K2*AF2)*1000/60</calculatedColumnFormula>
    </tableColumn>
    <tableColumn id="56" xr3:uid="{E3B4D9CD-2D6A-4D8D-BE25-996C6726CF08}" name="POST 16 PLUS7" dataDxfId="85">
      <calculatedColumnFormula>+($K2*AG2)*1000/60</calculatedColumnFormula>
    </tableColumn>
    <tableColumn id="57" xr3:uid="{E70E8267-49F5-498D-9F40-012CBC9D7E34}" name="POST 15 PLUS8" dataDxfId="84">
      <calculatedColumnFormula>+($K2*AH2)*1000/60</calculatedColumnFormula>
    </tableColumn>
    <tableColumn id="58" xr3:uid="{98CD931D-1FC8-46BD-B665-52E1B51DDD45}" name="POST 14 PLUS9" dataDxfId="83">
      <calculatedColumnFormula>+($K2*AI2)*1000/60</calculatedColumnFormula>
    </tableColumn>
    <tableColumn id="59" xr3:uid="{81CF4BA7-746C-4772-B5AD-D39074275DAA}" name="POST PB - PLUS10" dataDxfId="82">
      <calculatedColumnFormula>+($K2*AJ2)*1000/60</calculatedColumnFormula>
    </tableColumn>
    <tableColumn id="60" xr3:uid="{04159432-5169-4087-872E-5ADC13E51FCF}" name="POST 17 UP FAQ11" dataDxfId="81">
      <calculatedColumnFormula>+($K2*AK2)*1000/60</calculatedColumnFormula>
    </tableColumn>
    <tableColumn id="61" xr3:uid="{81382125-0EC4-4F09-9AEE-919951C94B2F}" name="POST 16 FAQ12" dataDxfId="80">
      <calculatedColumnFormula>+($K2*AL2)*1000/60</calculatedColumnFormula>
    </tableColumn>
    <tableColumn id="62" xr3:uid="{87A9074D-552F-44C2-B198-FF234697CF2A}" name="POST 15 FAQ13" dataDxfId="79">
      <calculatedColumnFormula>+($K2*AM2)*1000/60</calculatedColumnFormula>
    </tableColumn>
    <tableColumn id="63" xr3:uid="{612876C7-EAC8-4554-ACC1-3420188C0D07}" name="POST 14 FAQ14" dataDxfId="78">
      <calculatedColumnFormula>+($K2*AN2)*1000/60</calculatedColumnFormula>
    </tableColumn>
    <tableColumn id="64" xr3:uid="{CE7C9037-F4BB-4BA7-BF64-0717B45AB553}" name="POST PB - FAQ15" dataDxfId="77">
      <calculatedColumnFormula>+($K2*AO2)*1000/60</calculatedColumnFormula>
    </tableColumn>
    <tableColumn id="65" xr3:uid="{BF041FDE-3EAF-4CCE-A0D5-DEB0614A5293}" name="POST FAQ MINUS16" dataDxfId="76">
      <calculatedColumnFormula>+($K2*AP2)*1000/60</calculatedColumnFormula>
    </tableColumn>
    <tableColumn id="66" xr3:uid="{EB322829-13BB-4624-A2F5-0712F917D9E4}" name="POST GRINDER BOLD17" dataDxfId="75">
      <calculatedColumnFormula>+($K2*AQ2)*1000/60</calculatedColumnFormula>
    </tableColumn>
    <tableColumn id="67" xr3:uid="{E9AEC27F-CA93-416B-A383-B0457F2B2364}" name="POST GRINDER LIGHT18" dataDxfId="74">
      <calculatedColumnFormula>+($K2*AR2)*1000/60</calculatedColumnFormula>
    </tableColumn>
    <tableColumn id="68" xr3:uid="{39BA82D8-83B0-4E21-9681-E2BCC6A09785}" name="POST MH19" dataDxfId="73">
      <calculatedColumnFormula>+($K2*AS2)*1000/60</calculatedColumnFormula>
    </tableColumn>
    <tableColumn id="69" xr3:uid="{34481CCB-1FD0-43B7-957A-FF7D100F22A9}" name="POST ML20" dataDxfId="72">
      <calculatedColumnFormula>+($K2*AT2)*1000/60</calculatedColumnFormula>
    </tableColumn>
    <tableColumn id="70" xr3:uid="{8F623C35-14EE-4488-AA31-3413D354B52A}" name="POST REJECTS S21" dataDxfId="71">
      <calculatedColumnFormula>+($K2*AU2)*1000/60</calculatedColumnFormula>
    </tableColumn>
    <tableColumn id="71" xr3:uid="{F755B589-DC0A-4A66-81C3-79C6CBCB41FF}" name="POST REJECTS P22" dataDxfId="70">
      <calculatedColumnFormula>+($K2*AV2)*1000/60</calculatedColumnFormula>
    </tableColumn>
    <tableColumn id="72" xr3:uid="{302DCA69-82BC-4190-8777-8F31A7CACE70}" name="Check" dataDxfId="69">
      <calculatedColumnFormula>+SUM(Z2:AV2)</calculatedColumnFormula>
    </tableColumn>
    <tableColumn id="73" xr3:uid="{B82C0763-DE48-4B5E-B047-8AEFC6DE8D0F}" name="Check 3" dataDxfId="68">
      <calculatedColumnFormula>+VLOOKUP(E2,LogisticsReport!AI:HB,5,FALSE)</calculatedColumnFormula>
    </tableColumn>
    <tableColumn id="74" xr3:uid="{0118930E-DCDB-4E1C-8E2E-1048C3719FF2}" name="Check 2" dataDxfId="67">
      <calculatedColumnFormula>+BU2-K2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E29BE2-CEEE-46ED-988C-E92CA14C2355}" name="FindNewSales" displayName="FindNewSales" ref="A1:T2" tableType="queryTable" totalsRowShown="0">
  <autoFilter ref="A1:T2" xr:uid="{CBE29BE2-CEEE-46ED-988C-E92CA14C23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sortState xmlns:xlrd2="http://schemas.microsoft.com/office/spreadsheetml/2017/richdata2" ref="A2:T2">
    <sortCondition ref="G1:G2"/>
  </sortState>
  <tableColumns count="20">
    <tableColumn id="1" xr3:uid="{7365BA68-291B-4AE3-B119-DF1C5F2ECE61}" uniqueName="1" name="Com." queryTableFieldId="1"/>
    <tableColumn id="2" xr3:uid="{8DFD58F1-6982-4E12-8F65-5B787458614E}" uniqueName="2" name="Origin" queryTableFieldId="2"/>
    <tableColumn id="3" xr3:uid="{9C3B57C4-A3EB-4E81-BEFB-F0A6A56F4FAF}" uniqueName="3" name="Grade" queryTableFieldId="3"/>
    <tableColumn id="4" xr3:uid="{DC52DC05-27F5-4C3C-A236-D831BFC48DAC}" uniqueName="4" name="Status" queryTableFieldId="4"/>
    <tableColumn id="5" xr3:uid="{D538F9C8-3B67-4753-B2BF-F49D1B784B09}" uniqueName="5" name="Sale Ctr." queryTableFieldId="5"/>
    <tableColumn id="6" xr3:uid="{1A795F1F-436A-4148-A6E6-CEC55AED56FD}" uniqueName="6" name="S.Grade" queryTableFieldId="6" dataDxfId="66"/>
    <tableColumn id="7" xr3:uid="{D265EC31-A7FD-4B71-8D45-E0EB75DA99FF}" uniqueName="7" name="Client" queryTableFieldId="7" dataDxfId="65"/>
    <tableColumn id="8" xr3:uid="{9B9B920F-9AAE-4991-825F-187D5BDF4C0A}" uniqueName="8" name="Sale date" queryTableFieldId="8" dataDxfId="64"/>
    <tableColumn id="9" xr3:uid="{E1E7E3FF-BE03-42D2-855C-C0544F4F83E7}" uniqueName="9" name="SMT" queryTableFieldId="9" dataDxfId="63"/>
    <tableColumn id="10" xr3:uid="{43AC7930-BDA0-4869-967A-FE1F0D2140EB}" uniqueName="10" name="S.bags" queryTableFieldId="10" dataDxfId="62"/>
    <tableColumn id="11" xr3:uid="{D38EBF37-1AD9-4B47-98C8-EFEB0332FA60}" uniqueName="11" name="S.Term" queryTableFieldId="11" dataDxfId="61"/>
    <tableColumn id="12" xr3:uid="{81B1B998-8BDF-40AD-B5B8-DD8F45AC4565}" uniqueName="12" name="S.City" queryTableFieldId="12" dataDxfId="60"/>
    <tableColumn id="13" xr3:uid="{87A3938E-0404-4ADC-AB15-A1371E886B65}" uniqueName="13" name="S.Ship/Del Term" queryTableFieldId="13" dataDxfId="59"/>
    <tableColumn id="14" xr3:uid="{EC18DB9C-8E4A-423A-8CFA-CBE7182BAD43}" uniqueName="14" name="S.Ship." queryTableFieldId="14" dataDxfId="58"/>
    <tableColumn id="15" xr3:uid="{2EFDE6F9-1B6D-4085-BD2E-3FACD834F409}" uniqueName="15" name="S.Dif" queryTableFieldId="15"/>
    <tableColumn id="16" xr3:uid="{B76F4981-9A91-4A28-9ECB-E8E5A2283A1B}" uniqueName="16" name="S.Fob dif" queryTableFieldId="16"/>
    <tableColumn id="17" xr3:uid="{29DA2A91-2D42-46A6-85D1-4A5B1D17A5FB}" uniqueName="17" name="SoldGrade" queryTableFieldId="17"/>
    <tableColumn id="18" xr3:uid="{8CCC21FB-AFBB-4521-B6D2-6F6B71E8D7A1}" uniqueName="18" name="sFixDte" queryTableFieldId="18"/>
    <tableColumn id="19" xr3:uid="{A47D26EC-FE9C-48B3-A003-C1DDE00EAE6E}" uniqueName="19" name="S.Cup Profile" queryTableFieldId="19"/>
    <tableColumn id="20" xr3:uid="{C7FD6857-522E-4C02-A87F-683A9503E757}" uniqueName="20" name="S.strategy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B559B46-C48E-4B2E-B67D-991EC782AF72}" name="FindOldSales" displayName="FindOldSales" ref="A1:BV2" tableType="queryTable" insertRow="1" totalsRowShown="0">
  <autoFilter ref="A1:BV2" xr:uid="{0B559B46-C48E-4B2E-B67D-991EC782AF72}"/>
  <tableColumns count="74">
    <tableColumn id="1" xr3:uid="{4849F358-15D2-4C47-A3B3-DC5A2F9C9A61}" uniqueName="1" name="Com." queryTableFieldId="1"/>
    <tableColumn id="2" xr3:uid="{C408F6D9-C43D-426A-A6CA-79A12C3E0031}" uniqueName="2" name="Origin" queryTableFieldId="2"/>
    <tableColumn id="3" xr3:uid="{D285DFDC-4A43-489D-BD2E-A86BE447EAA5}" uniqueName="3" name="Grade" queryTableFieldId="3"/>
    <tableColumn id="4" xr3:uid="{DD18D34F-A400-4329-9D15-05B55B999E7A}" uniqueName="4" name="Status" queryTableFieldId="4"/>
    <tableColumn id="5" xr3:uid="{6911419D-7613-4E89-9BD6-0D3B16698971}" uniqueName="5" name="Sale Ctr." queryTableFieldId="5"/>
    <tableColumn id="6" xr3:uid="{180BA560-FE23-446D-AFD4-4D7B7754456E}" uniqueName="6" name="VLOOKUP _x000a_Still Sales Unallocated?" queryTableFieldId="6"/>
    <tableColumn id="7" xr3:uid="{45C6C819-B873-4B94-B00E-F1FB8B178ADA}" uniqueName="7" name="VLOOKUP HEDGEABLE" queryTableFieldId="7"/>
    <tableColumn id="8" xr3:uid="{9AF9345F-C16A-42CD-A819-A0E64A939AFA}" uniqueName="8" name="S.Grade" queryTableFieldId="8"/>
    <tableColumn id="9" xr3:uid="{2691C9AD-C93C-441A-AA8D-D326BBAB36AB}" uniqueName="9" name="Client" queryTableFieldId="9"/>
    <tableColumn id="10" xr3:uid="{B34050A5-F98C-4545-AF7B-D2E0BECFD52D}" uniqueName="10" name="Sale date" queryTableFieldId="10" dataDxfId="57"/>
    <tableColumn id="11" xr3:uid="{D53A140B-AB6F-4FA8-9E36-B7051C45F480}" uniqueName="11" name="SMT" queryTableFieldId="11"/>
    <tableColumn id="12" xr3:uid="{4168BB96-E261-40DA-A058-AA34BE4DA13A}" uniqueName="12" name="S.bags" queryTableFieldId="12"/>
    <tableColumn id="13" xr3:uid="{6B62EA4D-96DA-48C9-8202-06CBFB54199E}" uniqueName="13" name="S.Term" queryTableFieldId="13"/>
    <tableColumn id="14" xr3:uid="{20C96F80-16A7-44B1-9D97-C6592B2F6F94}" uniqueName="14" name="S.City" queryTableFieldId="14"/>
    <tableColumn id="15" xr3:uid="{D2BDF09E-7901-49C2-8537-936D7CD3608A}" uniqueName="15" name="S.Ship/Del Term" queryTableFieldId="15"/>
    <tableColumn id="16" xr3:uid="{FA089CC1-78CF-486C-8C34-D712962770FE}" uniqueName="16" name="S.Ship." queryTableFieldId="16"/>
    <tableColumn id="17" xr3:uid="{0FE6AC35-0528-4F5F-8F87-256722342370}" uniqueName="17" name="Date" queryTableFieldId="17"/>
    <tableColumn id="18" xr3:uid="{34436649-C726-4ED5-9CD1-36A9CE049E17}" uniqueName="18" name="Date2" queryTableFieldId="18"/>
    <tableColumn id="19" xr3:uid="{7E04E0F3-4750-4855-8D44-93054D5F546E}" uniqueName="19" name="S.Dif" queryTableFieldId="19"/>
    <tableColumn id="20" xr3:uid="{1582F5B0-9F74-45E8-BBAE-03831994E0D2}" uniqueName="20" name="S.Fob dif" queryTableFieldId="20"/>
    <tableColumn id="21" xr3:uid="{56ACD095-34E6-4E91-B25F-B36EF240922D}" uniqueName="21" name="SoldGrade" queryTableFieldId="21"/>
    <tableColumn id="22" xr3:uid="{D3613646-3408-4E03-8402-E5D307494AA1}" uniqueName="22" name="sFixDte" queryTableFieldId="22"/>
    <tableColumn id="23" xr3:uid="{F6D221E4-704B-41FF-803D-6E742113F859}" uniqueName="23" name="S.Cup Profile" queryTableFieldId="23"/>
    <tableColumn id="24" xr3:uid="{99EB6D7A-9608-4869-91D6-FBD015C02751}" uniqueName="24" name="S.strategy" queryTableFieldId="24"/>
    <tableColumn id="25" xr3:uid="{6FD7BA5A-BC08-4CE4-AF14-9176289A52C6}" uniqueName="25" name="Blend No. " queryTableFieldId="25"/>
    <tableColumn id="26" xr3:uid="{5E532AD6-B68F-41B1-A178-153722773568}" uniqueName="26" name="FINISHED" queryTableFieldId="26"/>
    <tableColumn id="27" xr3:uid="{3F89D2BA-3E99-498C-97D7-E461E3EB7FB0}" uniqueName="27" name="POST NATURAL" queryTableFieldId="27"/>
    <tableColumn id="28" xr3:uid="{8DC2B0B8-3B60-46BD-B63C-7D9C9C356F2D}" uniqueName="28" name="POST 17 UP TOP" queryTableFieldId="28"/>
    <tableColumn id="29" xr3:uid="{33B7342A-538E-4053-816E-C373F58A401B}" uniqueName="29" name="POST 16 TOP" queryTableFieldId="29"/>
    <tableColumn id="30" xr3:uid="{D6E1DF40-0A79-4AFB-939B-7F4E5CB1E1CB}" uniqueName="30" name="POST 15 - TOP" queryTableFieldId="30"/>
    <tableColumn id="31" xr3:uid="{DDCB693C-F596-4ABE-A472-558DA5C75963}" uniqueName="31" name="POST PB TOP" queryTableFieldId="31"/>
    <tableColumn id="32" xr3:uid="{C951CB3E-C7EA-4B50-8DC8-8D7CA5B7288F}" uniqueName="32" name="POST 17 UP PLUS" queryTableFieldId="32"/>
    <tableColumn id="33" xr3:uid="{2D8B5E5A-2201-47C8-9E1E-75D96077BC95}" uniqueName="33" name="POST 16 PLUS" queryTableFieldId="33"/>
    <tableColumn id="34" xr3:uid="{5A9E1CB2-BBA5-4ACA-AC2A-BAAB5FE66B36}" uniqueName="34" name="POST 15 PLUS" queryTableFieldId="34"/>
    <tableColumn id="35" xr3:uid="{96CF8459-4555-4288-8648-4B19E7D71BC0}" uniqueName="35" name="POST 14 PLUS" queryTableFieldId="35"/>
    <tableColumn id="36" xr3:uid="{56A6AAC7-E96E-4336-90D4-F8DB4C9B22EE}" uniqueName="36" name="POST PB - PLUS" queryTableFieldId="36"/>
    <tableColumn id="37" xr3:uid="{974F57F5-5877-4056-8EC5-C683048BE6A3}" uniqueName="37" name="POST 17 UP FAQ" queryTableFieldId="37"/>
    <tableColumn id="38" xr3:uid="{8C449E76-815C-4AF1-8292-20897CDE50E0}" uniqueName="38" name="POST 16 FAQ" queryTableFieldId="38"/>
    <tableColumn id="39" xr3:uid="{FA1FAC46-55DC-402D-8EC8-D33289AFA4F9}" uniqueName="39" name="POST 15 FAQ" queryTableFieldId="39"/>
    <tableColumn id="40" xr3:uid="{C6571FF2-6995-458A-8169-DA043C516A5E}" uniqueName="40" name="POST 14 FAQ" queryTableFieldId="40"/>
    <tableColumn id="41" xr3:uid="{C6656886-5477-4607-92CD-66D3E1BA2189}" uniqueName="41" name="POST PB - FAQ" queryTableFieldId="41"/>
    <tableColumn id="42" xr3:uid="{94637ECF-593D-4B23-A64B-BB2F4FB70980}" uniqueName="42" name="POST FAQ MINUS" queryTableFieldId="42"/>
    <tableColumn id="43" xr3:uid="{24648F7F-EA70-4D8A-81BE-71D58836F947}" uniqueName="43" name="POST GRINDER BOLD" queryTableFieldId="43"/>
    <tableColumn id="44" xr3:uid="{D6CDDDAB-78B2-411C-8101-11AEC08DD070}" uniqueName="44" name="POST GRINDER LIGHT" queryTableFieldId="44"/>
    <tableColumn id="45" xr3:uid="{7249E2AA-44A9-4E82-A4B0-32C57246E785}" uniqueName="45" name="POST MH" queryTableFieldId="45"/>
    <tableColumn id="46" xr3:uid="{352F10FD-AD17-4405-8DF3-56EC8949FD53}" uniqueName="46" name="POST ML" queryTableFieldId="46"/>
    <tableColumn id="47" xr3:uid="{9833E21D-2E5B-4EA5-9EE0-85D249B60FAE}" uniqueName="47" name="POST REJECTS S" queryTableFieldId="47"/>
    <tableColumn id="48" xr3:uid="{3CE9EE61-EC0B-4CC5-A919-9C205DE05A85}" uniqueName="48" name="POST REJECTS P" queryTableFieldId="48"/>
    <tableColumn id="49" xr3:uid="{704D385A-AAFE-4D20-8FD7-750E97C490B7}" uniqueName="49" name="FINISHED2" queryTableFieldId="49"/>
    <tableColumn id="50" xr3:uid="{A5CC72EC-4AE5-46A7-AE73-7A19A4BE9CE1}" uniqueName="50" name="POST NATURAL3" queryTableFieldId="50"/>
    <tableColumn id="51" xr3:uid="{8B8B5001-7AB5-4ED2-AAB5-858968175E46}" uniqueName="51" name="POST 17 UP TOP4" queryTableFieldId="51"/>
    <tableColumn id="52" xr3:uid="{3B668A81-A3B8-4337-BFDF-11E509DE2170}" uniqueName="52" name="POST 16 TOP5" queryTableFieldId="52"/>
    <tableColumn id="53" xr3:uid="{94181EEE-E265-4D27-B21D-7E3702621396}" uniqueName="53" name="POST 15 TOP" queryTableFieldId="53"/>
    <tableColumn id="54" xr3:uid="{4D0CCB4B-0AFF-4CC3-A525-B1CAE5EB5073}" uniqueName="54" name="POST PB - TOP" queryTableFieldId="54"/>
    <tableColumn id="55" xr3:uid="{A30867CC-814D-4CE6-AC49-A18B4E9952E8}" uniqueName="55" name="POST 17 UP PLUS6" queryTableFieldId="55"/>
    <tableColumn id="56" xr3:uid="{4DA3C78B-1BF1-4904-A9CA-54E9E451476D}" uniqueName="56" name="POST 16 PLUS7" queryTableFieldId="56"/>
    <tableColumn id="57" xr3:uid="{CA247E77-9FFC-497C-AA39-5D3A3CEE228D}" uniqueName="57" name="POST 15 PLUS8" queryTableFieldId="57"/>
    <tableColumn id="58" xr3:uid="{1F0D01F1-C809-4C8F-8061-43DA85A41A37}" uniqueName="58" name="POST 14 PLUS9" queryTableFieldId="58"/>
    <tableColumn id="59" xr3:uid="{407552AF-EE98-42A8-B096-55753F76182D}" uniqueName="59" name="POST PB - PLUS10" queryTableFieldId="59"/>
    <tableColumn id="60" xr3:uid="{8A19AA6F-AC60-4CD6-95B2-A3974D3B22AC}" uniqueName="60" name="POST 17 UP FAQ11" queryTableFieldId="60"/>
    <tableColumn id="61" xr3:uid="{41DD5B8D-5B69-49F8-AE1F-EDA82ADB113B}" uniqueName="61" name="POST 16 FAQ12" queryTableFieldId="61"/>
    <tableColumn id="62" xr3:uid="{DFF6EB48-A155-4D0D-B1BD-A90206F43D37}" uniqueName="62" name="POST 15 FAQ13" queryTableFieldId="62"/>
    <tableColumn id="63" xr3:uid="{A18281BF-8A7B-44C5-A516-2CEFA84ACD20}" uniqueName="63" name="POST 14 FAQ14" queryTableFieldId="63"/>
    <tableColumn id="64" xr3:uid="{AF339558-2FB2-4821-BF0C-A938A1FB10EA}" uniqueName="64" name="POST PB - FAQ15" queryTableFieldId="64"/>
    <tableColumn id="65" xr3:uid="{4669CEDE-49C9-4064-B1D9-22DD6E610219}" uniqueName="65" name="POST FAQ MINUS16" queryTableFieldId="65"/>
    <tableColumn id="66" xr3:uid="{5B03D579-C846-4EBF-A51E-4B93E90CD9F4}" uniqueName="66" name="POST GRINDER BOLD17" queryTableFieldId="66"/>
    <tableColumn id="67" xr3:uid="{11448F47-D5DB-4B29-A67A-F11768925E8E}" uniqueName="67" name="POST GRINDER LIGHT18" queryTableFieldId="67"/>
    <tableColumn id="68" xr3:uid="{DBB54C13-A4F8-48D5-97BF-7548DF422AED}" uniqueName="68" name="POST MH19" queryTableFieldId="68"/>
    <tableColumn id="69" xr3:uid="{CF21100B-0E37-4024-A415-154CE26A6067}" uniqueName="69" name="POST ML20" queryTableFieldId="69"/>
    <tableColumn id="70" xr3:uid="{6E0C05A5-4B8B-4517-B24C-BC1642A64BA3}" uniqueName="70" name="POST REJECTS S21" queryTableFieldId="70"/>
    <tableColumn id="71" xr3:uid="{0DE90009-E717-4BD5-A751-40EEB4B4345D}" uniqueName="71" name="POST REJECTS P22" queryTableFieldId="71"/>
    <tableColumn id="72" xr3:uid="{3C16C840-B888-4F99-BB04-A52E852BAE93}" uniqueName="72" name="Check" queryTableFieldId="72"/>
    <tableColumn id="73" xr3:uid="{7719E68A-F680-4BE9-A3DA-6079296A1219}" uniqueName="73" name="Check 3" queryTableFieldId="73"/>
    <tableColumn id="74" xr3:uid="{34441D80-068A-429F-B6CA-A78E6E529897}" uniqueName="74" name="Check 2" queryTableFieldId="7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F2F9CD-D523-4E87-B86D-8365509D9355}" name="Table1" displayName="Table1" ref="A1:GB63" totalsRowShown="0">
  <autoFilter ref="A1:GB63" xr:uid="{09F2F9CD-D523-4E87-B86D-8365509D9355}"/>
  <tableColumns count="184">
    <tableColumn id="1" xr3:uid="{73A8A872-6F0B-4F1E-A93B-F36EFE3ED6CC}" name="Com."/>
    <tableColumn id="2" xr3:uid="{07C0C4D1-4000-400F-87E8-2F6D15E829C8}" name="Origin"/>
    <tableColumn id="3" xr3:uid="{B4E9EBE3-6263-4600-9AEE-5BE597F54E32}" name="Grade"/>
    <tableColumn id="4" xr3:uid="{D50C45EE-8E77-4AD7-8BA8-C6CEB259447F}" name="Status"/>
    <tableColumn id="5" xr3:uid="{BDCB9201-3FE9-44B8-B76E-D8A16A20CA2C}" name="Fin. bank"/>
    <tableColumn id="6" xr3:uid="{7071F6F7-9FAE-4A28-BB93-DAA7507745EF}" name="Purchase ref"/>
    <tableColumn id="7" xr3:uid="{006E7E5B-491F-463F-A516-FE76DE0BCFB1}" name="Supplier"/>
    <tableColumn id="8" xr3:uid="{4C3E5A4B-04D6-4974-9F46-5DD16AEBF5A4}" name="P.Ctr. date"/>
    <tableColumn id="9" xr3:uid="{F4D4AD4A-6FBB-4B37-A7AF-D04806B181A2}" name="MT"/>
    <tableColumn id="10" xr3:uid="{E712BE6E-4457-4870-BF14-5BD51B1554A4}" name="Bags"/>
    <tableColumn id="11" xr3:uid="{3171E889-92F8-44CE-B4E1-B9D70B2F4E97}" name="Brok."/>
    <tableColumn id="12" xr3:uid="{02E77F98-4127-48A2-AFC2-740BEE9DA021}" name="Brok.Ref"/>
    <tableColumn id="13" xr3:uid="{2B35FC6E-D324-4966-B20A-CC473E768A78}" name="P. Price"/>
    <tableColumn id="14" xr3:uid="{D080A90E-4420-46AC-A755-3ADB1684889C}" name="P. Unit"/>
    <tableColumn id="15" xr3:uid="{14C60F87-16AD-4875-936D-3A6066A06D9D}" name="P. Term"/>
    <tableColumn id="16" xr3:uid="{43F67892-28C2-4DC3-9F18-D6F177A4CDC7}" name="Port"/>
    <tableColumn id="17" xr3:uid="{316E74CA-B6E0-4CD5-BE79-686BFF1F4760}" name="GradeBought"/>
    <tableColumn id="18" xr3:uid="{E5C997AF-7E1B-4C5B-8883-B7AEE926878D}" name="Ship/Del Term"/>
    <tableColumn id="19" xr3:uid="{5A14AC2F-353E-4FDC-BFB7-9EFE91DF8975}" name="Ship."/>
    <tableColumn id="20" xr3:uid="{82AC3F79-2303-4680-83F5-0F2B8580DF7C}" name="Cert."/>
    <tableColumn id="21" xr3:uid="{3A5EEFD8-495A-469A-860A-4C45B0BD1A2A}" name="SAS"/>
    <tableColumn id="22" xr3:uid="{6EAE368A-104C-4160-ACF3-DC84C01074B8}" name="P.Note"/>
    <tableColumn id="23" xr3:uid="{D5F26CDB-CA37-4757-B985-41A890A811A8}" name="SI.Date" dataDxfId="56"/>
    <tableColumn id="24" xr3:uid="{340B54F1-BB2C-4BEA-BF2E-9907A5BE1E41}" name="Sale SI.Date"/>
    <tableColumn id="25" xr3:uid="{7134A921-BF81-4DE1-AC0B-12A210F8DB59}" name="PLast sample"/>
    <tableColumn id="26" xr3:uid="{5ED0C3F8-082A-4514-88C9-EAED90F876B0}" name="P.Sample Lot"/>
    <tableColumn id="27" xr3:uid="{5F370276-5E35-4DC5-9CE0-D59C1A89365B}" name="P.Received on"/>
    <tableColumn id="28" xr3:uid="{863EF286-55FB-482A-9FF4-E06FF74B7273}" name="P.Cupped on"/>
    <tableColumn id="29" xr3:uid="{8751E4A5-5C72-48AB-A00C-0475C8F08DFC}" name="P.Status"/>
    <tableColumn id="30" xr3:uid="{5CC714FD-5C20-4D1A-A732-1225ADC0863C}" name="S.Last Sample SENT"/>
    <tableColumn id="31" xr3:uid="{41C471FE-1628-4CAB-8A6A-9F20FFD72914}" name="S.ID Sample Sent"/>
    <tableColumn id="32" xr3:uid="{E32B33AC-D401-46ED-B559-19705F70D190}" name="S.Sent on" dataDxfId="55"/>
    <tableColumn id="33" xr3:uid="{3DCD0AAB-2954-4FE6-A34F-68B691BDDD66}" name="S.Result on" dataDxfId="54"/>
    <tableColumn id="34" xr3:uid="{FA0AE860-C8E6-44D0-956C-6E5BEF194949}" name="S.Status"/>
    <tableColumn id="35" xr3:uid="{EC17D126-89BF-40D5-8A58-2A958BEE1213}" name="Sale Ctr."/>
    <tableColumn id="37" xr3:uid="{C2FA5B5A-0A5B-4E33-AFCD-3CFC0F75E5A4}" name="S.Grade"/>
    <tableColumn id="38" xr3:uid="{09F698D5-7E6F-4318-B23D-092438C07175}" name="Client" dataDxfId="53"/>
    <tableColumn id="39" xr3:uid="{28B439C9-F1EB-4F93-88B3-936F332491D4}" name="Sale date" dataDxfId="52"/>
    <tableColumn id="40" xr3:uid="{C379EF25-5CBD-4DA2-AE39-204ABD826C1B}" name="SMT"/>
    <tableColumn id="41" xr3:uid="{8763CA7B-C355-4664-900B-56CE65AA2983}" name="S.bags"/>
    <tableColumn id="42" xr3:uid="{2A221FB8-C13D-44D6-A138-BA196677D2C2}" name="S.Term"/>
    <tableColumn id="43" xr3:uid="{0150EA90-3BD9-4189-8BAF-5D7A18042952}" name="S.City"/>
    <tableColumn id="44" xr3:uid="{094ACE92-5659-484A-AB55-C0BFAB929099}" name="S.Ship/Del Term"/>
    <tableColumn id="45" xr3:uid="{32507A60-65D3-413A-9647-53665E491F80}" name="S.Ref"/>
    <tableColumn id="46" xr3:uid="{530AB982-8504-4FDF-8D2C-4C9DE1937E84}" name="S.Brok."/>
    <tableColumn id="47" xr3:uid="{95B323BA-0305-4CE5-A0EC-CAACDB34A785}" name="S.Brok.Ref"/>
    <tableColumn id="48" xr3:uid="{F41FFE5F-85DA-4436-892E-07BEE954F4F6}" name="S. Price"/>
    <tableColumn id="49" xr3:uid="{A8A293E4-E93F-4229-862B-B59CBB37B44D}" name="S. Unit"/>
    <tableColumn id="50" xr3:uid="{8256F8E7-F256-4685-BD55-98B5E4EDF860}" name="S.Ship."/>
    <tableColumn id="51" xr3:uid="{70387740-3C24-4753-9B9C-FB48F9140823}" name="S.SAS"/>
    <tableColumn id="52" xr3:uid="{E5173428-DE55-46A1-9648-8E35C66E5E96}" name="S.Cert"/>
    <tableColumn id="53" xr3:uid="{41E12F75-41A9-4FCA-8D50-63CE8AC132D7}" name="S.Note"/>
    <tableColumn id="54" xr3:uid="{388A1423-38C7-41BA-865D-F0E56E42C3DB}" name="PreshipID"/>
    <tableColumn id="55" xr3:uid="{75260F4B-B444-431D-A197-CF9653C40E24}" name="Booking Line"/>
    <tableColumn id="56" xr3:uid="{051F0D63-5EE0-41C2-80BC-3AA06A943314}" name="Vessel"/>
    <tableColumn id="57" xr3:uid="{C730AB33-AE2F-4556-81D1-4014D41C7F4A}" name="Voy.Num"/>
    <tableColumn id="58" xr3:uid="{03E8C795-D2D8-451E-9D23-23F27F92172B}" name="TransType"/>
    <tableColumn id="59" xr3:uid="{C21D3AFC-18FB-479A-95CA-23DBDC3013E7}" name="POL"/>
    <tableColumn id="60" xr3:uid="{A5C64259-0281-4014-81F4-F2552F225739}" name="POD"/>
    <tableColumn id="61" xr3:uid="{6EB35ECE-8CFA-4D80-8600-4716B00AC3C9}" name="Booking num." dataDxfId="51"/>
    <tableColumn id="62" xr3:uid="{5B22F3D5-E9D8-4831-8D54-C4754D1354ED}" name="ETD" dataDxfId="50"/>
    <tableColumn id="63" xr3:uid="{B3E14ECC-B769-4FC8-8E25-DF5D75B980B1}" name="ETA"/>
    <tableColumn id="64" xr3:uid="{1BCBADB4-ABF0-40CC-8159-358E2C1291F7}" name="ISF Filing"/>
    <tableColumn id="65" xr3:uid="{C6B6DCEF-2F09-4EB5-BE0C-E90993C86511}" name="Freight"/>
    <tableColumn id="66" xr3:uid="{4458DCA4-F568-4C98-BCA6-C22EFA87FCD3}" name="Pre.Landed for"/>
    <tableColumn id="67" xr3:uid="{C837BD69-37D6-4F24-82FA-B486D2A43CE8}" name="PS.Note"/>
    <tableColumn id="68" xr3:uid="{56E59C94-CC46-4734-A25D-BF42D9B12E17}" name="Trans.Name"/>
    <tableColumn id="69" xr3:uid="{8D1388F0-4DA2-4E0B-A62B-8062A6673449}" name="TransType2"/>
    <tableColumn id="70" xr3:uid="{7E4A7402-1E10-4035-8B7A-34F2CC9C280E}" name="Vessel3"/>
    <tableColumn id="71" xr3:uid="{F196C536-777C-438F-BC10-38B4D201E7F2}" name="VOY NUM"/>
    <tableColumn id="72" xr3:uid="{3FD4C7EF-F7D9-42BC-804B-B99B5D2C78C7}" name="From"/>
    <tableColumn id="73" xr3:uid="{093E0038-A4A3-4B8D-AFCF-7F9AA1C4FA68}" name="To"/>
    <tableColumn id="74" xr3:uid="{AEBC7F37-AF88-42EF-8C9F-4E8E81DB1DF4}" name="B/L num."/>
    <tableColumn id="75" xr3:uid="{82B1354A-7700-4B17-8035-C234B92E8596}" name="B/L Dte."/>
    <tableColumn id="76" xr3:uid="{3FCE6173-8C07-471F-B9B6-22DEFB038B30}" name="ETD4"/>
    <tableColumn id="77" xr3:uid="{7E62AD32-B791-4EF7-871C-B67B0030354F}" name="ETA5"/>
    <tableColumn id="78" xr3:uid="{F4F140AF-F888-44DD-8EC9-AB8AB49BAF8E}" name="NA CUSTOM"/>
    <tableColumn id="79" xr3:uid="{2F57C768-2CFE-4A61-9AD9-4BD1BC71AC9D}" name="QuayDte."/>
    <tableColumn id="80" xr3:uid="{AE265A86-3208-4CA7-8F88-86D9BFE15DB1}" name="Landed for"/>
    <tableColumn id="81" xr3:uid="{3874E84A-9F1E-4ADC-95C6-163FC9561885}" name="Land instr."/>
    <tableColumn id="82" xr3:uid="{829CB052-8A6C-46AD-BCF0-336DCA9DE029}" name="WhseDte"/>
    <tableColumn id="83" xr3:uid="{64C25B2A-6EDB-47E6-ABA4-6EB83A7ABCAA}" name="WHSE"/>
    <tableColumn id="84" xr3:uid="{A0103687-AC0F-4E22-9CD1-F35E3D44E74A}" name="Forw.Ref"/>
    <tableColumn id="85" xr3:uid="{57DD4845-03A5-4C78-8203-FB322F73C2E9}" name="Container"/>
    <tableColumn id="86" xr3:uid="{C0B1B169-6125-4727-9926-03E25AF6DC9B}" name="Lot"/>
    <tableColumn id="87" xr3:uid="{EA7CA529-78F8-4435-8E56-499392CAD621}" name="C.Cargo ID"/>
    <tableColumn id="88" xr3:uid="{A125D876-1831-41A0-97C8-057BA1D9D45D}" name="C.Note"/>
    <tableColumn id="89" xr3:uid="{A99749D0-41EE-420B-92BE-F60965FCCC60}" name="Production Date"/>
    <tableColumn id="90" xr3:uid="{64CD30D7-2AFC-451E-9E71-8CFCA70EA5B4}" name="Expiry Date"/>
    <tableColumn id="91" xr3:uid="{E8C15789-B4B6-42DB-BE21-B58CF1DB609C}" name="S Invoice Num"/>
    <tableColumn id="92" xr3:uid="{0C7211F0-7743-440D-83B5-B039593F8944}" name="sMktValo"/>
    <tableColumn id="93" xr3:uid="{012292B3-49A0-477E-AE3B-567E812185AA}" name="Payment term"/>
    <tableColumn id="94" xr3:uid="{563E434B-3075-48E8-929B-FE6DF71395EE}" name="Due Date"/>
    <tableColumn id="95" xr3:uid="{824DB0B4-81E6-40F3-9626-E42C8C9547B1}" name="Docs to bank"/>
    <tableColumn id="96" xr3:uid="{5A84D873-2AD5-4C97-A25B-58BFC5F0E384}" name="Docs to client"/>
    <tableColumn id="97" xr3:uid="{74936B88-F53F-4FD0-AE4A-2F75CDD30BFD}" name="P.Dif"/>
    <tableColumn id="98" xr3:uid="{6017D377-F574-406F-AF10-F9B8C5062B94}" name="P.Fob dif"/>
    <tableColumn id="99" xr3:uid="{66CA7C95-437B-4D52-A50F-C0C7F6DD2989}" name="S.Dif"/>
    <tableColumn id="100" xr3:uid="{E388A3F0-A073-453D-93D5-A2C1EF46EC21}" name="S.Fob dif"/>
    <tableColumn id="101" xr3:uid="{549BFA3A-75D3-4AB6-97F0-2474A4F52E66}" name="YearMthEx"/>
    <tableColumn id="102" xr3:uid="{C265B26B-743A-4066-B2BD-193775CBA498}" name="RefClientP"/>
    <tableColumn id="103" xr3:uid="{D7380A45-760B-492E-90F5-0A19197136DA}" name="SoldGrade"/>
    <tableColumn id="104" xr3:uid="{5EB0D7DC-5870-4DBB-AC61-EE1DFC40568F}" name="pBook"/>
    <tableColumn id="105" xr3:uid="{38C8FD71-CCFE-419A-981B-18E124E00C3B}" name="sBook"/>
    <tableColumn id="106" xr3:uid="{2B186E8B-4C38-4C7A-8C20-ECFBA9ACC0F3}" name="Unit"/>
    <tableColumn id="107" xr3:uid="{C3ADE716-F8AF-477D-9B7C-21EA7B3E85E5}" name="FixDte"/>
    <tableColumn id="108" xr3:uid="{28FB5CAF-A535-4791-86B3-D5B6323CBBAA}" name="sUnit"/>
    <tableColumn id="109" xr3:uid="{F9F907CD-6A3E-4A93-A7CD-5F6ECAEFA6E9}" name="sFixDte"/>
    <tableColumn id="110" xr3:uid="{B8CE58D1-33EC-4AC6-BEAA-26BC7295C0D3}" name="pCrop"/>
    <tableColumn id="111" xr3:uid="{6C4A454C-2E8C-4EA1-846D-333B3B73BCFE}" name="sCrop"/>
    <tableColumn id="112" xr3:uid="{ECA53FA6-4934-4759-89DF-2E532703C5C6}" name="Match"/>
    <tableColumn id="113" xr3:uid="{5CA5DD57-A713-4157-B9EB-3ED24B7B4FF9}" name="pValoFobDif"/>
    <tableColumn id="114" xr3:uid="{E7D48520-4558-41BE-AD29-7E422D2BA542}" name="Cup Profile"/>
    <tableColumn id="115" xr3:uid="{02DA1272-76D1-4BEB-832E-5A6B75178F3D}" name="S.Cup Profile"/>
    <tableColumn id="116" xr3:uid="{0AFAE82E-721E-4C39-98C9-2007331E45E2}" name="Strategy"/>
    <tableColumn id="117" xr3:uid="{85646638-1677-4EFB-ABB8-D175AE2BF12C}" name="S.strategy"/>
    <tableColumn id="118" xr3:uid="{1ADA1746-AAD2-4F52-BAB9-98EFE0D3CF00}" name="P.Hedge Value"/>
    <tableColumn id="119" xr3:uid="{74276956-109B-4707-8FF0-FBFB7FF529E2}" name="S.Hedge Value"/>
    <tableColumn id="120" xr3:uid="{FC4B8A86-3A05-42C4-9F61-6ADDBF3D7E20}" name="P.NoteJV"/>
    <tableColumn id="121" xr3:uid="{35D4EB3D-5FE0-4428-AF86-5912CD851F42}" name="S.NoteJV"/>
    <tableColumn id="122" xr3:uid="{37A7BBDF-112D-4D56-8388-A4E1F76AB7F8}" name="Consignee party"/>
    <tableColumn id="123" xr3:uid="{B95A8F08-A6F6-4E0D-B8F8-B13018608B4C}" name="Traffic note"/>
    <tableColumn id="124" xr3:uid="{B3A078C7-548A-49B5-B99C-8E4C7AE20DF6}" name="Process"/>
    <tableColumn id="125" xr3:uid="{08B9CB9E-5AF4-42D3-80D5-E87E396ABC9B}" name="Traceability"/>
    <tableColumn id="126" xr3:uid="{790128BC-74AA-494D-A867-BA2E66E59699}" name="External_name"/>
    <tableColumn id="127" xr3:uid="{1BEA351C-0A67-4135-B5F1-50172B8BFB64}" name="Pricelist Adjustment (USC/LB)"/>
    <tableColumn id="128" xr3:uid="{7CC64A0A-1DBA-4C83-BD61-822DB3B031FC}" name="Quantity reserved"/>
    <tableColumn id="129" xr3:uid="{ED564A07-1B7A-4C64-B544-0D7531630EC4}" name="Available for sales"/>
    <tableColumn id="130" xr3:uid="{BED27882-B872-4406-80FF-72706D1E00DF}" name="Reserved for"/>
    <tableColumn id="131" xr3:uid="{B6F2C91B-2C38-4845-950A-E28E41C4620E}" name="User reserve"/>
    <tableColumn id="132" xr3:uid="{8328A0F0-80B4-4DDD-BD1D-8C454D5CFE1D}" name="Trader"/>
    <tableColumn id="133" xr3:uid="{72CFEE70-67E4-4E43-AA5E-BA19A7581BE8}" name="Inv Date"/>
    <tableColumn id="134" xr3:uid="{910F09D0-428F-4F5D-8389-694C331009AE}" name="S.CodCountry"/>
    <tableColumn id="135" xr3:uid="{E1233C39-70CD-4E29-A9BB-BE351F9E7729}" name="P.Packing"/>
    <tableColumn id="136" xr3:uid="{690626C7-4660-4735-BA36-DE8939266534}" name="S.Packing"/>
    <tableColumn id="137" xr3:uid="{CE22C2D2-8E86-4EA8-9BB2-B9BE7E50A7E6}" name="S.FreightCont"/>
    <tableColumn id="138" xr3:uid="{7783B89C-B15E-4EBD-8657-5754A9387FA9}" name="S.SD Note"/>
    <tableColumn id="139" xr3:uid="{DE111B0E-BB2B-4F8B-8AED-DCEB82902989}" name="SA Date"/>
    <tableColumn id="140" xr3:uid="{90E698FD-CAA9-49EF-956E-006FEA8551ED}" name="ID Alert"/>
    <tableColumn id="141" xr3:uid="{12A0F761-C034-4A59-9586-327E3A3C2B43}" name="Alert Type"/>
    <tableColumn id="142" xr3:uid="{B4453230-FE22-4BBB-9925-CBCB0B8B0A52}" name="Remarks"/>
    <tableColumn id="143" xr3:uid="{26656F95-7939-4CF3-B5D6-0F9552AC9B36}" name="First instore Date"/>
    <tableColumn id="144" xr3:uid="{10064578-261D-4E32-ABD9-D08D5C2F8890}" name="Freight agency"/>
    <tableColumn id="145" xr3:uid="{CB91260F-07F6-4A93-9661-0F945F110DB1}" name="Intended warehouse"/>
    <tableColumn id="146" xr3:uid="{6F3E0948-1C18-44F0-819B-0D101686DB9F}" name="Docs received date in GNV/ our bank"/>
    <tableColumn id="147" xr3:uid="{909A8FB3-F6A9-48B3-89D9-BB4CF0DEA463}" name="Bank remittance ref (LC/Collection)"/>
    <tableColumn id="148" xr3:uid="{3FAA1F3A-C48C-4570-B9A7-734029C3939D}" name="D-O"/>
    <tableColumn id="149" xr3:uid="{EAD33109-47E0-4035-AD42-7C427DE715DE}" name="Cov Orig"/>
    <tableColumn id="150" xr3:uid="{A6025FB1-1132-4775-B97A-4E589D435D21}" name="Eta Pod"/>
    <tableColumn id="151" xr3:uid="{F07AB1F4-22D6-484B-BBC8-8741728E447F}" name="P.Special Valo+Costs"/>
    <tableColumn id="152" xr3:uid="{2DA50291-6288-499D-A1CF-710E14DCD5D5}" name="S.Special Valo+Costs"/>
    <tableColumn id="153" xr3:uid="{19A61914-9A72-41A7-B174-D30611BADE32}" name="P.Delta Specialty"/>
    <tableColumn id="154" xr3:uid="{1DF73572-E89D-4F89-95F8-44FBF51FE593}" name="S.Delta Specialty"/>
    <tableColumn id="155" xr3:uid="{96830DB1-9BFF-4D4B-80B8-F2A4645724B9}" name="P.FlatPrice"/>
    <tableColumn id="156" xr3:uid="{A531F764-209C-4E0B-8815-7E744F7A3953}" name="S.FlatPrice"/>
    <tableColumn id="157" xr3:uid="{E7AC028A-85DF-4AB7-8E5A-B76A7D8FD8D6}" name="C.Note2"/>
    <tableColumn id="158" xr3:uid="{1BB2C8F2-CF07-473C-B77E-070107D7B3C5}" name="CG Status"/>
    <tableColumn id="159" xr3:uid="{4E18B341-4414-4551-92E4-7EED138956EE}" name="Empty Pickup"/>
    <tableColumn id="160" xr3:uid="{EC35B128-DE82-4CAE-BABE-072545A5150C}" name="POD6"/>
    <tableColumn id="161" xr3:uid="{DB295C7C-8189-4012-B073-82E7C694307E}" name="P.POD"/>
    <tableColumn id="162" xr3:uid="{55FCE0DF-5B62-4106-B44A-0F87F887F4CF}" name="CIS to IS"/>
    <tableColumn id="163" xr3:uid="{D3D9D6A5-646F-4E03-903D-680AC56DCCA8}" name="THC"/>
    <tableColumn id="164" xr3:uid="{C50217C2-CAF9-48CC-80EB-AC40C4814014}" name="Cost rent"/>
    <tableColumn id="165" xr3:uid="{C2BFE499-E2CF-40EC-AE2A-4675B49EC760}" name="Billing Period"/>
    <tableColumn id="166" xr3:uid="{12DD03E7-FD49-43DD-953F-0CCBF16F64C6}" name="Freight7"/>
    <tableColumn id="167" xr3:uid="{62550492-24CC-4F29-9CAB-7EE55DD6E930}" name="Pre.Ship Ref"/>
    <tableColumn id="168" xr3:uid="{9D3865DA-4DE9-49DF-8DE0-7E45ACA22271}" name="Shipment Ref"/>
    <tableColumn id="169" xr3:uid="{5AB36A6E-36F3-41A2-BC80-3D19CFAD35DE}" name="PCli.Com1"/>
    <tableColumn id="170" xr3:uid="{5D0DBED3-1C7B-4EA2-94BA-B0B52391A8F1}" name="PAmoCom1"/>
    <tableColumn id="171" xr3:uid="{03F3B6E5-629D-41DC-926A-59B2EDCE99FD}" name="PCli.Com18"/>
    <tableColumn id="172" xr3:uid="{80A7FBC5-1C12-4EFF-8F3D-48403F28EFDA}" name="PAmoCom2"/>
    <tableColumn id="173" xr3:uid="{70B211F5-2CEF-4333-89F6-4EEF20EC9BF9}" name="SCli.Com1"/>
    <tableColumn id="174" xr3:uid="{A553CE0A-2747-40E4-B5A6-AAA478646B1D}" name="SAmoCom1"/>
    <tableColumn id="175" xr3:uid="{B790BB78-F566-4194-AF91-61730F782C61}" name="SCli.Com19"/>
    <tableColumn id="176" xr3:uid="{1FD88011-5DC7-41F1-A2D1-351F435491FE}" name="SAmoCom2" dataDxfId="49"/>
    <tableColumn id="177" xr3:uid="{A37B7D93-1AB5-4BCB-8955-556230AA453C}" name="P.Forcast PD" dataDxfId="48"/>
    <tableColumn id="178" xr3:uid="{ABAC6032-4C41-40E7-8ED5-83190ABCE7A0}" name="S.Forcast PD" dataDxfId="47"/>
    <tableColumn id="179" xr3:uid="{F4AD39B1-4719-44F0-B92B-1F083348A882}" name="Joint_venture"/>
    <tableColumn id="180" xr3:uid="{E1AE7E0F-682C-4541-AB3E-AE7A22A67F8A}" name="eDoxOpId"/>
    <tableColumn id="181" xr3:uid="{1CBFB8D9-F29D-45F8-A0AA-E42334ABC82C}" name="CGRef"/>
    <tableColumn id="182" xr3:uid="{E6017953-2993-4F00-9733-6A030D66A379}" name="Tariff(%)"/>
    <tableColumn id="183" xr3:uid="{5EBD7590-1883-48D7-95A5-39ADF8EBD74E}" name="Tariff(USD)"/>
    <tableColumn id="184" xr3:uid="{7038357C-E64C-40D0-ACBB-E1AD14E5B6EF}" name="Forw.Ceel"/>
    <tableColumn id="36" xr3:uid="{688AE3D4-19B8-41F8-ACFA-F44C600E08A8}" name="Forw.Carg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A88976-1FA8-4471-B959-2C82344B0DCA}" name="AutoLogisticsREport" displayName="AutoLogisticsREport" ref="A1:T63" tableType="queryTable" totalsRowShown="0">
  <autoFilter ref="A1:T63" xr:uid="{B5A88976-1FA8-4471-B959-2C82344B0DCA}"/>
  <tableColumns count="20">
    <tableColumn id="1" xr3:uid="{A646599B-C7F1-4EF7-B338-0C77BA5A7DBC}" uniqueName="1" name="Com." queryTableFieldId="1" dataDxfId="46"/>
    <tableColumn id="2" xr3:uid="{C246D557-F11F-4E8F-8DDE-4CA8BDF00F02}" uniqueName="2" name="Origin" queryTableFieldId="2" dataDxfId="45"/>
    <tableColumn id="3" xr3:uid="{0EABC162-C419-4A48-A162-C5134136BAC4}" uniqueName="3" name="Grade" queryTableFieldId="3" dataDxfId="44"/>
    <tableColumn id="4" xr3:uid="{FE94C4ED-37A8-414E-8BE8-3C0748B260A3}" uniqueName="4" name="Status" queryTableFieldId="4" dataDxfId="43"/>
    <tableColumn id="5" xr3:uid="{8DB7AC71-68EE-42B5-B699-08C7524A94DC}" uniqueName="5" name="Sale Ctr." queryTableFieldId="5" dataDxfId="42"/>
    <tableColumn id="6" xr3:uid="{E9FA9DDF-C20A-47A5-B5DE-ED93072144A0}" uniqueName="6" name="S.Grade" queryTableFieldId="6" dataDxfId="41"/>
    <tableColumn id="7" xr3:uid="{5269DEA6-5332-4919-A103-AB6AE6837A10}" uniqueName="7" name="Client" queryTableFieldId="7" dataDxfId="40"/>
    <tableColumn id="8" xr3:uid="{B6309078-339E-4E72-A038-2F8DD0F79440}" uniqueName="8" name="Sale date" queryTableFieldId="8"/>
    <tableColumn id="9" xr3:uid="{D2808F3E-CF69-4128-8C12-E4BB584B50B5}" uniqueName="9" name="SMT" queryTableFieldId="9"/>
    <tableColumn id="10" xr3:uid="{E0F18230-6448-4E2B-B15B-8258CEE967D8}" uniqueName="10" name="S.bags" queryTableFieldId="10"/>
    <tableColumn id="11" xr3:uid="{4D294723-FDBC-4345-AEA3-E1C694D1D637}" uniqueName="11" name="S.Term" queryTableFieldId="11" dataDxfId="39"/>
    <tableColumn id="12" xr3:uid="{FD2C5753-FAF8-408E-8F49-6671803C3550}" uniqueName="12" name="S.City" queryTableFieldId="12" dataDxfId="38"/>
    <tableColumn id="13" xr3:uid="{5A083F11-CB8E-48EB-9A35-FD61E1149F10}" uniqueName="13" name="S.Ship/Del Term" queryTableFieldId="13" dataDxfId="37"/>
    <tableColumn id="14" xr3:uid="{844727CF-74D5-49CE-B8F7-F3F34AFAB1BB}" uniqueName="14" name="S.Ship." queryTableFieldId="14" dataDxfId="36"/>
    <tableColumn id="15" xr3:uid="{605C0377-44E6-4452-A92A-61E4E639571E}" uniqueName="15" name="S.Dif" queryTableFieldId="15"/>
    <tableColumn id="16" xr3:uid="{4223265D-EC44-4FE1-815F-4FFFEB9DBB52}" uniqueName="16" name="S.Fob dif" queryTableFieldId="16"/>
    <tableColumn id="17" xr3:uid="{9DFFF4C8-D1DB-4685-902A-F41EC9B74970}" uniqueName="17" name="SoldGrade" queryTableFieldId="17" dataDxfId="35"/>
    <tableColumn id="18" xr3:uid="{F438B9A8-1C13-4D88-84E9-42E7D28431D9}" uniqueName="18" name="sFixDte" queryTableFieldId="18" dataDxfId="34"/>
    <tableColumn id="19" xr3:uid="{2A58B889-D02B-4424-AC5E-C58CB9E327EB}" uniqueName="19" name="S.Cup Profile" queryTableFieldId="19" dataDxfId="33"/>
    <tableColumn id="20" xr3:uid="{69F3FB28-477B-407A-8787-C637C299593D}" uniqueName="20" name="S.strategy" queryTableFieldId="20" dataDxfId="3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C761A4-4D78-4639-877F-9046863FCB90}" name="AutoBaseFile" displayName="AutoBaseFile" ref="A1:BV61" tableType="queryTable" totalsRowShown="0">
  <autoFilter ref="A1:BV61" xr:uid="{40C761A4-4D78-4639-877F-9046863FCB90}"/>
  <tableColumns count="74">
    <tableColumn id="1" xr3:uid="{E65DA669-E2DD-4AD2-83F5-937CC8EB1188}" uniqueName="1" name="Com." queryTableFieldId="1" dataDxfId="31"/>
    <tableColumn id="2" xr3:uid="{0E67FB41-94B6-49FE-B57D-82645EB73D8F}" uniqueName="2" name="Origin" queryTableFieldId="2" dataDxfId="30"/>
    <tableColumn id="3" xr3:uid="{D8F9F7B5-B7F4-4183-9507-2E6AD21ED396}" uniqueName="3" name="Grade" queryTableFieldId="3" dataDxfId="29"/>
    <tableColumn id="4" xr3:uid="{90CA3FA0-640B-407D-8606-AC13F6EA74DC}" uniqueName="4" name="Status" queryTableFieldId="4" dataDxfId="28"/>
    <tableColumn id="5" xr3:uid="{A60C5300-43FB-4703-8ECE-795DEE16E227}" uniqueName="5" name="Sale Ctr." queryTableFieldId="5" dataDxfId="27"/>
    <tableColumn id="6" xr3:uid="{53140A25-5A51-49A9-870D-4C7EBA0DBD30}" uniqueName="6" name="VLOOKUP _x000a_Still Sales Unallocated?" queryTableFieldId="6" dataDxfId="26"/>
    <tableColumn id="7" xr3:uid="{8421CADE-598A-4F2F-AAF4-40DD446819C9}" uniqueName="7" name="VLOOKUP HEDGEABLE" queryTableFieldId="7" dataDxfId="25"/>
    <tableColumn id="8" xr3:uid="{81B21342-C5EC-43D8-903D-426BC9E22A45}" uniqueName="8" name="S.Grade" queryTableFieldId="8" dataDxfId="24"/>
    <tableColumn id="9" xr3:uid="{AF2C60D8-7C6E-42A6-9B18-D557D4CC1BE0}" uniqueName="9" name="Client" queryTableFieldId="9" dataDxfId="23"/>
    <tableColumn id="10" xr3:uid="{29B63FBE-83D4-49CA-A1F1-39745363C272}" uniqueName="10" name="Sale date" queryTableFieldId="10" dataDxfId="22"/>
    <tableColumn id="11" xr3:uid="{C37402C9-0606-4D5A-BF9F-16144671377A}" uniqueName="11" name="SMT" queryTableFieldId="11"/>
    <tableColumn id="12" xr3:uid="{F919DAB1-77C0-49AF-BBD3-19F6A4843ECC}" uniqueName="12" name="S.bags" queryTableFieldId="12"/>
    <tableColumn id="13" xr3:uid="{BC230790-79C3-4B01-BF67-ED7123253FB8}" uniqueName="13" name="S.Term" queryTableFieldId="13" dataDxfId="21"/>
    <tableColumn id="14" xr3:uid="{37B415DD-EAC5-4AF2-B440-ADF4FFB0B71B}" uniqueName="14" name="S.City" queryTableFieldId="14" dataDxfId="20"/>
    <tableColumn id="15" xr3:uid="{08DACC98-D693-493E-8EA6-2495794FA62D}" uniqueName="15" name="S.Ship/Del Term" queryTableFieldId="15" dataDxfId="19"/>
    <tableColumn id="16" xr3:uid="{B2F1BEF8-C50A-4A02-A450-07D719E35C34}" uniqueName="16" name="S.Ship." queryTableFieldId="16"/>
    <tableColumn id="17" xr3:uid="{0892C299-EFC4-4591-8576-8FA56348C33C}" uniqueName="17" name="Date" queryTableFieldId="17" dataDxfId="18"/>
    <tableColumn id="18" xr3:uid="{FCBCA25D-4318-4115-A932-33B8B1233679}" uniqueName="18" name="Date2" queryTableFieldId="18" dataDxfId="17"/>
    <tableColumn id="19" xr3:uid="{DF0C472F-EEF4-409B-AE7C-DCA7FB96FBBD}" uniqueName="19" name="S.Dif" queryTableFieldId="19"/>
    <tableColumn id="20" xr3:uid="{811F3198-83DC-4EC3-8F8A-CF72750CE83C}" uniqueName="20" name="S.Fob dif" queryTableFieldId="20"/>
    <tableColumn id="21" xr3:uid="{BC964237-2494-45A0-B663-05D06D07EDCF}" uniqueName="21" name="SoldGrade" queryTableFieldId="21" dataDxfId="16"/>
    <tableColumn id="22" xr3:uid="{58FA4B31-1CB3-4D54-B1D0-5F257359DB7F}" uniqueName="22" name="sFixDte" queryTableFieldId="22" dataDxfId="15"/>
    <tableColumn id="23" xr3:uid="{DE393259-731E-4931-9D45-EEB4306E18A5}" uniqueName="23" name="S.Cup Profile" queryTableFieldId="23" dataDxfId="14"/>
    <tableColumn id="24" xr3:uid="{1E487448-7E9E-4200-91C0-66ED030C6C0E}" uniqueName="24" name="S.strategy" queryTableFieldId="24"/>
    <tableColumn id="25" xr3:uid="{9180EB65-82E0-4CB2-AA6C-F69C2ACE2B7B}" uniqueName="25" name="Blend No. " queryTableFieldId="25"/>
    <tableColumn id="26" xr3:uid="{E8BE46AA-83E4-4E9B-8EE6-B8F06F78D5F5}" uniqueName="26" name="FINISHED" queryTableFieldId="26"/>
    <tableColumn id="27" xr3:uid="{627C4D6C-1858-4A76-A6F7-6D08FCF27CF7}" uniqueName="27" name="POST NATURAL" queryTableFieldId="27"/>
    <tableColumn id="28" xr3:uid="{C336F175-3833-4CA3-B20E-FCDB43ADA9D9}" uniqueName="28" name="POST 17 UP TOP" queryTableFieldId="28"/>
    <tableColumn id="29" xr3:uid="{B6C85CF0-EE23-4055-98AC-519C2121794E}" uniqueName="29" name="POST 16 TOP" queryTableFieldId="29"/>
    <tableColumn id="30" xr3:uid="{418599A0-B34E-48C8-8C63-F9A2D41C02EA}" uniqueName="30" name="POST 15 - TOP" queryTableFieldId="30"/>
    <tableColumn id="31" xr3:uid="{4F3E0D8F-49E2-465E-AD27-984F1A368503}" uniqueName="31" name="POST PB TOP" queryTableFieldId="31"/>
    <tableColumn id="32" xr3:uid="{467E6517-C7DA-4DD6-8B90-59D15E200F29}" uniqueName="32" name="POST 17 UP PLUS" queryTableFieldId="32"/>
    <tableColumn id="33" xr3:uid="{2A1D4579-5F84-422C-B916-C0631E97E55D}" uniqueName="33" name="POST 16 PLUS" queryTableFieldId="33"/>
    <tableColumn id="34" xr3:uid="{119C20E2-67EF-4746-BD52-34AC1D8028E1}" uniqueName="34" name="POST 15 PLUS" queryTableFieldId="34"/>
    <tableColumn id="35" xr3:uid="{09D9B2D0-D366-4FE5-9A36-D6AD207CECC2}" uniqueName="35" name="POST 14 PLUS" queryTableFieldId="35"/>
    <tableColumn id="36" xr3:uid="{C5098306-47A7-4139-A2BF-D06FB5236350}" uniqueName="36" name="POST PB - PLUS" queryTableFieldId="36"/>
    <tableColumn id="37" xr3:uid="{5FCECC61-B1B0-4FE7-BEB6-E3F1DD665A03}" uniqueName="37" name="POST 17 UP FAQ" queryTableFieldId="37"/>
    <tableColumn id="38" xr3:uid="{B99DDD81-F2DD-452F-8E76-6BF657DB5D58}" uniqueName="38" name="POST 16 FAQ" queryTableFieldId="38"/>
    <tableColumn id="39" xr3:uid="{76E76DA4-528A-4AF3-9859-2F20A9E253E9}" uniqueName="39" name="POST 15 FAQ" queryTableFieldId="39"/>
    <tableColumn id="40" xr3:uid="{50FB60C4-69D1-425B-9514-D217F83FD449}" uniqueName="40" name="POST 14 FAQ" queryTableFieldId="40"/>
    <tableColumn id="41" xr3:uid="{6E52C53F-21C3-44BD-A62E-ACD107E89983}" uniqueName="41" name="POST PB - FAQ" queryTableFieldId="41"/>
    <tableColumn id="42" xr3:uid="{EF84B64C-DB9A-4A32-AC5D-FBD8AD92D8A3}" uniqueName="42" name="POST FAQ MINUS" queryTableFieldId="42"/>
    <tableColumn id="43" xr3:uid="{78AFC4B1-214D-4D0B-8649-6E43E05021CB}" uniqueName="43" name="POST GRINDER BOLD" queryTableFieldId="43"/>
    <tableColumn id="44" xr3:uid="{6C53F29A-83C8-49AD-9966-A086BD7696B2}" uniqueName="44" name="POST GRINDER LIGHT" queryTableFieldId="44"/>
    <tableColumn id="45" xr3:uid="{E0D7DCEA-9122-4F2A-9DDC-E5C7C16814C4}" uniqueName="45" name="POST MH" queryTableFieldId="45"/>
    <tableColumn id="46" xr3:uid="{2E0549C7-9653-468A-9984-7A4DCCF3917B}" uniqueName="46" name="POST ML" queryTableFieldId="46"/>
    <tableColumn id="47" xr3:uid="{BD6D6849-B922-425C-9EE8-1E83D1789FA9}" uniqueName="47" name="POST REJECTS S" queryTableFieldId="47"/>
    <tableColumn id="48" xr3:uid="{35873637-4669-427F-8723-81A1B7933AB9}" uniqueName="48" name="POST REJECTS P" queryTableFieldId="48"/>
    <tableColumn id="49" xr3:uid="{2ABE7C7B-8664-4DDD-A9E8-2CAEF81C4B9C}" uniqueName="49" name="FINISHED2" queryTableFieldId="49"/>
    <tableColumn id="50" xr3:uid="{BAFFA776-78C3-41C3-84A7-E13215BD77E8}" uniqueName="50" name="POST NATURAL3" queryTableFieldId="50"/>
    <tableColumn id="51" xr3:uid="{2A1487DB-B76A-4365-BB2E-26CC7340DE17}" uniqueName="51" name="POST 17 UP TOP4" queryTableFieldId="51"/>
    <tableColumn id="52" xr3:uid="{A8F3583D-5BD1-4EAE-95B8-3581E71C318D}" uniqueName="52" name="POST 16 TOP5" queryTableFieldId="52"/>
    <tableColumn id="53" xr3:uid="{CC865532-34BF-475F-A70D-9E1FA3D5DA51}" uniqueName="53" name="POST 15 TOP" queryTableFieldId="53"/>
    <tableColumn id="54" xr3:uid="{DF886571-10C4-4C79-9A75-B1D9E0A26BC2}" uniqueName="54" name="POST PB - TOP" queryTableFieldId="54"/>
    <tableColumn id="55" xr3:uid="{C4FF1625-C0BE-4A82-8B7F-9C55A37866C7}" uniqueName="55" name="POST 17 UP PLUS6" queryTableFieldId="55"/>
    <tableColumn id="56" xr3:uid="{10E82E88-85AB-4569-A06C-C1CC5F494176}" uniqueName="56" name="POST 16 PLUS7" queryTableFieldId="56"/>
    <tableColumn id="57" xr3:uid="{1BD4C919-7239-49A0-A243-693AE6E22DC8}" uniqueName="57" name="POST 15 PLUS8" queryTableFieldId="57"/>
    <tableColumn id="58" xr3:uid="{13049342-4959-4B62-A128-6BEDB968A62B}" uniqueName="58" name="POST 14 PLUS9" queryTableFieldId="58"/>
    <tableColumn id="59" xr3:uid="{67202B64-348C-41A5-9BF8-22E723FBACC0}" uniqueName="59" name="POST PB - PLUS10" queryTableFieldId="59"/>
    <tableColumn id="60" xr3:uid="{089521A5-E440-4799-AE8F-6FBC65555C55}" uniqueName="60" name="POST 17 UP FAQ11" queryTableFieldId="60"/>
    <tableColumn id="61" xr3:uid="{752BEF44-D872-4D18-AF65-76C5917837EF}" uniqueName="61" name="POST 16 FAQ12" queryTableFieldId="61"/>
    <tableColumn id="62" xr3:uid="{EB029E52-11BA-46D3-B587-6D799C520714}" uniqueName="62" name="POST 15 FAQ13" queryTableFieldId="62"/>
    <tableColumn id="63" xr3:uid="{A6F55369-1DBF-4B0E-840A-6F0C716532CB}" uniqueName="63" name="POST 14 FAQ14" queryTableFieldId="63"/>
    <tableColumn id="64" xr3:uid="{7FF3CE32-CC30-4544-A60F-AD9DF70F3109}" uniqueName="64" name="POST PB - FAQ15" queryTableFieldId="64"/>
    <tableColumn id="65" xr3:uid="{50DB4A31-4581-4952-BC1B-336348E6A88F}" uniqueName="65" name="POST FAQ MINUS16" queryTableFieldId="65"/>
    <tableColumn id="66" xr3:uid="{255211F3-9230-4CF7-85F0-C1272301F1FD}" uniqueName="66" name="POST GRINDER BOLD17" queryTableFieldId="66"/>
    <tableColumn id="67" xr3:uid="{DE5AEE99-CC36-437A-ADAB-A5014C2E3CC1}" uniqueName="67" name="POST GRINDER LIGHT18" queryTableFieldId="67"/>
    <tableColumn id="68" xr3:uid="{461377BB-A456-410E-BF9B-1CFD2323C606}" uniqueName="68" name="POST MH19" queryTableFieldId="68"/>
    <tableColumn id="69" xr3:uid="{4F134730-236C-4D66-B134-757CAC3C33A3}" uniqueName="69" name="POST ML20" queryTableFieldId="69"/>
    <tableColumn id="70" xr3:uid="{57CFF37D-37E6-40FF-9D4D-F9430296BC13}" uniqueName="70" name="POST REJECTS S21" queryTableFieldId="70"/>
    <tableColumn id="71" xr3:uid="{B48B4016-AA16-43A0-93D1-3153789A1909}" uniqueName="71" name="POST REJECTS P22" queryTableFieldId="71"/>
    <tableColumn id="72" xr3:uid="{EB066226-E153-4306-B6CE-151A6EE423D8}" uniqueName="72" name="Check" queryTableFieldId="72"/>
    <tableColumn id="73" xr3:uid="{22B81A45-470A-495B-87E2-D8CE8438A0C7}" uniqueName="73" name="Check 3" queryTableFieldId="73"/>
    <tableColumn id="74" xr3:uid="{104735FC-8584-440B-AF82-2CB5C82881F1}" uniqueName="74" name="Check 2" queryTableFieldId="7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30" dT="2026-05-08T08:18:19.16" personId="{C75B2035-7F64-4B20-8C4E-BCD100F35CAE}" id="{2A3AD216-2FC3-4657-97D9-DD620EAF34DC}">
    <text xml:space="preserve">We need to account for all bags.
I think maybe some of the ‘routes’ being cancelled mean they don’t reach ‘post’ in your model? @Brillian Cherono </text>
    <mentions>
      <mention mentionpersonId="{2706855E-B63A-406F-9CAA-3A75545CFEDD}" mentionId="{6B64172C-EC9F-491B-968D-FA1B0383FF6A}" startIndex="128" length="17"/>
    </mentions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C42BE-C0CE-4310-8F9D-8FCFFC919BE5}">
  <dimension ref="A1:A31"/>
  <sheetViews>
    <sheetView workbookViewId="0">
      <selection activeCell="A24" sqref="A24"/>
    </sheetView>
  </sheetViews>
  <sheetFormatPr defaultRowHeight="15" x14ac:dyDescent="0.25"/>
  <cols>
    <col min="1" max="1" width="243" bestFit="1" customWidth="1"/>
  </cols>
  <sheetData>
    <row r="1" spans="1:1" x14ac:dyDescent="0.25">
      <c r="A1" s="159" t="s">
        <v>0</v>
      </c>
    </row>
    <row r="3" spans="1:1" x14ac:dyDescent="0.25">
      <c r="A3" s="37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7" spans="1:1" x14ac:dyDescent="0.25">
      <c r="A7" t="s">
        <v>5</v>
      </c>
    </row>
    <row r="8" spans="1:1" x14ac:dyDescent="0.25">
      <c r="A8" t="s">
        <v>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6" spans="1:1" x14ac:dyDescent="0.25">
      <c r="A16" s="37" t="s">
        <v>12</v>
      </c>
    </row>
    <row r="17" spans="1:1" x14ac:dyDescent="0.25">
      <c r="A17" t="s">
        <v>13</v>
      </c>
    </row>
    <row r="18" spans="1:1" x14ac:dyDescent="0.25">
      <c r="A18" t="s">
        <v>14</v>
      </c>
    </row>
    <row r="19" spans="1:1" x14ac:dyDescent="0.25">
      <c r="A19" t="s">
        <v>15</v>
      </c>
    </row>
    <row r="20" spans="1:1" x14ac:dyDescent="0.25">
      <c r="A20" t="s">
        <v>16</v>
      </c>
    </row>
    <row r="21" spans="1:1" x14ac:dyDescent="0.25">
      <c r="A21" t="s">
        <v>17</v>
      </c>
    </row>
    <row r="23" spans="1:1" x14ac:dyDescent="0.25">
      <c r="A23" s="37" t="s">
        <v>18</v>
      </c>
    </row>
    <row r="24" spans="1:1" x14ac:dyDescent="0.25">
      <c r="A24" t="s">
        <v>19</v>
      </c>
    </row>
    <row r="25" spans="1:1" x14ac:dyDescent="0.25">
      <c r="A25" t="s">
        <v>20</v>
      </c>
    </row>
    <row r="26" spans="1:1" x14ac:dyDescent="0.25">
      <c r="A26" t="s">
        <v>21</v>
      </c>
    </row>
    <row r="27" spans="1:1" x14ac:dyDescent="0.25">
      <c r="A27" t="s">
        <v>22</v>
      </c>
    </row>
    <row r="29" spans="1:1" x14ac:dyDescent="0.25">
      <c r="A29" s="37" t="s">
        <v>23</v>
      </c>
    </row>
    <row r="30" spans="1:1" x14ac:dyDescent="0.25">
      <c r="A30" t="s">
        <v>24</v>
      </c>
    </row>
    <row r="31" spans="1:1" x14ac:dyDescent="0.25">
      <c r="A31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E63"/>
  <sheetViews>
    <sheetView topLeftCell="A38" zoomScaleNormal="100" zoomScaleSheetLayoutView="50" workbookViewId="0">
      <selection activeCell="L53" sqref="L53:L56"/>
    </sheetView>
  </sheetViews>
  <sheetFormatPr defaultRowHeight="15" customHeight="1" outlineLevelCol="1" x14ac:dyDescent="0.25"/>
  <cols>
    <col min="1" max="1" width="8.140625" customWidth="1"/>
    <col min="2" max="2" width="31.7109375" customWidth="1"/>
    <col min="3" max="3" width="12.28515625" customWidth="1"/>
    <col min="4" max="4" width="9.5703125" customWidth="1"/>
    <col min="5" max="6" width="8.140625" hidden="1" customWidth="1" outlineLevel="1"/>
    <col min="7" max="8" width="10" hidden="1" customWidth="1" outlineLevel="1"/>
    <col min="9" max="9" width="11" customWidth="1" collapsed="1"/>
    <col min="10" max="10" width="10.7109375" customWidth="1"/>
    <col min="11" max="11" width="10.85546875" customWidth="1"/>
    <col min="12" max="12" width="10" customWidth="1"/>
    <col min="13" max="13" width="10.85546875" customWidth="1"/>
    <col min="14" max="16" width="10.42578125" customWidth="1"/>
    <col min="17" max="17" width="14.140625" bestFit="1" customWidth="1"/>
    <col min="18" max="18" width="12.85546875" customWidth="1"/>
    <col min="19" max="19" width="15.7109375" customWidth="1"/>
    <col min="20" max="20" width="19" customWidth="1"/>
    <col min="21" max="21" width="20" customWidth="1"/>
    <col min="22" max="22" width="10.42578125" customWidth="1"/>
    <col min="23" max="23" width="10" customWidth="1"/>
    <col min="24" max="24" width="13.85546875" bestFit="1" customWidth="1"/>
    <col min="25" max="25" width="21.28515625" customWidth="1"/>
    <col min="26" max="26" width="13.42578125" customWidth="1"/>
    <col min="27" max="27" width="10.42578125" customWidth="1"/>
    <col min="32" max="32" width="22.140625" bestFit="1" customWidth="1"/>
  </cols>
  <sheetData>
    <row r="1" spans="2:31" x14ac:dyDescent="0.25">
      <c r="B1" s="19" t="s">
        <v>26</v>
      </c>
      <c r="C1" t="s">
        <v>27</v>
      </c>
      <c r="Q1" t="s">
        <v>27</v>
      </c>
      <c r="R1" t="s">
        <v>27</v>
      </c>
    </row>
    <row r="2" spans="2:31" s="26" customFormat="1" ht="27.75" customHeight="1" x14ac:dyDescent="0.25">
      <c r="B2" s="13" t="s">
        <v>28</v>
      </c>
      <c r="C2" s="8" t="s">
        <v>29</v>
      </c>
      <c r="D2" s="162" t="s">
        <v>30</v>
      </c>
      <c r="E2" s="74" t="str">
        <f>'Forward Sales'!D3</f>
        <v>2025/12</v>
      </c>
      <c r="F2" s="74" t="str">
        <f>'Forward Sales'!E3</f>
        <v>2026/01</v>
      </c>
      <c r="G2" s="74" t="str">
        <f>'Forward Sales'!F3</f>
        <v>2026/02</v>
      </c>
      <c r="H2" s="74" t="str">
        <f>'Forward Sales'!G3</f>
        <v>2026/03</v>
      </c>
      <c r="I2" s="74" t="str">
        <f>'Forward Sales'!H3</f>
        <v>2026/04</v>
      </c>
      <c r="J2" s="74" t="str">
        <f>'Forward Sales'!I3</f>
        <v>2026/05</v>
      </c>
      <c r="K2" s="74" t="str">
        <f>'Forward Sales'!J3</f>
        <v>2026/06</v>
      </c>
      <c r="L2" s="74" t="str">
        <f>'Forward Sales'!K3</f>
        <v>2026/07</v>
      </c>
      <c r="M2" s="74" t="str">
        <f>'Forward Sales'!L3</f>
        <v>2026/08</v>
      </c>
      <c r="N2" s="74" t="str">
        <f>'Forward Sales'!M3</f>
        <v>2026/09</v>
      </c>
      <c r="O2" s="74" t="str">
        <f>'Forward Sales'!N3</f>
        <v>2026/10</v>
      </c>
      <c r="P2" s="74" t="str">
        <f>'Forward Sales'!O3</f>
        <v>2026/11</v>
      </c>
      <c r="Q2" s="8" t="s">
        <v>31</v>
      </c>
      <c r="R2" s="8" t="s">
        <v>32</v>
      </c>
      <c r="S2" s="164" t="s">
        <v>33</v>
      </c>
      <c r="T2" s="164" t="s">
        <v>1317</v>
      </c>
      <c r="U2" s="217" t="s">
        <v>34</v>
      </c>
      <c r="V2" s="218"/>
      <c r="W2" s="219"/>
      <c r="X2"/>
      <c r="Y2" s="115" t="s">
        <v>35</v>
      </c>
      <c r="Z2" s="123" t="s">
        <v>36</v>
      </c>
      <c r="AA2"/>
      <c r="AB2"/>
      <c r="AC2"/>
      <c r="AD2"/>
    </row>
    <row r="3" spans="2:31" x14ac:dyDescent="0.25">
      <c r="B3" s="101" t="s">
        <v>37</v>
      </c>
      <c r="C3" s="104">
        <f>+Stocks!E3</f>
        <v>5783.01</v>
      </c>
      <c r="D3" s="160"/>
      <c r="E3" s="75">
        <f>+'Forward Sales'!D4</f>
        <v>0</v>
      </c>
      <c r="F3" s="75">
        <f>+'Forward Sales'!E4</f>
        <v>0</v>
      </c>
      <c r="G3" s="75">
        <f>+'Forward Sales'!F4</f>
        <v>0</v>
      </c>
      <c r="H3" s="75">
        <f>+'Forward Sales'!G4</f>
        <v>0</v>
      </c>
      <c r="I3" s="75">
        <f>+'Forward Sales'!H4</f>
        <v>0</v>
      </c>
      <c r="J3" s="75">
        <f>+'Forward Sales'!I4</f>
        <v>0</v>
      </c>
      <c r="K3" s="75">
        <f>+'Forward Sales'!J4</f>
        <v>-2749.5</v>
      </c>
      <c r="L3" s="75">
        <f>+'Forward Sales'!K4</f>
        <v>-320</v>
      </c>
      <c r="M3" s="75">
        <f>+'Forward Sales'!L4</f>
        <v>0</v>
      </c>
      <c r="N3" s="75">
        <f>+'Forward Sales'!M4</f>
        <v>0</v>
      </c>
      <c r="O3" s="75">
        <f>+'Forward Sales'!N4</f>
        <v>0</v>
      </c>
      <c r="P3" s="75">
        <f>+'Forward Sales'!O4</f>
        <v>0</v>
      </c>
      <c r="Q3" s="32">
        <f t="shared" ref="Q3:Q25" si="0">+SUM(E3:N3)</f>
        <v>-3069.5</v>
      </c>
      <c r="R3" s="15">
        <f t="shared" ref="R3:R25" si="1">+C3+Q3</f>
        <v>2713.51</v>
      </c>
      <c r="T3">
        <f>2160+220+100</f>
        <v>2480</v>
      </c>
      <c r="U3" s="33" t="s">
        <v>38</v>
      </c>
      <c r="V3" s="33" t="s">
        <v>36</v>
      </c>
      <c r="W3" s="33" t="s">
        <v>39</v>
      </c>
      <c r="Y3" s="124" t="s">
        <v>40</v>
      </c>
      <c r="Z3" s="125">
        <f>'[1]AAA Cert Position'!$B$5</f>
        <v>649.61027777777781</v>
      </c>
    </row>
    <row r="4" spans="2:31" x14ac:dyDescent="0.25">
      <c r="B4" s="102" t="s">
        <v>41</v>
      </c>
      <c r="C4" s="104">
        <f>+Stocks!E4</f>
        <v>3158.01</v>
      </c>
      <c r="D4" s="160"/>
      <c r="E4" s="75">
        <f>+'Forward Sales'!D5</f>
        <v>0</v>
      </c>
      <c r="F4" s="75">
        <f>+'Forward Sales'!E5</f>
        <v>0</v>
      </c>
      <c r="G4" s="75">
        <f>+'Forward Sales'!F5</f>
        <v>0</v>
      </c>
      <c r="H4" s="75">
        <f>+'Forward Sales'!G5</f>
        <v>-4</v>
      </c>
      <c r="I4" s="75">
        <f>+'Forward Sales'!H5</f>
        <v>0</v>
      </c>
      <c r="J4" s="75">
        <f>+'Forward Sales'!I5</f>
        <v>0</v>
      </c>
      <c r="K4" s="75">
        <f>+'Forward Sales'!J5</f>
        <v>-370</v>
      </c>
      <c r="L4" s="75">
        <f>+'Forward Sales'!K5</f>
        <v>-2880</v>
      </c>
      <c r="M4" s="75">
        <f>+'Forward Sales'!L5</f>
        <v>-320</v>
      </c>
      <c r="N4" s="75">
        <f>+'Forward Sales'!M5</f>
        <v>0</v>
      </c>
      <c r="O4" s="75">
        <f>+'Forward Sales'!N5</f>
        <v>0</v>
      </c>
      <c r="P4" s="75">
        <f>+'Forward Sales'!O5</f>
        <v>0</v>
      </c>
      <c r="Q4" s="32">
        <f t="shared" si="0"/>
        <v>-3574</v>
      </c>
      <c r="R4" s="16">
        <f t="shared" si="1"/>
        <v>-415.98999999999978</v>
      </c>
      <c r="U4" s="18" t="s">
        <v>42</v>
      </c>
      <c r="V4" s="110">
        <f>+R5+R6+R7+R8</f>
        <v>-1475.77</v>
      </c>
      <c r="W4" s="111">
        <f t="shared" ref="W4:W10" si="2">+V4*0.06</f>
        <v>-88.546199999999999</v>
      </c>
      <c r="Y4" s="124" t="s">
        <v>43</v>
      </c>
      <c r="Z4" s="125">
        <f>'[2]NET POSITION'!$C$8</f>
        <v>-3406.4333333333334</v>
      </c>
    </row>
    <row r="5" spans="2:31" x14ac:dyDescent="0.25">
      <c r="B5" s="102" t="s">
        <v>44</v>
      </c>
      <c r="C5" s="104">
        <f>+Stocks!E5</f>
        <v>2752.19</v>
      </c>
      <c r="D5" s="160">
        <v>1200</v>
      </c>
      <c r="E5" s="75">
        <f>+'Forward Sales'!D6</f>
        <v>0</v>
      </c>
      <c r="F5" s="75">
        <f>+'Forward Sales'!E6</f>
        <v>0</v>
      </c>
      <c r="G5" s="75">
        <f>+'Forward Sales'!F6</f>
        <v>0</v>
      </c>
      <c r="H5" s="75">
        <f>+'Forward Sales'!G6</f>
        <v>0</v>
      </c>
      <c r="I5" s="75">
        <f>+'Forward Sales'!H6</f>
        <v>0</v>
      </c>
      <c r="J5" s="75">
        <f>+'Forward Sales'!I6</f>
        <v>0</v>
      </c>
      <c r="K5" s="75">
        <f>+'Forward Sales'!J6</f>
        <v>-480</v>
      </c>
      <c r="L5" s="75">
        <f>+'Forward Sales'!K6</f>
        <v>-560</v>
      </c>
      <c r="M5" s="75">
        <f>+'Forward Sales'!L6</f>
        <v>-1360</v>
      </c>
      <c r="N5" s="75">
        <f>+'Forward Sales'!M6</f>
        <v>0</v>
      </c>
      <c r="O5" s="75">
        <f>+'Forward Sales'!N6</f>
        <v>0</v>
      </c>
      <c r="P5" s="75">
        <f>+'Forward Sales'!O6</f>
        <v>0</v>
      </c>
      <c r="Q5" s="105">
        <f t="shared" si="0"/>
        <v>-2400</v>
      </c>
      <c r="R5" s="106">
        <f t="shared" si="1"/>
        <v>352.19000000000005</v>
      </c>
      <c r="S5" s="39">
        <f>R5+D5</f>
        <v>1552.19</v>
      </c>
      <c r="T5" s="39"/>
      <c r="U5" s="18" t="s">
        <v>45</v>
      </c>
      <c r="V5" s="110">
        <f>+R9+R10+R11+R12+R13</f>
        <v>2006.9800000000005</v>
      </c>
      <c r="W5" s="111">
        <f t="shared" si="2"/>
        <v>120.41880000000002</v>
      </c>
      <c r="Y5" s="126" t="s">
        <v>46</v>
      </c>
      <c r="Z5" s="127">
        <f>'[3]CP-Purchases'!$B$4</f>
        <v>-1666.6666666666665</v>
      </c>
    </row>
    <row r="6" spans="2:31" x14ac:dyDescent="0.25">
      <c r="B6" s="101" t="s">
        <v>47</v>
      </c>
      <c r="C6" s="104">
        <f>+Stocks!E6</f>
        <v>122.57</v>
      </c>
      <c r="D6" s="160"/>
      <c r="E6" s="75">
        <f>+'Forward Sales'!D7</f>
        <v>0</v>
      </c>
      <c r="F6" s="75">
        <f>+'Forward Sales'!E7</f>
        <v>0</v>
      </c>
      <c r="G6" s="75">
        <f>+'Forward Sales'!F7</f>
        <v>0</v>
      </c>
      <c r="H6" s="75">
        <f>+'Forward Sales'!G7</f>
        <v>0</v>
      </c>
      <c r="I6" s="75">
        <f>+'Forward Sales'!H7</f>
        <v>0</v>
      </c>
      <c r="J6" s="75">
        <f>+'Forward Sales'!I7</f>
        <v>0</v>
      </c>
      <c r="K6" s="75">
        <f>+'Forward Sales'!J7</f>
        <v>0</v>
      </c>
      <c r="L6" s="75">
        <f>+'Forward Sales'!K7</f>
        <v>-594</v>
      </c>
      <c r="M6" s="75">
        <f>+'Forward Sales'!L7</f>
        <v>-712.8</v>
      </c>
      <c r="N6" s="75">
        <f>+'Forward Sales'!M7</f>
        <v>-712.8</v>
      </c>
      <c r="O6" s="75">
        <f>+'Forward Sales'!N7</f>
        <v>-712.8</v>
      </c>
      <c r="P6" s="75">
        <f>+'Forward Sales'!O7</f>
        <v>-475.20000000000005</v>
      </c>
      <c r="Q6" s="105">
        <f t="shared" si="0"/>
        <v>-2019.6</v>
      </c>
      <c r="R6" s="16">
        <f t="shared" si="1"/>
        <v>-1897.03</v>
      </c>
      <c r="S6" s="39">
        <f>R6+D6</f>
        <v>-1897.03</v>
      </c>
      <c r="T6" s="39"/>
      <c r="U6" s="18" t="s">
        <v>48</v>
      </c>
      <c r="V6" s="110">
        <f>R14</f>
        <v>-1053.8100000000004</v>
      </c>
      <c r="W6" s="111">
        <f t="shared" si="2"/>
        <v>-63.228600000000021</v>
      </c>
      <c r="Y6" s="117" t="s">
        <v>49</v>
      </c>
      <c r="Z6" s="118"/>
    </row>
    <row r="7" spans="2:31" x14ac:dyDescent="0.25">
      <c r="B7" s="101" t="s">
        <v>50</v>
      </c>
      <c r="C7" s="104">
        <f>+Stocks!E7</f>
        <v>69.069999999999993</v>
      </c>
      <c r="D7" s="160"/>
      <c r="E7" s="75">
        <f>+'Forward Sales'!D8</f>
        <v>0</v>
      </c>
      <c r="F7" s="75">
        <f>+'Forward Sales'!E8</f>
        <v>0</v>
      </c>
      <c r="G7" s="75">
        <f>+'Forward Sales'!F8</f>
        <v>0</v>
      </c>
      <c r="H7" s="75">
        <f>+'Forward Sales'!G8</f>
        <v>0</v>
      </c>
      <c r="I7" s="75">
        <f>+'Forward Sales'!H8</f>
        <v>0</v>
      </c>
      <c r="J7" s="75">
        <f>+'Forward Sales'!I8</f>
        <v>0</v>
      </c>
      <c r="K7" s="75">
        <f>+'Forward Sales'!J8</f>
        <v>0</v>
      </c>
      <c r="L7" s="75">
        <f>+'Forward Sales'!K8</f>
        <v>0</v>
      </c>
      <c r="M7" s="75">
        <f>+'Forward Sales'!L8</f>
        <v>0</v>
      </c>
      <c r="N7" s="75">
        <f>+'Forward Sales'!M8</f>
        <v>0</v>
      </c>
      <c r="O7" s="75">
        <f>+'Forward Sales'!N8</f>
        <v>0</v>
      </c>
      <c r="P7" s="75">
        <f>+'Forward Sales'!O8</f>
        <v>0</v>
      </c>
      <c r="Q7" s="105">
        <f t="shared" si="0"/>
        <v>0</v>
      </c>
      <c r="R7" s="16">
        <f t="shared" si="1"/>
        <v>69.069999999999993</v>
      </c>
      <c r="S7" s="39"/>
      <c r="T7" s="39"/>
      <c r="U7" s="18" t="s">
        <v>51</v>
      </c>
      <c r="V7" s="86">
        <f>R15+0.5*R16</f>
        <v>-3749.92</v>
      </c>
      <c r="W7" s="111">
        <f t="shared" si="2"/>
        <v>-224.99519999999998</v>
      </c>
      <c r="Z7" s="14"/>
      <c r="AE7" s="82"/>
    </row>
    <row r="8" spans="2:31" x14ac:dyDescent="0.25">
      <c r="B8" s="96" t="s">
        <v>52</v>
      </c>
      <c r="C8" s="104">
        <f>+Stocks!E8</f>
        <v>0</v>
      </c>
      <c r="D8" s="160"/>
      <c r="E8" s="75">
        <f>+'Forward Sales'!D9</f>
        <v>0</v>
      </c>
      <c r="F8" s="75">
        <f>+'Forward Sales'!E9</f>
        <v>0</v>
      </c>
      <c r="G8" s="75">
        <f>+'Forward Sales'!F9</f>
        <v>0</v>
      </c>
      <c r="H8" s="75">
        <f>+'Forward Sales'!G9</f>
        <v>0</v>
      </c>
      <c r="I8" s="75">
        <f>+'Forward Sales'!H9</f>
        <v>0</v>
      </c>
      <c r="J8" s="75">
        <f>+'Forward Sales'!I9</f>
        <v>0</v>
      </c>
      <c r="K8" s="75">
        <f>+'Forward Sales'!J9</f>
        <v>0</v>
      </c>
      <c r="L8" s="75">
        <f>+'Forward Sales'!K9</f>
        <v>0</v>
      </c>
      <c r="M8" s="75">
        <f>+'Forward Sales'!L9</f>
        <v>0</v>
      </c>
      <c r="N8" s="75">
        <f>+'Forward Sales'!M9</f>
        <v>0</v>
      </c>
      <c r="O8" s="75">
        <f>+'Forward Sales'!N9</f>
        <v>0</v>
      </c>
      <c r="P8" s="75">
        <f>+'Forward Sales'!O9</f>
        <v>0</v>
      </c>
      <c r="Q8" s="105">
        <f t="shared" si="0"/>
        <v>0</v>
      </c>
      <c r="R8" s="16">
        <f t="shared" si="1"/>
        <v>0</v>
      </c>
      <c r="S8" s="39">
        <f t="shared" ref="S8" si="3">R8+D8</f>
        <v>0</v>
      </c>
      <c r="T8" s="39"/>
      <c r="U8" s="18" t="s">
        <v>53</v>
      </c>
      <c r="V8" s="86">
        <f>0.5*R16+R17</f>
        <v>1574.62</v>
      </c>
      <c r="W8" s="111">
        <f t="shared" si="2"/>
        <v>94.477199999999996</v>
      </c>
      <c r="Y8" s="14"/>
      <c r="Z8" s="14"/>
      <c r="AE8" s="82"/>
    </row>
    <row r="9" spans="2:31" x14ac:dyDescent="0.25">
      <c r="B9" s="101" t="s">
        <v>54</v>
      </c>
      <c r="C9" s="104">
        <f>+Stocks!E9</f>
        <v>5308.88</v>
      </c>
      <c r="D9" s="160"/>
      <c r="E9" s="75">
        <f>+'Forward Sales'!D10</f>
        <v>0</v>
      </c>
      <c r="F9" s="75">
        <f>+'Forward Sales'!E10</f>
        <v>0</v>
      </c>
      <c r="G9" s="75">
        <f>+'Forward Sales'!F10</f>
        <v>0</v>
      </c>
      <c r="H9" s="75">
        <f>+'Forward Sales'!G10</f>
        <v>0</v>
      </c>
      <c r="I9" s="75">
        <f>+'Forward Sales'!H10</f>
        <v>0</v>
      </c>
      <c r="J9" s="75">
        <f>+'Forward Sales'!I10</f>
        <v>0</v>
      </c>
      <c r="K9" s="75">
        <f>+'Forward Sales'!J10</f>
        <v>-224</v>
      </c>
      <c r="L9" s="75">
        <f>+'Forward Sales'!K10</f>
        <v>-910</v>
      </c>
      <c r="M9" s="75">
        <f>+'Forward Sales'!L10</f>
        <v>-1831.1999999999998</v>
      </c>
      <c r="N9" s="75">
        <f>+'Forward Sales'!M10</f>
        <v>-151.20000000000002</v>
      </c>
      <c r="O9" s="75">
        <f>+'Forward Sales'!N10</f>
        <v>-151.20000000000002</v>
      </c>
      <c r="P9" s="75">
        <f>+'Forward Sales'!O10</f>
        <v>-100.80000000000001</v>
      </c>
      <c r="Q9" s="105">
        <f t="shared" si="0"/>
        <v>-3116.3999999999996</v>
      </c>
      <c r="R9" s="106">
        <f t="shared" si="1"/>
        <v>2192.4800000000005</v>
      </c>
      <c r="U9" s="18" t="s">
        <v>55</v>
      </c>
      <c r="V9" s="110">
        <f>R19</f>
        <v>-3647.28</v>
      </c>
      <c r="W9" s="111">
        <f t="shared" si="2"/>
        <v>-218.83680000000001</v>
      </c>
      <c r="AE9" s="82"/>
    </row>
    <row r="10" spans="2:31" x14ac:dyDescent="0.25">
      <c r="B10" s="101" t="s">
        <v>56</v>
      </c>
      <c r="C10" s="104">
        <f>+Stocks!E10</f>
        <v>1056.3699999999999</v>
      </c>
      <c r="D10" s="160"/>
      <c r="E10" s="75">
        <f>+'Forward Sales'!D11</f>
        <v>0</v>
      </c>
      <c r="F10" s="75">
        <f>+'Forward Sales'!E11</f>
        <v>0</v>
      </c>
      <c r="G10" s="75">
        <f>+'Forward Sales'!F11</f>
        <v>0</v>
      </c>
      <c r="H10" s="75">
        <f>+'Forward Sales'!G11</f>
        <v>0</v>
      </c>
      <c r="I10" s="75">
        <f>+'Forward Sales'!H11</f>
        <v>0</v>
      </c>
      <c r="J10" s="75">
        <f>+'Forward Sales'!I11</f>
        <v>0</v>
      </c>
      <c r="K10" s="75">
        <f>+'Forward Sales'!J11</f>
        <v>0</v>
      </c>
      <c r="L10" s="75">
        <f>+'Forward Sales'!K11</f>
        <v>-360</v>
      </c>
      <c r="M10" s="75">
        <f>+'Forward Sales'!L11</f>
        <v>-432</v>
      </c>
      <c r="N10" s="75">
        <f>+'Forward Sales'!M11</f>
        <v>-432</v>
      </c>
      <c r="O10" s="75">
        <f>+'Forward Sales'!N11</f>
        <v>-432</v>
      </c>
      <c r="P10" s="75">
        <f>+'Forward Sales'!O11</f>
        <v>-288</v>
      </c>
      <c r="Q10" s="105">
        <f t="shared" si="0"/>
        <v>-1224</v>
      </c>
      <c r="R10" s="16">
        <f t="shared" si="1"/>
        <v>-167.63000000000011</v>
      </c>
      <c r="U10" s="18" t="s">
        <v>57</v>
      </c>
      <c r="V10" s="110">
        <f>R20+R21</f>
        <v>-4428.8999999999996</v>
      </c>
      <c r="W10" s="111">
        <f t="shared" si="2"/>
        <v>-265.73399999999998</v>
      </c>
      <c r="AE10" s="108"/>
    </row>
    <row r="11" spans="2:31" x14ac:dyDescent="0.25">
      <c r="B11" s="101" t="s">
        <v>58</v>
      </c>
      <c r="C11" s="104">
        <f>+Stocks!E11</f>
        <v>781.57</v>
      </c>
      <c r="D11" s="160"/>
      <c r="E11" s="75">
        <f>+'Forward Sales'!D12</f>
        <v>0</v>
      </c>
      <c r="F11" s="75">
        <f>+'Forward Sales'!E12</f>
        <v>0</v>
      </c>
      <c r="G11" s="75">
        <f>+'Forward Sales'!F12</f>
        <v>0</v>
      </c>
      <c r="H11" s="75">
        <f>+'Forward Sales'!G12</f>
        <v>0</v>
      </c>
      <c r="I11" s="75">
        <f>+'Forward Sales'!H12</f>
        <v>0</v>
      </c>
      <c r="J11" s="75">
        <f>+'Forward Sales'!I12</f>
        <v>0</v>
      </c>
      <c r="K11" s="75">
        <f>+'Forward Sales'!J12</f>
        <v>0</v>
      </c>
      <c r="L11" s="75">
        <f>+'Forward Sales'!K12</f>
        <v>0</v>
      </c>
      <c r="M11" s="75">
        <f>+'Forward Sales'!L12</f>
        <v>0</v>
      </c>
      <c r="N11" s="75">
        <f>+'Forward Sales'!M12</f>
        <v>0</v>
      </c>
      <c r="O11" s="75">
        <f>+'Forward Sales'!N12</f>
        <v>0</v>
      </c>
      <c r="P11" s="75">
        <f>+'Forward Sales'!O12</f>
        <v>0</v>
      </c>
      <c r="Q11" s="105">
        <f t="shared" si="0"/>
        <v>0</v>
      </c>
      <c r="R11" s="16">
        <f t="shared" si="1"/>
        <v>781.57</v>
      </c>
      <c r="U11" s="112" t="s">
        <v>59</v>
      </c>
      <c r="V11" s="113">
        <f>+SUM(V4:V10)</f>
        <v>-10774.08</v>
      </c>
      <c r="W11" s="114">
        <f>+SUM(W4:W10)</f>
        <v>-646.44479999999999</v>
      </c>
      <c r="AE11" s="82"/>
    </row>
    <row r="12" spans="2:31" x14ac:dyDescent="0.25">
      <c r="B12" s="101" t="s">
        <v>60</v>
      </c>
      <c r="C12" s="104">
        <f>+Stocks!E12</f>
        <v>0.12</v>
      </c>
      <c r="D12" s="160"/>
      <c r="E12" s="75">
        <f>+'Forward Sales'!D13</f>
        <v>0</v>
      </c>
      <c r="F12" s="75">
        <f>+'Forward Sales'!E13</f>
        <v>0</v>
      </c>
      <c r="G12" s="75">
        <f>+'Forward Sales'!F13</f>
        <v>0</v>
      </c>
      <c r="H12" s="75">
        <f>+'Forward Sales'!G13</f>
        <v>0</v>
      </c>
      <c r="I12" s="75">
        <f>+'Forward Sales'!H13</f>
        <v>0</v>
      </c>
      <c r="J12" s="75">
        <f>+'Forward Sales'!I13</f>
        <v>0</v>
      </c>
      <c r="K12" s="75">
        <f>+'Forward Sales'!J13</f>
        <v>0</v>
      </c>
      <c r="L12" s="75">
        <f>+'Forward Sales'!K13</f>
        <v>-270</v>
      </c>
      <c r="M12" s="75">
        <f>+'Forward Sales'!L13</f>
        <v>-323.99999999999994</v>
      </c>
      <c r="N12" s="75">
        <f>+'Forward Sales'!M13</f>
        <v>-323.99999999999994</v>
      </c>
      <c r="O12" s="75">
        <f>+'Forward Sales'!N13</f>
        <v>-323.99999999999994</v>
      </c>
      <c r="P12" s="75">
        <f>+'Forward Sales'!O13</f>
        <v>-216</v>
      </c>
      <c r="Q12" s="105">
        <f t="shared" si="0"/>
        <v>-918</v>
      </c>
      <c r="R12" s="16">
        <f t="shared" si="1"/>
        <v>-917.88</v>
      </c>
      <c r="AE12" s="82"/>
    </row>
    <row r="13" spans="2:31" ht="14.45" customHeight="1" x14ac:dyDescent="0.25">
      <c r="B13" s="101" t="s">
        <v>61</v>
      </c>
      <c r="C13" s="104">
        <f>+Stocks!E13</f>
        <v>240.84</v>
      </c>
      <c r="D13" s="160"/>
      <c r="E13" s="75">
        <f>+'Forward Sales'!D14</f>
        <v>0</v>
      </c>
      <c r="F13" s="75">
        <f>+'Forward Sales'!E14</f>
        <v>0</v>
      </c>
      <c r="G13" s="75">
        <f>+'Forward Sales'!F14</f>
        <v>0</v>
      </c>
      <c r="H13" s="75">
        <f>+'Forward Sales'!G14</f>
        <v>0</v>
      </c>
      <c r="I13" s="75">
        <f>+'Forward Sales'!H14</f>
        <v>0</v>
      </c>
      <c r="J13" s="75">
        <f>+'Forward Sales'!I14</f>
        <v>0</v>
      </c>
      <c r="K13" s="75">
        <f>+'Forward Sales'!J14</f>
        <v>0</v>
      </c>
      <c r="L13" s="75">
        <f>+'Forward Sales'!K14</f>
        <v>-36</v>
      </c>
      <c r="M13" s="75">
        <f>+'Forward Sales'!L14</f>
        <v>-43.2</v>
      </c>
      <c r="N13" s="75">
        <f>+'Forward Sales'!M14</f>
        <v>-43.2</v>
      </c>
      <c r="O13" s="75">
        <f>+'Forward Sales'!N14</f>
        <v>-43.2</v>
      </c>
      <c r="P13" s="75">
        <f>+'Forward Sales'!O14</f>
        <v>-28.800000000000004</v>
      </c>
      <c r="Q13" s="105">
        <f t="shared" si="0"/>
        <v>-122.4</v>
      </c>
      <c r="R13" s="16">
        <f t="shared" si="1"/>
        <v>118.44</v>
      </c>
      <c r="U13" s="217" t="s">
        <v>62</v>
      </c>
      <c r="V13" s="218"/>
      <c r="W13" s="219"/>
      <c r="X13" t="s">
        <v>63</v>
      </c>
      <c r="AE13" s="108"/>
    </row>
    <row r="14" spans="2:31" x14ac:dyDescent="0.25">
      <c r="B14" s="102" t="s">
        <v>64</v>
      </c>
      <c r="C14" s="104">
        <f>+Stocks!E14</f>
        <v>5378.19</v>
      </c>
      <c r="D14" s="160"/>
      <c r="E14" s="75">
        <f>+'Forward Sales'!D15</f>
        <v>0</v>
      </c>
      <c r="F14" s="75">
        <f>+'Forward Sales'!E15</f>
        <v>0</v>
      </c>
      <c r="G14" s="75">
        <f>+'Forward Sales'!F15</f>
        <v>0</v>
      </c>
      <c r="H14" s="75">
        <f>+'Forward Sales'!G15</f>
        <v>0</v>
      </c>
      <c r="I14" s="75">
        <f>+'Forward Sales'!H15</f>
        <v>0</v>
      </c>
      <c r="J14" s="75">
        <f>+'Forward Sales'!I15</f>
        <v>-640</v>
      </c>
      <c r="K14" s="75">
        <f>+'Forward Sales'!J15</f>
        <v>-1536</v>
      </c>
      <c r="L14" s="75">
        <f>+'Forward Sales'!K15</f>
        <v>-1216</v>
      </c>
      <c r="M14" s="75">
        <f>+'Forward Sales'!L15</f>
        <v>-2400</v>
      </c>
      <c r="N14" s="75">
        <f>+'Forward Sales'!M15</f>
        <v>-640</v>
      </c>
      <c r="O14" s="75">
        <f>+'Forward Sales'!N15</f>
        <v>0</v>
      </c>
      <c r="P14" s="75">
        <f>+'Forward Sales'!O15</f>
        <v>0</v>
      </c>
      <c r="Q14" s="105">
        <f t="shared" si="0"/>
        <v>-6432</v>
      </c>
      <c r="R14" s="106">
        <f t="shared" si="1"/>
        <v>-1053.8100000000004</v>
      </c>
      <c r="U14" s="33" t="s">
        <v>38</v>
      </c>
      <c r="V14" s="33" t="s">
        <v>36</v>
      </c>
      <c r="W14" s="33" t="s">
        <v>65</v>
      </c>
      <c r="AE14" s="82"/>
    </row>
    <row r="15" spans="2:31" x14ac:dyDescent="0.25">
      <c r="B15" s="101" t="s">
        <v>66</v>
      </c>
      <c r="C15" s="104">
        <f>+Stocks!E15</f>
        <v>1835.83</v>
      </c>
      <c r="D15" s="160"/>
      <c r="E15" s="75">
        <f>+'Forward Sales'!D16</f>
        <v>0</v>
      </c>
      <c r="F15" s="75">
        <f>+'Forward Sales'!E16</f>
        <v>0</v>
      </c>
      <c r="G15" s="75">
        <f>+'Forward Sales'!F16</f>
        <v>0</v>
      </c>
      <c r="H15" s="75">
        <f>+'Forward Sales'!G16</f>
        <v>0</v>
      </c>
      <c r="I15" s="75">
        <f>+'Forward Sales'!H16</f>
        <v>0</v>
      </c>
      <c r="J15" s="75">
        <f>+'Forward Sales'!I16</f>
        <v>-320</v>
      </c>
      <c r="K15" s="75">
        <f>+'Forward Sales'!J16</f>
        <v>-960</v>
      </c>
      <c r="L15" s="75">
        <f>+'Forward Sales'!K16</f>
        <v>-1000</v>
      </c>
      <c r="M15" s="75">
        <f>+'Forward Sales'!L16</f>
        <v>-882</v>
      </c>
      <c r="N15" s="75">
        <f>+'Forward Sales'!M16</f>
        <v>-2682</v>
      </c>
      <c r="O15" s="75">
        <f>+'Forward Sales'!N16</f>
        <v>-432</v>
      </c>
      <c r="P15" s="75">
        <f>+'Forward Sales'!O16</f>
        <v>-288</v>
      </c>
      <c r="Q15" s="105">
        <f t="shared" si="0"/>
        <v>-5844</v>
      </c>
      <c r="R15" s="16">
        <f t="shared" si="1"/>
        <v>-4008.17</v>
      </c>
      <c r="U15" s="18" t="s">
        <v>48</v>
      </c>
      <c r="V15" s="110">
        <f>M51+M56*0.2</f>
        <v>-302.51600000000042</v>
      </c>
      <c r="W15" s="111">
        <f>+V15*0.06</f>
        <v>-18.150960000000023</v>
      </c>
    </row>
    <row r="16" spans="2:31" x14ac:dyDescent="0.25">
      <c r="B16" s="101" t="s">
        <v>67</v>
      </c>
      <c r="C16" s="104">
        <f>+Stocks!E16</f>
        <v>516.5</v>
      </c>
      <c r="D16" s="160"/>
      <c r="E16" s="75">
        <f>+'Forward Sales'!D17</f>
        <v>0</v>
      </c>
      <c r="F16" s="75">
        <f>+'Forward Sales'!E17</f>
        <v>0</v>
      </c>
      <c r="G16" s="75">
        <f>+'Forward Sales'!F17</f>
        <v>0</v>
      </c>
      <c r="H16" s="75">
        <f>+'Forward Sales'!G17</f>
        <v>0</v>
      </c>
      <c r="I16" s="75">
        <f>+'Forward Sales'!H17</f>
        <v>0</v>
      </c>
      <c r="J16" s="75">
        <f>+'Forward Sales'!I17</f>
        <v>0</v>
      </c>
      <c r="K16" s="75">
        <f>+'Forward Sales'!J17</f>
        <v>0</v>
      </c>
      <c r="L16" s="75">
        <f>+'Forward Sales'!K17</f>
        <v>0</v>
      </c>
      <c r="M16" s="75">
        <f>+'Forward Sales'!L17</f>
        <v>0</v>
      </c>
      <c r="N16" s="75">
        <f>+'Forward Sales'!M17</f>
        <v>0</v>
      </c>
      <c r="O16" s="75">
        <f>+'Forward Sales'!N17</f>
        <v>0</v>
      </c>
      <c r="P16" s="75">
        <f>+'Forward Sales'!O17</f>
        <v>0</v>
      </c>
      <c r="Q16" s="105">
        <f t="shared" si="0"/>
        <v>0</v>
      </c>
      <c r="R16" s="16">
        <f t="shared" si="1"/>
        <v>516.5</v>
      </c>
      <c r="U16" s="18" t="s">
        <v>51</v>
      </c>
      <c r="V16" s="86">
        <f>M52+0.5*M53+0.2*M56</f>
        <v>-956.62600000000009</v>
      </c>
      <c r="W16" s="111">
        <f>+V16*0.06</f>
        <v>-57.397560000000006</v>
      </c>
    </row>
    <row r="17" spans="2:30" x14ac:dyDescent="0.25">
      <c r="B17" s="101" t="s">
        <v>68</v>
      </c>
      <c r="C17" s="104">
        <f>+Stocks!E17</f>
        <v>1496.37</v>
      </c>
      <c r="D17" s="160"/>
      <c r="E17" s="75">
        <f>+'Forward Sales'!D18</f>
        <v>0</v>
      </c>
      <c r="F17" s="75">
        <f>+'Forward Sales'!E18</f>
        <v>0</v>
      </c>
      <c r="G17" s="75">
        <f>+'Forward Sales'!F18</f>
        <v>0</v>
      </c>
      <c r="H17" s="75">
        <f>+'Forward Sales'!G18</f>
        <v>0</v>
      </c>
      <c r="I17" s="75">
        <f>+'Forward Sales'!H18</f>
        <v>0</v>
      </c>
      <c r="J17" s="75">
        <f>+'Forward Sales'!I18</f>
        <v>0</v>
      </c>
      <c r="K17" s="75">
        <f>+'Forward Sales'!J18</f>
        <v>0</v>
      </c>
      <c r="L17" s="75">
        <f>+'Forward Sales'!K18</f>
        <v>-180</v>
      </c>
      <c r="M17" s="75">
        <f>+'Forward Sales'!L18</f>
        <v>0</v>
      </c>
      <c r="N17" s="75">
        <f>+'Forward Sales'!M18</f>
        <v>0</v>
      </c>
      <c r="O17" s="75">
        <f>+'Forward Sales'!N18</f>
        <v>0</v>
      </c>
      <c r="P17" s="75">
        <f>+'Forward Sales'!O18</f>
        <v>0</v>
      </c>
      <c r="Q17" s="105">
        <f t="shared" si="0"/>
        <v>-180</v>
      </c>
      <c r="R17" s="16">
        <f t="shared" si="1"/>
        <v>1316.37</v>
      </c>
      <c r="U17" s="18" t="s">
        <v>53</v>
      </c>
      <c r="V17" s="86">
        <f>M54+0.2*M56</f>
        <v>1427.6639999999998</v>
      </c>
      <c r="W17" s="111">
        <f>+V17*0.06</f>
        <v>85.659839999999988</v>
      </c>
    </row>
    <row r="18" spans="2:30" x14ac:dyDescent="0.25">
      <c r="B18" s="99" t="s">
        <v>69</v>
      </c>
      <c r="C18" s="104">
        <f>+Stocks!E18</f>
        <v>475.9</v>
      </c>
      <c r="D18" s="160"/>
      <c r="E18" s="75">
        <f>+'Forward Sales'!D19</f>
        <v>0</v>
      </c>
      <c r="F18" s="75">
        <f>+'Forward Sales'!E19</f>
        <v>0</v>
      </c>
      <c r="G18" s="75">
        <f>+'Forward Sales'!F19</f>
        <v>0</v>
      </c>
      <c r="H18" s="75">
        <f>+'Forward Sales'!G19</f>
        <v>0</v>
      </c>
      <c r="I18" s="75">
        <f>+'Forward Sales'!H19</f>
        <v>0</v>
      </c>
      <c r="J18" s="75">
        <f>+'Forward Sales'!I19</f>
        <v>0</v>
      </c>
      <c r="K18" s="75">
        <f>+'Forward Sales'!J19</f>
        <v>0</v>
      </c>
      <c r="L18" s="75">
        <f>+'Forward Sales'!K19</f>
        <v>-54</v>
      </c>
      <c r="M18" s="75">
        <f>+'Forward Sales'!L19</f>
        <v>-64.8</v>
      </c>
      <c r="N18" s="75">
        <f>+'Forward Sales'!M19</f>
        <v>-64.8</v>
      </c>
      <c r="O18" s="75">
        <f>+'Forward Sales'!N19</f>
        <v>-64.8</v>
      </c>
      <c r="P18" s="75">
        <f>+'Forward Sales'!O19</f>
        <v>-43.2</v>
      </c>
      <c r="Q18" s="105">
        <f t="shared" si="0"/>
        <v>-183.6</v>
      </c>
      <c r="R18" s="15">
        <f t="shared" si="1"/>
        <v>292.29999999999995</v>
      </c>
      <c r="S18" s="39"/>
      <c r="T18" s="39"/>
      <c r="U18" s="18" t="s">
        <v>55</v>
      </c>
      <c r="V18" s="110">
        <f>M56</f>
        <v>556.4699999999998</v>
      </c>
      <c r="W18" s="111">
        <f>+V18*0.06</f>
        <v>33.388199999999983</v>
      </c>
    </row>
    <row r="19" spans="2:30" x14ac:dyDescent="0.25">
      <c r="B19" s="98" t="s">
        <v>70</v>
      </c>
      <c r="C19" s="104">
        <f>+Stocks!E19</f>
        <v>2536.4699999999998</v>
      </c>
      <c r="D19" s="160"/>
      <c r="E19" s="75">
        <f>+'Forward Sales'!D20</f>
        <v>0</v>
      </c>
      <c r="F19" s="75">
        <f>+'Forward Sales'!E20</f>
        <v>0</v>
      </c>
      <c r="G19" s="75">
        <f>+'Forward Sales'!F20</f>
        <v>0</v>
      </c>
      <c r="H19" s="75">
        <f>+'Forward Sales'!G20</f>
        <v>0</v>
      </c>
      <c r="I19" s="75">
        <f>+'Forward Sales'!H20</f>
        <v>0</v>
      </c>
      <c r="J19" s="75">
        <f>+'Forward Sales'!I20</f>
        <v>-450</v>
      </c>
      <c r="K19" s="75">
        <f>+'Forward Sales'!J20</f>
        <v>0</v>
      </c>
      <c r="L19" s="75">
        <f>+'Forward Sales'!K20</f>
        <v>-180</v>
      </c>
      <c r="M19" s="75">
        <f>+'Forward Sales'!L20</f>
        <v>-1350</v>
      </c>
      <c r="N19" s="75">
        <f>+'Forward Sales'!M20</f>
        <v>-4203.75</v>
      </c>
      <c r="O19" s="75">
        <f>+'Forward Sales'!N20</f>
        <v>-2250</v>
      </c>
      <c r="P19" s="75">
        <f>+'Forward Sales'!O20</f>
        <v>0</v>
      </c>
      <c r="Q19" s="32">
        <f t="shared" si="0"/>
        <v>-6183.75</v>
      </c>
      <c r="R19" s="16">
        <f t="shared" si="1"/>
        <v>-3647.28</v>
      </c>
      <c r="U19" s="18" t="s">
        <v>57</v>
      </c>
      <c r="V19" s="110">
        <f>M57</f>
        <v>-976.46</v>
      </c>
      <c r="W19" s="111">
        <f>+V19*0.06</f>
        <v>-58.587600000000002</v>
      </c>
    </row>
    <row r="20" spans="2:30" x14ac:dyDescent="0.25">
      <c r="B20" s="99" t="s">
        <v>71</v>
      </c>
      <c r="C20" s="104">
        <f>+Stocks!E20</f>
        <v>373.54</v>
      </c>
      <c r="D20" s="160"/>
      <c r="E20" s="75">
        <f>+'Forward Sales'!D21</f>
        <v>0</v>
      </c>
      <c r="F20" s="75">
        <f>+'Forward Sales'!E21</f>
        <v>0</v>
      </c>
      <c r="G20" s="75">
        <f>+'Forward Sales'!F21</f>
        <v>0</v>
      </c>
      <c r="H20" s="75">
        <f>+'Forward Sales'!G21</f>
        <v>0</v>
      </c>
      <c r="I20" s="75">
        <f>+'Forward Sales'!H21</f>
        <v>0</v>
      </c>
      <c r="J20" s="75">
        <f>+'Forward Sales'!I21</f>
        <v>-1350</v>
      </c>
      <c r="K20" s="75">
        <f>+'Forward Sales'!J21</f>
        <v>0</v>
      </c>
      <c r="L20" s="75">
        <f>+'Forward Sales'!K21</f>
        <v>0</v>
      </c>
      <c r="M20" s="75">
        <f>+'Forward Sales'!L21</f>
        <v>0</v>
      </c>
      <c r="N20" s="75">
        <f>+'Forward Sales'!M21</f>
        <v>-3161.25</v>
      </c>
      <c r="O20" s="75">
        <f>+'Forward Sales'!N21</f>
        <v>-1350</v>
      </c>
      <c r="P20" s="75">
        <f>+'Forward Sales'!O21</f>
        <v>0</v>
      </c>
      <c r="Q20" s="32">
        <f t="shared" si="0"/>
        <v>-4511.25</v>
      </c>
      <c r="R20" s="15">
        <f t="shared" si="1"/>
        <v>-4137.71</v>
      </c>
      <c r="S20" s="39"/>
      <c r="T20" s="39"/>
    </row>
    <row r="21" spans="2:30" x14ac:dyDescent="0.25">
      <c r="B21" s="97" t="s">
        <v>72</v>
      </c>
      <c r="C21" s="104">
        <f>+Stocks!E21</f>
        <v>348.81</v>
      </c>
      <c r="D21" s="160"/>
      <c r="E21" s="75">
        <f>+'Forward Sales'!D22</f>
        <v>0</v>
      </c>
      <c r="F21" s="75">
        <f>+'Forward Sales'!E22</f>
        <v>0</v>
      </c>
      <c r="G21" s="75">
        <f>+'Forward Sales'!F22</f>
        <v>0</v>
      </c>
      <c r="H21" s="75">
        <f>+'Forward Sales'!G22</f>
        <v>0</v>
      </c>
      <c r="I21" s="75">
        <f>+'Forward Sales'!H22</f>
        <v>0</v>
      </c>
      <c r="J21" s="75">
        <f>+'Forward Sales'!I22</f>
        <v>0</v>
      </c>
      <c r="K21" s="75">
        <f>+'Forward Sales'!J22</f>
        <v>0</v>
      </c>
      <c r="L21" s="75">
        <f>+'Forward Sales'!K22</f>
        <v>0</v>
      </c>
      <c r="M21" s="75">
        <f>+'Forward Sales'!L22</f>
        <v>-640</v>
      </c>
      <c r="N21" s="75">
        <f>+'Forward Sales'!M22</f>
        <v>0</v>
      </c>
      <c r="O21" s="75">
        <f>+'Forward Sales'!N22</f>
        <v>0</v>
      </c>
      <c r="P21" s="75">
        <f>+'Forward Sales'!O22</f>
        <v>0</v>
      </c>
      <c r="Q21" s="32">
        <f t="shared" si="0"/>
        <v>-640</v>
      </c>
      <c r="R21" s="16">
        <f t="shared" si="1"/>
        <v>-291.19</v>
      </c>
      <c r="S21" s="39"/>
      <c r="T21" s="39"/>
    </row>
    <row r="22" spans="2:30" x14ac:dyDescent="0.25">
      <c r="B22" s="99" t="s">
        <v>73</v>
      </c>
      <c r="C22" s="104">
        <f>+Stocks!E22</f>
        <v>10.57</v>
      </c>
      <c r="D22" s="160"/>
      <c r="E22" s="75">
        <f>+'Forward Sales'!D23</f>
        <v>0</v>
      </c>
      <c r="F22" s="75">
        <f>+'Forward Sales'!E23</f>
        <v>0</v>
      </c>
      <c r="G22" s="75">
        <f>+'Forward Sales'!F23</f>
        <v>0</v>
      </c>
      <c r="H22" s="75">
        <f>+'Forward Sales'!G23</f>
        <v>0</v>
      </c>
      <c r="I22" s="75">
        <f>+'Forward Sales'!H23</f>
        <v>0</v>
      </c>
      <c r="J22" s="75">
        <f>+'Forward Sales'!I23</f>
        <v>0</v>
      </c>
      <c r="K22" s="75">
        <f>+'Forward Sales'!J23</f>
        <v>0</v>
      </c>
      <c r="L22" s="75">
        <f>+'Forward Sales'!K23</f>
        <v>0</v>
      </c>
      <c r="M22" s="75">
        <f>+'Forward Sales'!L23</f>
        <v>0</v>
      </c>
      <c r="N22" s="75">
        <f>+'Forward Sales'!M23</f>
        <v>0</v>
      </c>
      <c r="O22" s="75">
        <f>+'Forward Sales'!N23</f>
        <v>0</v>
      </c>
      <c r="P22" s="75">
        <f>+'Forward Sales'!O23</f>
        <v>0</v>
      </c>
      <c r="Q22" s="32">
        <f t="shared" si="0"/>
        <v>0</v>
      </c>
      <c r="R22" s="106">
        <f t="shared" si="1"/>
        <v>10.57</v>
      </c>
    </row>
    <row r="23" spans="2:30" x14ac:dyDescent="0.25">
      <c r="B23" s="98" t="s">
        <v>74</v>
      </c>
      <c r="C23" s="104">
        <f>+Stocks!E23</f>
        <v>1558.27</v>
      </c>
      <c r="D23" s="160"/>
      <c r="E23" s="75">
        <f>+'Forward Sales'!D24</f>
        <v>0</v>
      </c>
      <c r="F23" s="75">
        <f>+'Forward Sales'!E24</f>
        <v>0</v>
      </c>
      <c r="G23" s="75">
        <f>+'Forward Sales'!F24</f>
        <v>0</v>
      </c>
      <c r="H23" s="75">
        <f>+'Forward Sales'!G24</f>
        <v>0</v>
      </c>
      <c r="I23" s="75">
        <f>+'Forward Sales'!H24</f>
        <v>0</v>
      </c>
      <c r="J23" s="75">
        <f>+'Forward Sales'!I24</f>
        <v>0</v>
      </c>
      <c r="K23" s="75">
        <f>+'Forward Sales'!J24</f>
        <v>0</v>
      </c>
      <c r="L23" s="75">
        <f>+'Forward Sales'!K24</f>
        <v>0</v>
      </c>
      <c r="M23" s="75">
        <f>+'Forward Sales'!L24</f>
        <v>0</v>
      </c>
      <c r="N23" s="75">
        <f>+'Forward Sales'!M24</f>
        <v>0</v>
      </c>
      <c r="O23" s="75">
        <f>+'Forward Sales'!N24</f>
        <v>0</v>
      </c>
      <c r="P23" s="75">
        <f>+'Forward Sales'!O24</f>
        <v>0</v>
      </c>
      <c r="Q23" s="105">
        <f t="shared" si="0"/>
        <v>0</v>
      </c>
      <c r="R23" s="106">
        <f t="shared" si="1"/>
        <v>1558.27</v>
      </c>
      <c r="V23" s="79"/>
    </row>
    <row r="24" spans="2:30" x14ac:dyDescent="0.25">
      <c r="B24" s="100" t="s">
        <v>75</v>
      </c>
      <c r="C24" s="104">
        <f>+Stocks!E24</f>
        <v>813.41</v>
      </c>
      <c r="D24" s="160"/>
      <c r="E24" s="75">
        <f>+'Forward Sales'!D25</f>
        <v>0</v>
      </c>
      <c r="F24" s="75">
        <f>+'Forward Sales'!E25</f>
        <v>0</v>
      </c>
      <c r="G24" s="75">
        <f>+'Forward Sales'!F25</f>
        <v>0</v>
      </c>
      <c r="H24" s="75">
        <f>+'Forward Sales'!G25</f>
        <v>0</v>
      </c>
      <c r="I24" s="75">
        <f>+'Forward Sales'!H25</f>
        <v>0</v>
      </c>
      <c r="J24" s="75">
        <f>+'Forward Sales'!I25</f>
        <v>0</v>
      </c>
      <c r="K24" s="75">
        <f>+'Forward Sales'!J25</f>
        <v>0</v>
      </c>
      <c r="L24" s="75">
        <f>+'Forward Sales'!K25</f>
        <v>0</v>
      </c>
      <c r="M24" s="75">
        <f>+'Forward Sales'!L25</f>
        <v>0</v>
      </c>
      <c r="N24" s="75">
        <f>+'Forward Sales'!M25</f>
        <v>0</v>
      </c>
      <c r="O24" s="75">
        <f>+'Forward Sales'!N25</f>
        <v>0</v>
      </c>
      <c r="P24" s="75">
        <f>+'Forward Sales'!O25</f>
        <v>0</v>
      </c>
      <c r="Q24" s="105">
        <f t="shared" si="0"/>
        <v>0</v>
      </c>
      <c r="R24" s="15">
        <f t="shared" si="1"/>
        <v>813.41</v>
      </c>
      <c r="V24" s="79"/>
    </row>
    <row r="25" spans="2:30" x14ac:dyDescent="0.25">
      <c r="B25" s="103" t="s">
        <v>76</v>
      </c>
      <c r="C25" s="104">
        <f>+Stocks!E25</f>
        <v>951.8</v>
      </c>
      <c r="D25" s="160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32">
        <f t="shared" si="0"/>
        <v>0</v>
      </c>
      <c r="R25" s="16">
        <f t="shared" si="1"/>
        <v>951.8</v>
      </c>
      <c r="V25" s="79">
        <v>14.596428571428572</v>
      </c>
    </row>
    <row r="26" spans="2:30" x14ac:dyDescent="0.25">
      <c r="B26" s="20" t="s">
        <v>77</v>
      </c>
      <c r="C26" s="21">
        <f>SUM(C3:C25)</f>
        <v>35568.29</v>
      </c>
      <c r="D26" s="161">
        <f>SUM(D3:D25)</f>
        <v>1200</v>
      </c>
      <c r="E26" s="21">
        <f t="shared" ref="E26:N26" si="4">+SUM(E3:E25)</f>
        <v>0</v>
      </c>
      <c r="F26" s="21">
        <f t="shared" si="4"/>
        <v>0</v>
      </c>
      <c r="G26" s="21">
        <f t="shared" si="4"/>
        <v>0</v>
      </c>
      <c r="H26" s="21">
        <f t="shared" si="4"/>
        <v>-4</v>
      </c>
      <c r="I26" s="21">
        <f t="shared" si="4"/>
        <v>0</v>
      </c>
      <c r="J26" s="21">
        <f t="shared" si="4"/>
        <v>-2760</v>
      </c>
      <c r="K26" s="21">
        <f t="shared" si="4"/>
        <v>-6319.5</v>
      </c>
      <c r="L26" s="21">
        <f t="shared" si="4"/>
        <v>-8560</v>
      </c>
      <c r="M26" s="21">
        <f t="shared" si="4"/>
        <v>-10360</v>
      </c>
      <c r="N26" s="21">
        <f t="shared" si="4"/>
        <v>-12415</v>
      </c>
      <c r="O26" s="21">
        <f t="shared" ref="O26:P26" si="5">+SUM(O3:O25)</f>
        <v>-5760</v>
      </c>
      <c r="P26" s="21">
        <f t="shared" si="5"/>
        <v>-1440</v>
      </c>
      <c r="Q26" s="32">
        <f>+SUM(E26:P26)</f>
        <v>-47618.5</v>
      </c>
      <c r="R26" s="21">
        <f>SUM(R3:R25)</f>
        <v>-4850.21</v>
      </c>
      <c r="T26" s="216">
        <f>R26-T3</f>
        <v>-7330.21</v>
      </c>
      <c r="V26" s="79"/>
    </row>
    <row r="27" spans="2:30" x14ac:dyDescent="0.25">
      <c r="B27" s="20" t="s">
        <v>78</v>
      </c>
      <c r="C27" s="21"/>
      <c r="D27" s="21"/>
      <c r="E27" s="21">
        <f>C26+E26</f>
        <v>35568.29</v>
      </c>
      <c r="F27" s="21">
        <f>+E27+F26</f>
        <v>35568.29</v>
      </c>
      <c r="G27" s="21">
        <f t="shared" ref="G27:J27" si="6">+F27+G26</f>
        <v>35568.29</v>
      </c>
      <c r="H27" s="21">
        <f t="shared" si="6"/>
        <v>35564.29</v>
      </c>
      <c r="I27" s="21">
        <f t="shared" si="6"/>
        <v>35564.29</v>
      </c>
      <c r="J27" s="21">
        <f t="shared" si="6"/>
        <v>32804.29</v>
      </c>
      <c r="K27" s="21">
        <f>+J27+K26</f>
        <v>26484.79</v>
      </c>
      <c r="L27" s="21">
        <f>+K27+L26</f>
        <v>17924.79</v>
      </c>
      <c r="M27" s="21">
        <f>+L27+M26</f>
        <v>7564.7900000000009</v>
      </c>
      <c r="N27" s="21">
        <f>+M27+N26</f>
        <v>-4850.2099999999991</v>
      </c>
      <c r="O27" s="21">
        <f t="shared" ref="O27:P27" si="7">+N27+O26</f>
        <v>-10610.21</v>
      </c>
      <c r="P27" s="21">
        <f t="shared" si="7"/>
        <v>-12050.21</v>
      </c>
      <c r="Q27" s="21"/>
      <c r="R27" s="21"/>
      <c r="V27" s="79"/>
    </row>
    <row r="28" spans="2:30" x14ac:dyDescent="0.25">
      <c r="B28" s="19"/>
      <c r="C28" s="47" t="str">
        <f>IF(C26=Stocks!E26,"OK","NOT OK")</f>
        <v>OK</v>
      </c>
      <c r="D28" s="47"/>
      <c r="Q28" s="46" t="str">
        <f>+IF(Q26='Forward Sales'!P26,"OK","NOT OK")</f>
        <v>OK</v>
      </c>
    </row>
    <row r="29" spans="2:30" s="26" customFormat="1" ht="19.5" customHeight="1" x14ac:dyDescent="0.25">
      <c r="B29" s="79"/>
      <c r="C29" s="79"/>
      <c r="D29" s="7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U29" t="s">
        <v>79</v>
      </c>
      <c r="V29"/>
      <c r="W29"/>
      <c r="X29"/>
      <c r="Y29"/>
      <c r="Z29"/>
      <c r="AA29"/>
      <c r="AB29"/>
      <c r="AC29"/>
      <c r="AD29"/>
    </row>
    <row r="30" spans="2:30" ht="15" customHeight="1" x14ac:dyDescent="0.25">
      <c r="G30" s="37" t="s">
        <v>80</v>
      </c>
      <c r="H30" s="156">
        <f t="shared" ref="H30:P30" si="8">H26*132.27736*$U$30/100</f>
        <v>-53.572330799999989</v>
      </c>
      <c r="I30" s="156">
        <f t="shared" si="8"/>
        <v>0</v>
      </c>
      <c r="J30" s="156">
        <f t="shared" si="8"/>
        <v>-36964.908251999994</v>
      </c>
      <c r="K30" s="156">
        <f t="shared" si="8"/>
        <v>-84637.586122649998</v>
      </c>
      <c r="L30" s="156">
        <f t="shared" si="8"/>
        <v>-114644.78791199997</v>
      </c>
      <c r="M30" s="156">
        <f t="shared" si="8"/>
        <v>-138752.33677199998</v>
      </c>
      <c r="N30" s="156">
        <f t="shared" si="8"/>
        <v>-166275.1217205</v>
      </c>
      <c r="O30" s="156">
        <f t="shared" si="8"/>
        <v>-77144.156351999991</v>
      </c>
      <c r="P30" s="156">
        <f t="shared" si="8"/>
        <v>-19286.039087999998</v>
      </c>
      <c r="U30" s="83">
        <v>10.125</v>
      </c>
    </row>
    <row r="31" spans="2:30" ht="15" customHeight="1" x14ac:dyDescent="0.25">
      <c r="H31" s="157"/>
      <c r="I31" s="157"/>
      <c r="J31" s="157"/>
      <c r="K31" s="157"/>
      <c r="L31" s="157"/>
      <c r="M31" s="157"/>
      <c r="N31" s="157"/>
      <c r="O31" s="157"/>
      <c r="P31" s="157"/>
    </row>
    <row r="32" spans="2:30" x14ac:dyDescent="0.25">
      <c r="L32" s="83"/>
    </row>
    <row r="33" spans="2:21" x14ac:dyDescent="0.25"/>
    <row r="34" spans="2:21" x14ac:dyDescent="0.25"/>
    <row r="38" spans="2:21" x14ac:dyDescent="0.25">
      <c r="B38" t="s">
        <v>26</v>
      </c>
      <c r="C38" t="s">
        <v>27</v>
      </c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</row>
    <row r="39" spans="2:21" ht="29.25" customHeight="1" x14ac:dyDescent="0.25">
      <c r="B39" s="13" t="s">
        <v>28</v>
      </c>
      <c r="C39" s="8" t="s">
        <v>29</v>
      </c>
      <c r="D39" s="8"/>
      <c r="E39" s="74" t="s">
        <v>81</v>
      </c>
      <c r="F39" s="74" t="s">
        <v>82</v>
      </c>
      <c r="G39" s="74" t="s">
        <v>83</v>
      </c>
      <c r="H39" s="74" t="s">
        <v>84</v>
      </c>
      <c r="I39" s="74" t="s">
        <v>85</v>
      </c>
      <c r="J39" s="74" t="s">
        <v>86</v>
      </c>
      <c r="K39" s="74" t="s">
        <v>87</v>
      </c>
      <c r="L39" s="74" t="s">
        <v>88</v>
      </c>
      <c r="M39" s="74" t="s">
        <v>89</v>
      </c>
      <c r="N39" s="74" t="s">
        <v>90</v>
      </c>
      <c r="O39" s="74" t="s">
        <v>91</v>
      </c>
      <c r="P39" s="74" t="s">
        <v>92</v>
      </c>
      <c r="R39" s="94"/>
    </row>
    <row r="40" spans="2:21" x14ac:dyDescent="0.25">
      <c r="B40" t="s">
        <v>37</v>
      </c>
      <c r="C40" s="76">
        <f t="shared" ref="C40:C62" si="9">+C3</f>
        <v>5783.01</v>
      </c>
      <c r="D40" s="76"/>
      <c r="E40" s="76">
        <f>C3+E3</f>
        <v>5783.01</v>
      </c>
      <c r="F40" s="76">
        <f t="shared" ref="F40:N40" si="10">E40+F3</f>
        <v>5783.01</v>
      </c>
      <c r="G40" s="76">
        <f t="shared" si="10"/>
        <v>5783.01</v>
      </c>
      <c r="H40" s="76">
        <f t="shared" si="10"/>
        <v>5783.01</v>
      </c>
      <c r="I40" s="76">
        <f t="shared" si="10"/>
        <v>5783.01</v>
      </c>
      <c r="J40" s="76">
        <f t="shared" si="10"/>
        <v>5783.01</v>
      </c>
      <c r="K40" s="76">
        <f t="shared" si="10"/>
        <v>3033.51</v>
      </c>
      <c r="L40" s="76">
        <f t="shared" si="10"/>
        <v>2713.51</v>
      </c>
      <c r="M40" s="76">
        <f t="shared" si="10"/>
        <v>2713.51</v>
      </c>
      <c r="N40" s="76">
        <f t="shared" si="10"/>
        <v>2713.51</v>
      </c>
      <c r="O40" s="76">
        <f t="shared" ref="O40:O62" si="11">N40+O3</f>
        <v>2713.51</v>
      </c>
      <c r="P40" s="76">
        <f t="shared" ref="P40:P62" si="12">O40+P3</f>
        <v>2713.51</v>
      </c>
      <c r="R40" s="94"/>
      <c r="U40" s="109"/>
    </row>
    <row r="41" spans="2:21" x14ac:dyDescent="0.25">
      <c r="B41" t="s">
        <v>41</v>
      </c>
      <c r="C41" s="76">
        <f t="shared" si="9"/>
        <v>3158.01</v>
      </c>
      <c r="D41" s="76"/>
      <c r="E41" s="76">
        <f t="shared" ref="E41:E62" si="13">C4+E4</f>
        <v>3158.01</v>
      </c>
      <c r="F41" s="76">
        <f t="shared" ref="F41:N41" si="14">E41+F4</f>
        <v>3158.01</v>
      </c>
      <c r="G41" s="76">
        <f t="shared" si="14"/>
        <v>3158.01</v>
      </c>
      <c r="H41" s="76">
        <f t="shared" si="14"/>
        <v>3154.01</v>
      </c>
      <c r="I41" s="76">
        <f t="shared" si="14"/>
        <v>3154.01</v>
      </c>
      <c r="J41" s="76">
        <f t="shared" si="14"/>
        <v>3154.01</v>
      </c>
      <c r="K41" s="76">
        <f t="shared" si="14"/>
        <v>2784.01</v>
      </c>
      <c r="L41" s="76">
        <f t="shared" si="14"/>
        <v>-95.989999999999782</v>
      </c>
      <c r="M41" s="76">
        <f t="shared" si="14"/>
        <v>-415.98999999999978</v>
      </c>
      <c r="N41" s="76">
        <f t="shared" si="14"/>
        <v>-415.98999999999978</v>
      </c>
      <c r="O41" s="76">
        <f t="shared" si="11"/>
        <v>-415.98999999999978</v>
      </c>
      <c r="P41" s="76">
        <f t="shared" si="12"/>
        <v>-415.98999999999978</v>
      </c>
      <c r="R41" s="94"/>
    </row>
    <row r="42" spans="2:21" x14ac:dyDescent="0.25">
      <c r="B42" t="s">
        <v>44</v>
      </c>
      <c r="C42" s="76">
        <f t="shared" si="9"/>
        <v>2752.19</v>
      </c>
      <c r="D42" s="76"/>
      <c r="E42" s="76">
        <f t="shared" si="13"/>
        <v>2752.19</v>
      </c>
      <c r="F42" s="76">
        <f t="shared" ref="F42:N42" si="15">E42+F5</f>
        <v>2752.19</v>
      </c>
      <c r="G42" s="76">
        <f t="shared" si="15"/>
        <v>2752.19</v>
      </c>
      <c r="H42" s="76">
        <f t="shared" si="15"/>
        <v>2752.19</v>
      </c>
      <c r="I42" s="76">
        <f t="shared" si="15"/>
        <v>2752.19</v>
      </c>
      <c r="J42" s="76">
        <f t="shared" si="15"/>
        <v>2752.19</v>
      </c>
      <c r="K42" s="76">
        <f t="shared" si="15"/>
        <v>2272.19</v>
      </c>
      <c r="L42" s="76">
        <f t="shared" si="15"/>
        <v>1712.19</v>
      </c>
      <c r="M42" s="76">
        <f t="shared" si="15"/>
        <v>352.19000000000005</v>
      </c>
      <c r="N42" s="76">
        <f t="shared" si="15"/>
        <v>352.19000000000005</v>
      </c>
      <c r="O42" s="76">
        <f t="shared" si="11"/>
        <v>352.19000000000005</v>
      </c>
      <c r="P42" s="76">
        <f t="shared" si="12"/>
        <v>352.19000000000005</v>
      </c>
      <c r="R42" s="94"/>
    </row>
    <row r="43" spans="2:21" x14ac:dyDescent="0.25">
      <c r="B43" t="s">
        <v>47</v>
      </c>
      <c r="C43" s="76">
        <f t="shared" si="9"/>
        <v>122.57</v>
      </c>
      <c r="D43" s="76"/>
      <c r="E43" s="76">
        <f t="shared" si="13"/>
        <v>122.57</v>
      </c>
      <c r="F43" s="76">
        <f t="shared" ref="F43:N43" si="16">E43+F6</f>
        <v>122.57</v>
      </c>
      <c r="G43" s="76">
        <f t="shared" si="16"/>
        <v>122.57</v>
      </c>
      <c r="H43" s="76">
        <f t="shared" si="16"/>
        <v>122.57</v>
      </c>
      <c r="I43" s="76">
        <f t="shared" si="16"/>
        <v>122.57</v>
      </c>
      <c r="J43" s="76">
        <f t="shared" si="16"/>
        <v>122.57</v>
      </c>
      <c r="K43" s="76">
        <f t="shared" si="16"/>
        <v>122.57</v>
      </c>
      <c r="L43" s="76">
        <f t="shared" si="16"/>
        <v>-471.43</v>
      </c>
      <c r="M43" s="76">
        <f t="shared" si="16"/>
        <v>-1184.23</v>
      </c>
      <c r="N43" s="76">
        <f t="shared" si="16"/>
        <v>-1897.03</v>
      </c>
      <c r="O43" s="76">
        <f t="shared" si="11"/>
        <v>-2609.83</v>
      </c>
      <c r="P43" s="76">
        <f t="shared" si="12"/>
        <v>-3085.0299999999997</v>
      </c>
      <c r="R43" s="94"/>
    </row>
    <row r="44" spans="2:21" x14ac:dyDescent="0.25">
      <c r="B44" t="s">
        <v>50</v>
      </c>
      <c r="C44" s="76">
        <f t="shared" si="9"/>
        <v>69.069999999999993</v>
      </c>
      <c r="D44" s="76"/>
      <c r="E44" s="76">
        <f t="shared" si="13"/>
        <v>69.069999999999993</v>
      </c>
      <c r="F44" s="76">
        <f t="shared" ref="F44:N44" si="17">E44+F7</f>
        <v>69.069999999999993</v>
      </c>
      <c r="G44" s="76">
        <f t="shared" si="17"/>
        <v>69.069999999999993</v>
      </c>
      <c r="H44" s="76">
        <f t="shared" si="17"/>
        <v>69.069999999999993</v>
      </c>
      <c r="I44" s="76">
        <f t="shared" si="17"/>
        <v>69.069999999999993</v>
      </c>
      <c r="J44" s="76">
        <f t="shared" si="17"/>
        <v>69.069999999999993</v>
      </c>
      <c r="K44" s="76">
        <f t="shared" si="17"/>
        <v>69.069999999999993</v>
      </c>
      <c r="L44" s="76">
        <f t="shared" si="17"/>
        <v>69.069999999999993</v>
      </c>
      <c r="M44" s="76">
        <f t="shared" si="17"/>
        <v>69.069999999999993</v>
      </c>
      <c r="N44" s="76">
        <f t="shared" si="17"/>
        <v>69.069999999999993</v>
      </c>
      <c r="O44" s="76">
        <f t="shared" si="11"/>
        <v>69.069999999999993</v>
      </c>
      <c r="P44" s="76">
        <f t="shared" si="12"/>
        <v>69.069999999999993</v>
      </c>
      <c r="R44" s="94"/>
    </row>
    <row r="45" spans="2:21" x14ac:dyDescent="0.25">
      <c r="B45" t="s">
        <v>52</v>
      </c>
      <c r="C45" s="76">
        <f t="shared" si="9"/>
        <v>0</v>
      </c>
      <c r="D45" s="76"/>
      <c r="E45" s="76">
        <f t="shared" si="13"/>
        <v>0</v>
      </c>
      <c r="F45" s="76">
        <f t="shared" ref="F45:N45" si="18">E45+F8</f>
        <v>0</v>
      </c>
      <c r="G45" s="76">
        <f t="shared" si="18"/>
        <v>0</v>
      </c>
      <c r="H45" s="76">
        <f t="shared" si="18"/>
        <v>0</v>
      </c>
      <c r="I45" s="76">
        <f t="shared" si="18"/>
        <v>0</v>
      </c>
      <c r="J45" s="76">
        <f t="shared" si="18"/>
        <v>0</v>
      </c>
      <c r="K45" s="76">
        <f t="shared" si="18"/>
        <v>0</v>
      </c>
      <c r="L45" s="76">
        <f t="shared" si="18"/>
        <v>0</v>
      </c>
      <c r="M45" s="76">
        <f t="shared" si="18"/>
        <v>0</v>
      </c>
      <c r="N45" s="76">
        <f t="shared" si="18"/>
        <v>0</v>
      </c>
      <c r="O45" s="76">
        <f t="shared" si="11"/>
        <v>0</v>
      </c>
      <c r="P45" s="76">
        <f t="shared" si="12"/>
        <v>0</v>
      </c>
      <c r="R45" s="94"/>
    </row>
    <row r="46" spans="2:21" x14ac:dyDescent="0.25">
      <c r="B46" t="s">
        <v>54</v>
      </c>
      <c r="C46" s="76">
        <f t="shared" si="9"/>
        <v>5308.88</v>
      </c>
      <c r="D46" s="76"/>
      <c r="E46" s="76">
        <f t="shared" si="13"/>
        <v>5308.88</v>
      </c>
      <c r="F46" s="76">
        <f t="shared" ref="F46:N46" si="19">E46+F9</f>
        <v>5308.88</v>
      </c>
      <c r="G46" s="76">
        <f t="shared" si="19"/>
        <v>5308.88</v>
      </c>
      <c r="H46" s="76">
        <f t="shared" si="19"/>
        <v>5308.88</v>
      </c>
      <c r="I46" s="76">
        <f t="shared" si="19"/>
        <v>5308.88</v>
      </c>
      <c r="J46" s="76">
        <f t="shared" si="19"/>
        <v>5308.88</v>
      </c>
      <c r="K46" s="76">
        <f t="shared" si="19"/>
        <v>5084.88</v>
      </c>
      <c r="L46" s="76">
        <f t="shared" si="19"/>
        <v>4174.88</v>
      </c>
      <c r="M46" s="76">
        <f t="shared" si="19"/>
        <v>2343.6800000000003</v>
      </c>
      <c r="N46" s="76">
        <f t="shared" si="19"/>
        <v>2192.4800000000005</v>
      </c>
      <c r="O46" s="76">
        <f t="shared" si="11"/>
        <v>2041.2800000000004</v>
      </c>
      <c r="P46" s="76">
        <f t="shared" si="12"/>
        <v>1940.4800000000005</v>
      </c>
      <c r="R46" s="94"/>
    </row>
    <row r="47" spans="2:21" x14ac:dyDescent="0.25">
      <c r="B47" t="s">
        <v>56</v>
      </c>
      <c r="C47" s="76">
        <f t="shared" si="9"/>
        <v>1056.3699999999999</v>
      </c>
      <c r="D47" s="76"/>
      <c r="E47" s="76">
        <f t="shared" si="13"/>
        <v>1056.3699999999999</v>
      </c>
      <c r="F47" s="76">
        <f t="shared" ref="F47:N47" si="20">E47+F10</f>
        <v>1056.3699999999999</v>
      </c>
      <c r="G47" s="76">
        <f t="shared" si="20"/>
        <v>1056.3699999999999</v>
      </c>
      <c r="H47" s="76">
        <f t="shared" si="20"/>
        <v>1056.3699999999999</v>
      </c>
      <c r="I47" s="76">
        <f t="shared" si="20"/>
        <v>1056.3699999999999</v>
      </c>
      <c r="J47" s="76">
        <f t="shared" si="20"/>
        <v>1056.3699999999999</v>
      </c>
      <c r="K47" s="76">
        <f t="shared" si="20"/>
        <v>1056.3699999999999</v>
      </c>
      <c r="L47" s="76">
        <f t="shared" si="20"/>
        <v>696.36999999999989</v>
      </c>
      <c r="M47" s="76">
        <f t="shared" si="20"/>
        <v>264.36999999999989</v>
      </c>
      <c r="N47" s="76">
        <f t="shared" si="20"/>
        <v>-167.63000000000011</v>
      </c>
      <c r="O47" s="76">
        <f t="shared" si="11"/>
        <v>-599.63000000000011</v>
      </c>
      <c r="P47" s="76">
        <f t="shared" si="12"/>
        <v>-887.63000000000011</v>
      </c>
      <c r="R47" s="94"/>
    </row>
    <row r="48" spans="2:21" x14ac:dyDescent="0.25">
      <c r="B48" t="s">
        <v>58</v>
      </c>
      <c r="C48" s="76">
        <f t="shared" si="9"/>
        <v>781.57</v>
      </c>
      <c r="D48" s="76"/>
      <c r="E48" s="76">
        <f t="shared" si="13"/>
        <v>781.57</v>
      </c>
      <c r="F48" s="76">
        <f t="shared" ref="F48:N48" si="21">E48+F11</f>
        <v>781.57</v>
      </c>
      <c r="G48" s="76">
        <f t="shared" si="21"/>
        <v>781.57</v>
      </c>
      <c r="H48" s="76">
        <f t="shared" si="21"/>
        <v>781.57</v>
      </c>
      <c r="I48" s="76">
        <f t="shared" si="21"/>
        <v>781.57</v>
      </c>
      <c r="J48" s="76">
        <f t="shared" si="21"/>
        <v>781.57</v>
      </c>
      <c r="K48" s="76">
        <f t="shared" si="21"/>
        <v>781.57</v>
      </c>
      <c r="L48" s="76">
        <f t="shared" si="21"/>
        <v>781.57</v>
      </c>
      <c r="M48" s="76">
        <f t="shared" si="21"/>
        <v>781.57</v>
      </c>
      <c r="N48" s="76">
        <f t="shared" si="21"/>
        <v>781.57</v>
      </c>
      <c r="O48" s="76">
        <f t="shared" si="11"/>
        <v>781.57</v>
      </c>
      <c r="P48" s="76">
        <f t="shared" si="12"/>
        <v>781.57</v>
      </c>
      <c r="R48" s="94"/>
    </row>
    <row r="49" spans="2:18" x14ac:dyDescent="0.25">
      <c r="B49" t="s">
        <v>60</v>
      </c>
      <c r="C49" s="76">
        <f t="shared" si="9"/>
        <v>0.12</v>
      </c>
      <c r="D49" s="76"/>
      <c r="E49" s="76">
        <f t="shared" si="13"/>
        <v>0.12</v>
      </c>
      <c r="F49" s="76">
        <f t="shared" ref="F49:N49" si="22">E49+F12</f>
        <v>0.12</v>
      </c>
      <c r="G49" s="76">
        <f t="shared" si="22"/>
        <v>0.12</v>
      </c>
      <c r="H49" s="76">
        <f t="shared" si="22"/>
        <v>0.12</v>
      </c>
      <c r="I49" s="76">
        <f t="shared" si="22"/>
        <v>0.12</v>
      </c>
      <c r="J49" s="76">
        <f t="shared" si="22"/>
        <v>0.12</v>
      </c>
      <c r="K49" s="76">
        <f t="shared" si="22"/>
        <v>0.12</v>
      </c>
      <c r="L49" s="76">
        <f t="shared" si="22"/>
        <v>-269.88</v>
      </c>
      <c r="M49" s="76">
        <f t="shared" si="22"/>
        <v>-593.87999999999988</v>
      </c>
      <c r="N49" s="76">
        <f t="shared" si="22"/>
        <v>-917.87999999999988</v>
      </c>
      <c r="O49" s="76">
        <f t="shared" si="11"/>
        <v>-1241.8799999999999</v>
      </c>
      <c r="P49" s="76">
        <f t="shared" si="12"/>
        <v>-1457.8799999999999</v>
      </c>
      <c r="R49" s="94"/>
    </row>
    <row r="50" spans="2:18" x14ac:dyDescent="0.25">
      <c r="B50" t="s">
        <v>61</v>
      </c>
      <c r="C50" s="76">
        <f t="shared" si="9"/>
        <v>240.84</v>
      </c>
      <c r="D50" s="76"/>
      <c r="E50" s="76">
        <f t="shared" si="13"/>
        <v>240.84</v>
      </c>
      <c r="F50" s="76">
        <f t="shared" ref="F50:N50" si="23">E50+F13</f>
        <v>240.84</v>
      </c>
      <c r="G50" s="76">
        <f t="shared" si="23"/>
        <v>240.84</v>
      </c>
      <c r="H50" s="76">
        <f t="shared" si="23"/>
        <v>240.84</v>
      </c>
      <c r="I50" s="76">
        <f t="shared" si="23"/>
        <v>240.84</v>
      </c>
      <c r="J50" s="76">
        <f t="shared" si="23"/>
        <v>240.84</v>
      </c>
      <c r="K50" s="76">
        <f t="shared" si="23"/>
        <v>240.84</v>
      </c>
      <c r="L50" s="76">
        <f t="shared" si="23"/>
        <v>204.84</v>
      </c>
      <c r="M50" s="76">
        <f t="shared" si="23"/>
        <v>161.63999999999999</v>
      </c>
      <c r="N50" s="76">
        <f t="shared" si="23"/>
        <v>118.43999999999998</v>
      </c>
      <c r="O50" s="76">
        <f t="shared" si="11"/>
        <v>75.239999999999981</v>
      </c>
      <c r="P50" s="76">
        <f t="shared" si="12"/>
        <v>46.439999999999976</v>
      </c>
      <c r="R50" s="94"/>
    </row>
    <row r="51" spans="2:18" x14ac:dyDescent="0.25">
      <c r="B51" t="s">
        <v>64</v>
      </c>
      <c r="C51" s="76">
        <f t="shared" si="9"/>
        <v>5378.19</v>
      </c>
      <c r="D51" s="76"/>
      <c r="E51" s="76">
        <f t="shared" si="13"/>
        <v>5378.19</v>
      </c>
      <c r="F51" s="76">
        <f t="shared" ref="F51:N51" si="24">E51+F14</f>
        <v>5378.19</v>
      </c>
      <c r="G51" s="76">
        <f t="shared" si="24"/>
        <v>5378.19</v>
      </c>
      <c r="H51" s="76">
        <f t="shared" si="24"/>
        <v>5378.19</v>
      </c>
      <c r="I51" s="76">
        <f t="shared" si="24"/>
        <v>5378.19</v>
      </c>
      <c r="J51" s="76">
        <f t="shared" si="24"/>
        <v>4738.1899999999996</v>
      </c>
      <c r="K51" s="76">
        <f t="shared" si="24"/>
        <v>3202.1899999999996</v>
      </c>
      <c r="L51" s="76">
        <f t="shared" si="24"/>
        <v>1986.1899999999996</v>
      </c>
      <c r="M51" s="76">
        <f t="shared" si="24"/>
        <v>-413.8100000000004</v>
      </c>
      <c r="N51" s="76">
        <f t="shared" si="24"/>
        <v>-1053.8100000000004</v>
      </c>
      <c r="O51" s="76">
        <f t="shared" si="11"/>
        <v>-1053.8100000000004</v>
      </c>
      <c r="P51" s="76">
        <f t="shared" si="12"/>
        <v>-1053.8100000000004</v>
      </c>
      <c r="R51" s="94"/>
    </row>
    <row r="52" spans="2:18" x14ac:dyDescent="0.25">
      <c r="B52" t="s">
        <v>66</v>
      </c>
      <c r="C52" s="76">
        <f t="shared" si="9"/>
        <v>1835.83</v>
      </c>
      <c r="D52" s="76"/>
      <c r="E52" s="76">
        <f t="shared" si="13"/>
        <v>1835.83</v>
      </c>
      <c r="F52" s="76">
        <f t="shared" ref="F52:N52" si="25">E52+F15</f>
        <v>1835.83</v>
      </c>
      <c r="G52" s="76">
        <f t="shared" si="25"/>
        <v>1835.83</v>
      </c>
      <c r="H52" s="76">
        <f t="shared" si="25"/>
        <v>1835.83</v>
      </c>
      <c r="I52" s="76">
        <f t="shared" si="25"/>
        <v>1835.83</v>
      </c>
      <c r="J52" s="76">
        <f t="shared" si="25"/>
        <v>1515.83</v>
      </c>
      <c r="K52" s="76">
        <f t="shared" si="25"/>
        <v>555.82999999999993</v>
      </c>
      <c r="L52" s="76">
        <f t="shared" si="25"/>
        <v>-444.17000000000007</v>
      </c>
      <c r="M52" s="76">
        <f t="shared" si="25"/>
        <v>-1326.17</v>
      </c>
      <c r="N52" s="76">
        <f t="shared" si="25"/>
        <v>-4008.17</v>
      </c>
      <c r="O52" s="76">
        <f t="shared" si="11"/>
        <v>-4440.17</v>
      </c>
      <c r="P52" s="76">
        <f t="shared" si="12"/>
        <v>-4728.17</v>
      </c>
      <c r="R52" s="94"/>
    </row>
    <row r="53" spans="2:18" x14ac:dyDescent="0.25">
      <c r="B53" t="s">
        <v>67</v>
      </c>
      <c r="C53" s="76">
        <f t="shared" si="9"/>
        <v>516.5</v>
      </c>
      <c r="D53" s="76"/>
      <c r="E53" s="76">
        <f t="shared" si="13"/>
        <v>516.5</v>
      </c>
      <c r="F53" s="76">
        <f t="shared" ref="F53:N53" si="26">E53+F16</f>
        <v>516.5</v>
      </c>
      <c r="G53" s="76">
        <f t="shared" si="26"/>
        <v>516.5</v>
      </c>
      <c r="H53" s="76">
        <f t="shared" si="26"/>
        <v>516.5</v>
      </c>
      <c r="I53" s="76">
        <f t="shared" si="26"/>
        <v>516.5</v>
      </c>
      <c r="J53" s="76">
        <f t="shared" si="26"/>
        <v>516.5</v>
      </c>
      <c r="K53" s="76">
        <f t="shared" si="26"/>
        <v>516.5</v>
      </c>
      <c r="L53" s="76">
        <f t="shared" si="26"/>
        <v>516.5</v>
      </c>
      <c r="M53" s="76">
        <f t="shared" si="26"/>
        <v>516.5</v>
      </c>
      <c r="N53" s="76">
        <f t="shared" si="26"/>
        <v>516.5</v>
      </c>
      <c r="O53" s="76">
        <f t="shared" si="11"/>
        <v>516.5</v>
      </c>
      <c r="P53" s="76">
        <f t="shared" si="12"/>
        <v>516.5</v>
      </c>
      <c r="R53" s="94"/>
    </row>
    <row r="54" spans="2:18" x14ac:dyDescent="0.25">
      <c r="B54" t="s">
        <v>68</v>
      </c>
      <c r="C54" s="76">
        <f t="shared" si="9"/>
        <v>1496.37</v>
      </c>
      <c r="D54" s="76"/>
      <c r="E54" s="76">
        <f t="shared" si="13"/>
        <v>1496.37</v>
      </c>
      <c r="F54" s="76">
        <f t="shared" ref="F54:N54" si="27">E54+F17</f>
        <v>1496.37</v>
      </c>
      <c r="G54" s="76">
        <f t="shared" si="27"/>
        <v>1496.37</v>
      </c>
      <c r="H54" s="76">
        <f t="shared" si="27"/>
        <v>1496.37</v>
      </c>
      <c r="I54" s="76">
        <f t="shared" si="27"/>
        <v>1496.37</v>
      </c>
      <c r="J54" s="76">
        <f t="shared" si="27"/>
        <v>1496.37</v>
      </c>
      <c r="K54" s="76">
        <f t="shared" si="27"/>
        <v>1496.37</v>
      </c>
      <c r="L54" s="76">
        <f t="shared" si="27"/>
        <v>1316.37</v>
      </c>
      <c r="M54" s="76">
        <f t="shared" si="27"/>
        <v>1316.37</v>
      </c>
      <c r="N54" s="76">
        <f t="shared" si="27"/>
        <v>1316.37</v>
      </c>
      <c r="O54" s="76">
        <f t="shared" si="11"/>
        <v>1316.37</v>
      </c>
      <c r="P54" s="76">
        <f t="shared" si="12"/>
        <v>1316.37</v>
      </c>
      <c r="R54" s="94"/>
    </row>
    <row r="55" spans="2:18" x14ac:dyDescent="0.25">
      <c r="B55" t="s">
        <v>69</v>
      </c>
      <c r="C55" s="76">
        <f t="shared" si="9"/>
        <v>475.9</v>
      </c>
      <c r="D55" s="76"/>
      <c r="E55" s="76">
        <f t="shared" si="13"/>
        <v>475.9</v>
      </c>
      <c r="F55" s="76">
        <f t="shared" ref="F55:N55" si="28">E55+F18</f>
        <v>475.9</v>
      </c>
      <c r="G55" s="76">
        <f t="shared" si="28"/>
        <v>475.9</v>
      </c>
      <c r="H55" s="76">
        <f t="shared" si="28"/>
        <v>475.9</v>
      </c>
      <c r="I55" s="76">
        <f t="shared" si="28"/>
        <v>475.9</v>
      </c>
      <c r="J55" s="76">
        <f t="shared" si="28"/>
        <v>475.9</v>
      </c>
      <c r="K55" s="76">
        <f t="shared" si="28"/>
        <v>475.9</v>
      </c>
      <c r="L55" s="76">
        <f t="shared" si="28"/>
        <v>421.9</v>
      </c>
      <c r="M55" s="76">
        <f t="shared" si="28"/>
        <v>357.09999999999997</v>
      </c>
      <c r="N55" s="76">
        <f t="shared" si="28"/>
        <v>292.29999999999995</v>
      </c>
      <c r="O55" s="76">
        <f t="shared" si="11"/>
        <v>227.49999999999994</v>
      </c>
      <c r="P55" s="76">
        <f t="shared" si="12"/>
        <v>184.29999999999995</v>
      </c>
      <c r="R55" s="94"/>
    </row>
    <row r="56" spans="2:18" x14ac:dyDescent="0.25">
      <c r="B56" t="s">
        <v>70</v>
      </c>
      <c r="C56" s="76">
        <f t="shared" si="9"/>
        <v>2536.4699999999998</v>
      </c>
      <c r="D56" s="76"/>
      <c r="E56" s="76">
        <f t="shared" si="13"/>
        <v>2536.4699999999998</v>
      </c>
      <c r="F56" s="76">
        <f t="shared" ref="F56:N56" si="29">E56+F19</f>
        <v>2536.4699999999998</v>
      </c>
      <c r="G56" s="76">
        <f t="shared" si="29"/>
        <v>2536.4699999999998</v>
      </c>
      <c r="H56" s="76">
        <f t="shared" si="29"/>
        <v>2536.4699999999998</v>
      </c>
      <c r="I56" s="76">
        <f t="shared" si="29"/>
        <v>2536.4699999999998</v>
      </c>
      <c r="J56" s="76">
        <f t="shared" si="29"/>
        <v>2086.4699999999998</v>
      </c>
      <c r="K56" s="76">
        <f t="shared" si="29"/>
        <v>2086.4699999999998</v>
      </c>
      <c r="L56" s="76">
        <f t="shared" si="29"/>
        <v>1906.4699999999998</v>
      </c>
      <c r="M56" s="76">
        <f t="shared" si="29"/>
        <v>556.4699999999998</v>
      </c>
      <c r="N56" s="76">
        <f t="shared" si="29"/>
        <v>-3647.28</v>
      </c>
      <c r="O56" s="76">
        <f t="shared" si="11"/>
        <v>-5897.2800000000007</v>
      </c>
      <c r="P56" s="76">
        <f t="shared" si="12"/>
        <v>-5897.2800000000007</v>
      </c>
    </row>
    <row r="57" spans="2:18" x14ac:dyDescent="0.25">
      <c r="B57" t="s">
        <v>71</v>
      </c>
      <c r="C57" s="76">
        <f t="shared" si="9"/>
        <v>373.54</v>
      </c>
      <c r="D57" s="76"/>
      <c r="E57" s="76">
        <f t="shared" si="13"/>
        <v>373.54</v>
      </c>
      <c r="F57" s="76">
        <f t="shared" ref="F57:N57" si="30">E57+F20</f>
        <v>373.54</v>
      </c>
      <c r="G57" s="76">
        <f t="shared" si="30"/>
        <v>373.54</v>
      </c>
      <c r="H57" s="76">
        <f t="shared" si="30"/>
        <v>373.54</v>
      </c>
      <c r="I57" s="76">
        <f t="shared" si="30"/>
        <v>373.54</v>
      </c>
      <c r="J57" s="76">
        <f t="shared" si="30"/>
        <v>-976.46</v>
      </c>
      <c r="K57" s="76">
        <f t="shared" si="30"/>
        <v>-976.46</v>
      </c>
      <c r="L57" s="76">
        <f t="shared" si="30"/>
        <v>-976.46</v>
      </c>
      <c r="M57" s="76">
        <f t="shared" si="30"/>
        <v>-976.46</v>
      </c>
      <c r="N57" s="76">
        <f t="shared" si="30"/>
        <v>-4137.71</v>
      </c>
      <c r="O57" s="76">
        <f t="shared" si="11"/>
        <v>-5487.71</v>
      </c>
      <c r="P57" s="76">
        <f t="shared" si="12"/>
        <v>-5487.71</v>
      </c>
    </row>
    <row r="58" spans="2:18" x14ac:dyDescent="0.25">
      <c r="B58" t="s">
        <v>72</v>
      </c>
      <c r="C58" s="76">
        <f t="shared" si="9"/>
        <v>348.81</v>
      </c>
      <c r="D58" s="76"/>
      <c r="E58" s="76">
        <f t="shared" si="13"/>
        <v>348.81</v>
      </c>
      <c r="F58" s="76">
        <f t="shared" ref="F58:N58" si="31">E58+F21</f>
        <v>348.81</v>
      </c>
      <c r="G58" s="76">
        <f t="shared" si="31"/>
        <v>348.81</v>
      </c>
      <c r="H58" s="76">
        <f t="shared" si="31"/>
        <v>348.81</v>
      </c>
      <c r="I58" s="76">
        <f t="shared" si="31"/>
        <v>348.81</v>
      </c>
      <c r="J58" s="76">
        <f t="shared" si="31"/>
        <v>348.81</v>
      </c>
      <c r="K58" s="76">
        <f t="shared" si="31"/>
        <v>348.81</v>
      </c>
      <c r="L58" s="76">
        <f t="shared" si="31"/>
        <v>348.81</v>
      </c>
      <c r="M58" s="76">
        <f t="shared" si="31"/>
        <v>-291.19</v>
      </c>
      <c r="N58" s="76">
        <f t="shared" si="31"/>
        <v>-291.19</v>
      </c>
      <c r="O58" s="76">
        <f t="shared" si="11"/>
        <v>-291.19</v>
      </c>
      <c r="P58" s="76">
        <f t="shared" si="12"/>
        <v>-291.19</v>
      </c>
    </row>
    <row r="59" spans="2:18" x14ac:dyDescent="0.25">
      <c r="B59" t="s">
        <v>73</v>
      </c>
      <c r="C59" s="76">
        <f t="shared" si="9"/>
        <v>10.57</v>
      </c>
      <c r="D59" s="76"/>
      <c r="E59" s="76">
        <f t="shared" si="13"/>
        <v>10.57</v>
      </c>
      <c r="F59" s="76">
        <f t="shared" ref="F59:N59" si="32">E59+F22</f>
        <v>10.57</v>
      </c>
      <c r="G59" s="76">
        <f t="shared" si="32"/>
        <v>10.57</v>
      </c>
      <c r="H59" s="76">
        <f t="shared" si="32"/>
        <v>10.57</v>
      </c>
      <c r="I59" s="76">
        <f t="shared" si="32"/>
        <v>10.57</v>
      </c>
      <c r="J59" s="76">
        <f t="shared" si="32"/>
        <v>10.57</v>
      </c>
      <c r="K59" s="76">
        <f t="shared" si="32"/>
        <v>10.57</v>
      </c>
      <c r="L59" s="76">
        <f t="shared" si="32"/>
        <v>10.57</v>
      </c>
      <c r="M59" s="76">
        <f t="shared" si="32"/>
        <v>10.57</v>
      </c>
      <c r="N59" s="76">
        <f t="shared" si="32"/>
        <v>10.57</v>
      </c>
      <c r="O59" s="76">
        <f t="shared" si="11"/>
        <v>10.57</v>
      </c>
      <c r="P59" s="76">
        <f t="shared" si="12"/>
        <v>10.57</v>
      </c>
    </row>
    <row r="60" spans="2:18" x14ac:dyDescent="0.25">
      <c r="B60" t="s">
        <v>74</v>
      </c>
      <c r="C60" s="76">
        <f t="shared" si="9"/>
        <v>1558.27</v>
      </c>
      <c r="D60" s="76"/>
      <c r="E60" s="76">
        <f t="shared" si="13"/>
        <v>1558.27</v>
      </c>
      <c r="F60" s="76">
        <f t="shared" ref="F60:N60" si="33">E60+F23</f>
        <v>1558.27</v>
      </c>
      <c r="G60" s="76">
        <f t="shared" si="33"/>
        <v>1558.27</v>
      </c>
      <c r="H60" s="76">
        <f t="shared" si="33"/>
        <v>1558.27</v>
      </c>
      <c r="I60" s="76">
        <f t="shared" si="33"/>
        <v>1558.27</v>
      </c>
      <c r="J60" s="76">
        <f t="shared" si="33"/>
        <v>1558.27</v>
      </c>
      <c r="K60" s="76">
        <f t="shared" si="33"/>
        <v>1558.27</v>
      </c>
      <c r="L60" s="76">
        <f t="shared" si="33"/>
        <v>1558.27</v>
      </c>
      <c r="M60" s="76">
        <f t="shared" si="33"/>
        <v>1558.27</v>
      </c>
      <c r="N60" s="76">
        <f t="shared" si="33"/>
        <v>1558.27</v>
      </c>
      <c r="O60" s="76">
        <f t="shared" si="11"/>
        <v>1558.27</v>
      </c>
      <c r="P60" s="76">
        <f t="shared" si="12"/>
        <v>1558.27</v>
      </c>
    </row>
    <row r="61" spans="2:18" x14ac:dyDescent="0.25">
      <c r="B61" t="s">
        <v>75</v>
      </c>
      <c r="C61" s="76">
        <f t="shared" si="9"/>
        <v>813.41</v>
      </c>
      <c r="D61" s="76"/>
      <c r="E61" s="76">
        <f t="shared" si="13"/>
        <v>813.41</v>
      </c>
      <c r="F61" s="76">
        <f t="shared" ref="F61:N61" si="34">E61+F24</f>
        <v>813.41</v>
      </c>
      <c r="G61" s="76">
        <f t="shared" si="34"/>
        <v>813.41</v>
      </c>
      <c r="H61" s="76">
        <f t="shared" si="34"/>
        <v>813.41</v>
      </c>
      <c r="I61" s="76">
        <f t="shared" si="34"/>
        <v>813.41</v>
      </c>
      <c r="J61" s="76">
        <f t="shared" si="34"/>
        <v>813.41</v>
      </c>
      <c r="K61" s="76">
        <f t="shared" si="34"/>
        <v>813.41</v>
      </c>
      <c r="L61" s="76">
        <f t="shared" si="34"/>
        <v>813.41</v>
      </c>
      <c r="M61" s="76">
        <f t="shared" si="34"/>
        <v>813.41</v>
      </c>
      <c r="N61" s="76">
        <f t="shared" si="34"/>
        <v>813.41</v>
      </c>
      <c r="O61" s="76">
        <f t="shared" si="11"/>
        <v>813.41</v>
      </c>
      <c r="P61" s="76">
        <f t="shared" si="12"/>
        <v>813.41</v>
      </c>
    </row>
    <row r="62" spans="2:18" x14ac:dyDescent="0.25">
      <c r="B62" t="s">
        <v>76</v>
      </c>
      <c r="C62" s="76">
        <f t="shared" si="9"/>
        <v>951.8</v>
      </c>
      <c r="D62" s="76"/>
      <c r="E62" s="76">
        <f t="shared" si="13"/>
        <v>951.8</v>
      </c>
      <c r="F62" s="76">
        <f t="shared" ref="F62:N62" si="35">E62+F25</f>
        <v>951.8</v>
      </c>
      <c r="G62" s="76">
        <f t="shared" si="35"/>
        <v>951.8</v>
      </c>
      <c r="H62" s="76">
        <f t="shared" si="35"/>
        <v>951.8</v>
      </c>
      <c r="I62" s="76">
        <f t="shared" si="35"/>
        <v>951.8</v>
      </c>
      <c r="J62" s="76">
        <f t="shared" si="35"/>
        <v>951.8</v>
      </c>
      <c r="K62" s="76">
        <f t="shared" si="35"/>
        <v>951.8</v>
      </c>
      <c r="L62" s="76">
        <f t="shared" si="35"/>
        <v>951.8</v>
      </c>
      <c r="M62" s="76">
        <f t="shared" si="35"/>
        <v>951.8</v>
      </c>
      <c r="N62" s="76">
        <f t="shared" si="35"/>
        <v>951.8</v>
      </c>
      <c r="O62" s="76">
        <f t="shared" si="11"/>
        <v>951.8</v>
      </c>
      <c r="P62" s="76">
        <f t="shared" si="12"/>
        <v>951.8</v>
      </c>
    </row>
    <row r="63" spans="2:18" x14ac:dyDescent="0.25">
      <c r="C63" s="76"/>
      <c r="D63" s="76"/>
    </row>
  </sheetData>
  <mergeCells count="2">
    <mergeCell ref="U13:W13"/>
    <mergeCell ref="U2:W2"/>
  </mergeCells>
  <conditionalFormatting sqref="E3:P4">
    <cfRule type="expression" priority="73">
      <formula>#REF!=MIN(E32:V55)</formula>
    </cfRule>
  </conditionalFormatting>
  <conditionalFormatting sqref="E3:P25">
    <cfRule type="expression" dxfId="13" priority="41">
      <formula>E40&lt;0</formula>
    </cfRule>
  </conditionalFormatting>
  <conditionalFormatting sqref="E5:P25">
    <cfRule type="expression" priority="74">
      <formula>E32=MIN(E32:V57)</formula>
    </cfRule>
  </conditionalFormatting>
  <conditionalFormatting sqref="E40:P62">
    <cfRule type="expression" dxfId="12" priority="6">
      <formula>MIN(0,E40)</formula>
    </cfRule>
  </conditionalFormatting>
  <conditionalFormatting sqref="R3:R25">
    <cfRule type="cellIs" dxfId="11" priority="9" operator="lessThan">
      <formula>0</formula>
    </cfRule>
  </conditionalFormatting>
  <conditionalFormatting sqref="Z3:Z6">
    <cfRule type="cellIs" dxfId="1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E99"/>
  <sheetViews>
    <sheetView zoomScale="50" zoomScaleNormal="50" workbookViewId="0">
      <selection activeCell="K46" sqref="K46"/>
    </sheetView>
  </sheetViews>
  <sheetFormatPr defaultRowHeight="15" x14ac:dyDescent="0.25"/>
  <cols>
    <col min="1" max="1" width="3.42578125" customWidth="1"/>
    <col min="2" max="2" width="27.28515625" customWidth="1"/>
    <col min="3" max="3" width="17.5703125" style="1" customWidth="1"/>
    <col min="4" max="4" width="12.28515625" style="1" customWidth="1"/>
    <col min="5" max="5" width="15" style="1" bestFit="1" customWidth="1"/>
    <col min="6" max="6" width="16.7109375" customWidth="1"/>
    <col min="7" max="7" width="10.85546875" customWidth="1"/>
    <col min="8" max="8" width="25.5703125" bestFit="1" customWidth="1"/>
    <col min="9" max="10" width="18.5703125" customWidth="1"/>
    <col min="11" max="11" width="18.85546875" bestFit="1" customWidth="1"/>
    <col min="12" max="12" width="20.85546875" customWidth="1"/>
    <col min="13" max="13" width="40" bestFit="1" customWidth="1"/>
    <col min="14" max="17" width="20.85546875" customWidth="1"/>
    <col min="18" max="18" width="20.85546875" style="181" customWidth="1"/>
    <col min="19" max="22" width="20.85546875" customWidth="1"/>
    <col min="23" max="23" width="19.42578125" customWidth="1"/>
    <col min="24" max="24" width="21.7109375" bestFit="1" customWidth="1"/>
    <col min="25" max="25" width="22" bestFit="1" customWidth="1"/>
    <col min="26" max="27" width="12" customWidth="1"/>
    <col min="28" max="28" width="16.28515625" bestFit="1" customWidth="1"/>
    <col min="29" max="29" width="16.42578125" bestFit="1" customWidth="1"/>
    <col min="30" max="30" width="32.85546875" bestFit="1" customWidth="1"/>
  </cols>
  <sheetData>
    <row r="1" spans="2:31" x14ac:dyDescent="0.25">
      <c r="M1" s="173" t="s">
        <v>93</v>
      </c>
      <c r="N1" s="173"/>
      <c r="O1" s="173"/>
      <c r="P1" s="173"/>
      <c r="Q1" s="173"/>
    </row>
    <row r="2" spans="2:31" s="26" customFormat="1" ht="78.75" customHeight="1" thickBot="1" x14ac:dyDescent="0.3">
      <c r="B2" s="12" t="s">
        <v>94</v>
      </c>
      <c r="C2" s="6" t="s">
        <v>95</v>
      </c>
      <c r="D2" s="6" t="s">
        <v>96</v>
      </c>
      <c r="E2" s="6" t="s">
        <v>97</v>
      </c>
      <c r="G2"/>
      <c r="H2" s="206" t="s">
        <v>98</v>
      </c>
      <c r="I2" s="192" t="s">
        <v>99</v>
      </c>
      <c r="J2" s="192" t="s">
        <v>100</v>
      </c>
      <c r="K2" s="192" t="s">
        <v>101</v>
      </c>
      <c r="L2" s="14"/>
      <c r="M2" s="191" t="s">
        <v>98</v>
      </c>
      <c r="N2" s="192" t="s">
        <v>102</v>
      </c>
      <c r="O2" s="192" t="s">
        <v>103</v>
      </c>
      <c r="P2" s="192" t="s">
        <v>104</v>
      </c>
      <c r="Q2" t="s">
        <v>105</v>
      </c>
      <c r="R2" t="s">
        <v>106</v>
      </c>
      <c r="S2" s="181"/>
      <c r="T2"/>
      <c r="U2"/>
      <c r="V2"/>
      <c r="W2"/>
      <c r="X2"/>
      <c r="Y2"/>
      <c r="Z2"/>
      <c r="AA2"/>
      <c r="AB2"/>
      <c r="AC2"/>
      <c r="AD2"/>
      <c r="AE2"/>
    </row>
    <row r="3" spans="2:31" ht="19.5" thickTop="1" thickBot="1" x14ac:dyDescent="0.3">
      <c r="B3" s="25" t="s">
        <v>37</v>
      </c>
      <c r="C3" s="25">
        <f>+K3</f>
        <v>5783.01</v>
      </c>
      <c r="D3" s="25"/>
      <c r="E3" s="5">
        <f>+C3+D3</f>
        <v>5783.01</v>
      </c>
      <c r="H3" s="207" t="s">
        <v>37</v>
      </c>
      <c r="I3" s="195" t="s">
        <v>107</v>
      </c>
      <c r="J3" s="195" t="s">
        <v>107</v>
      </c>
      <c r="K3" s="208">
        <v>5783.01</v>
      </c>
      <c r="M3" s="193" t="s">
        <v>37</v>
      </c>
      <c r="N3" s="194">
        <v>340</v>
      </c>
      <c r="O3" s="195">
        <v>0</v>
      </c>
      <c r="P3" s="196">
        <v>340</v>
      </c>
      <c r="Q3">
        <f>K3-P3</f>
        <v>5443.01</v>
      </c>
      <c r="R3"/>
      <c r="S3" s="181"/>
    </row>
    <row r="4" spans="2:31" ht="18.75" thickBot="1" x14ac:dyDescent="0.3">
      <c r="B4" s="25" t="s">
        <v>41</v>
      </c>
      <c r="C4" s="25">
        <f>+K4+K5</f>
        <v>3158.01</v>
      </c>
      <c r="D4" s="95"/>
      <c r="E4" s="5">
        <f>+C4+D4</f>
        <v>3158.01</v>
      </c>
      <c r="H4" s="210" t="s">
        <v>41</v>
      </c>
      <c r="I4" s="169">
        <v>0</v>
      </c>
      <c r="J4" s="169">
        <v>2696.34</v>
      </c>
      <c r="K4" s="170">
        <v>2696.34</v>
      </c>
      <c r="M4" s="174" t="s">
        <v>41</v>
      </c>
      <c r="N4" s="169">
        <v>0</v>
      </c>
      <c r="O4" s="169">
        <v>356</v>
      </c>
      <c r="P4" s="170">
        <v>356</v>
      </c>
      <c r="Q4" s="39">
        <f>(K4+K5)-(P4+P5)</f>
        <v>-1062.9899999999998</v>
      </c>
      <c r="R4"/>
      <c r="S4" s="182"/>
    </row>
    <row r="5" spans="2:31" ht="36.75" thickBot="1" x14ac:dyDescent="0.3">
      <c r="B5" s="25" t="s">
        <v>44</v>
      </c>
      <c r="C5" s="25">
        <f>+K6</f>
        <v>2752.19</v>
      </c>
      <c r="D5" s="95"/>
      <c r="E5" s="5">
        <f>+C5+D5</f>
        <v>2752.19</v>
      </c>
      <c r="H5" s="210" t="s">
        <v>108</v>
      </c>
      <c r="I5" s="169">
        <v>461.67</v>
      </c>
      <c r="J5" s="169">
        <v>0</v>
      </c>
      <c r="K5" s="170">
        <v>461.67</v>
      </c>
      <c r="M5" s="174" t="s">
        <v>108</v>
      </c>
      <c r="N5" s="189">
        <v>645</v>
      </c>
      <c r="O5" s="189">
        <v>3220</v>
      </c>
      <c r="P5" s="190">
        <v>3865</v>
      </c>
      <c r="R5">
        <v>6356</v>
      </c>
      <c r="S5" s="181"/>
    </row>
    <row r="6" spans="2:31" ht="18.75" thickBot="1" x14ac:dyDescent="0.3">
      <c r="B6" s="25" t="s">
        <v>47</v>
      </c>
      <c r="C6" s="25">
        <f>+K7</f>
        <v>122.57</v>
      </c>
      <c r="D6" s="95"/>
      <c r="E6" s="5">
        <f>+C6+D6</f>
        <v>122.57</v>
      </c>
      <c r="H6" s="210" t="s">
        <v>44</v>
      </c>
      <c r="I6" s="169">
        <v>495.42</v>
      </c>
      <c r="J6" s="169">
        <v>2256.77</v>
      </c>
      <c r="K6" s="170">
        <v>2752.19</v>
      </c>
      <c r="M6" s="197" t="s">
        <v>44</v>
      </c>
      <c r="N6" s="198">
        <v>495</v>
      </c>
      <c r="O6" s="198">
        <v>2140</v>
      </c>
      <c r="P6" s="199">
        <v>2636</v>
      </c>
      <c r="Q6" s="39">
        <f>K6-P6</f>
        <v>116.19000000000005</v>
      </c>
      <c r="R6"/>
      <c r="S6" s="181"/>
    </row>
    <row r="7" spans="2:31" ht="18.75" thickBot="1" x14ac:dyDescent="0.3">
      <c r="B7" s="25" t="s">
        <v>50</v>
      </c>
      <c r="C7" s="25">
        <f t="shared" ref="C7:C25" si="0">+K8</f>
        <v>69.069999999999993</v>
      </c>
      <c r="D7" s="95"/>
      <c r="E7" s="5">
        <f>+C7+D7</f>
        <v>69.069999999999993</v>
      </c>
      <c r="H7" s="210" t="s">
        <v>47</v>
      </c>
      <c r="I7" s="169">
        <v>8.4</v>
      </c>
      <c r="J7" s="169">
        <v>114.17</v>
      </c>
      <c r="K7" s="170">
        <v>122.57</v>
      </c>
      <c r="L7">
        <f>K7+K8</f>
        <v>191.64</v>
      </c>
      <c r="M7" s="197" t="s">
        <v>47</v>
      </c>
      <c r="N7" s="200">
        <v>0</v>
      </c>
      <c r="O7" s="200">
        <v>137</v>
      </c>
      <c r="P7" s="201">
        <v>137</v>
      </c>
      <c r="Q7">
        <f>(K7+K8)-P7</f>
        <v>54.639999999999986</v>
      </c>
      <c r="R7"/>
      <c r="S7" s="181"/>
    </row>
    <row r="8" spans="2:31" ht="18.75" thickBot="1" x14ac:dyDescent="0.3">
      <c r="B8" s="25" t="s">
        <v>52</v>
      </c>
      <c r="C8" s="25">
        <f t="shared" si="0"/>
        <v>0</v>
      </c>
      <c r="D8" s="95"/>
      <c r="E8" s="5">
        <f t="shared" ref="E8:E25" si="1">+C8+D8</f>
        <v>0</v>
      </c>
      <c r="H8" s="210" t="s">
        <v>50</v>
      </c>
      <c r="I8" s="169">
        <v>0</v>
      </c>
      <c r="J8" s="169">
        <v>69.069999999999993</v>
      </c>
      <c r="K8" s="170">
        <v>69.069999999999993</v>
      </c>
      <c r="M8" s="174" t="s">
        <v>50</v>
      </c>
      <c r="N8" s="169">
        <v>0</v>
      </c>
      <c r="O8" s="169">
        <v>0</v>
      </c>
      <c r="P8" s="170">
        <v>0</v>
      </c>
      <c r="R8"/>
      <c r="S8" s="181"/>
    </row>
    <row r="9" spans="2:31" ht="18.75" thickBot="1" x14ac:dyDescent="0.3">
      <c r="B9" s="25" t="s">
        <v>54</v>
      </c>
      <c r="C9" s="25">
        <f t="shared" si="0"/>
        <v>5308.88</v>
      </c>
      <c r="D9" s="95"/>
      <c r="E9" s="5">
        <f>+C9+D9</f>
        <v>5308.88</v>
      </c>
      <c r="H9" s="210" t="s">
        <v>52</v>
      </c>
      <c r="I9" s="169">
        <v>0</v>
      </c>
      <c r="J9" s="169">
        <v>0</v>
      </c>
      <c r="K9" s="170">
        <v>0</v>
      </c>
      <c r="M9" s="174" t="s">
        <v>52</v>
      </c>
      <c r="N9" s="169">
        <v>0</v>
      </c>
      <c r="O9" s="169">
        <v>0</v>
      </c>
      <c r="P9" s="170">
        <v>0</v>
      </c>
      <c r="R9"/>
      <c r="S9" s="181"/>
    </row>
    <row r="10" spans="2:31" ht="18.75" thickBot="1" x14ac:dyDescent="0.3">
      <c r="B10" s="25" t="s">
        <v>56</v>
      </c>
      <c r="C10" s="25">
        <f t="shared" si="0"/>
        <v>1056.3699999999999</v>
      </c>
      <c r="D10" s="95"/>
      <c r="E10" s="5">
        <f>+C10+D10</f>
        <v>1056.3699999999999</v>
      </c>
      <c r="H10" s="210" t="s">
        <v>54</v>
      </c>
      <c r="I10" s="169">
        <v>3591.81</v>
      </c>
      <c r="J10" s="169">
        <v>1717.07</v>
      </c>
      <c r="K10" s="170">
        <v>5308.88</v>
      </c>
      <c r="M10" s="197" t="s">
        <v>54</v>
      </c>
      <c r="N10" s="198">
        <v>3592</v>
      </c>
      <c r="O10" s="198">
        <v>1716</v>
      </c>
      <c r="P10" s="199">
        <v>5308</v>
      </c>
      <c r="Q10" s="39">
        <f>K10-P10</f>
        <v>0.88000000000010914</v>
      </c>
      <c r="R10"/>
      <c r="S10" s="181"/>
    </row>
    <row r="11" spans="2:31" ht="18.75" thickBot="1" x14ac:dyDescent="0.3">
      <c r="B11" s="25" t="s">
        <v>58</v>
      </c>
      <c r="C11" s="25">
        <f t="shared" si="0"/>
        <v>781.57</v>
      </c>
      <c r="D11" s="95"/>
      <c r="E11" s="5">
        <f t="shared" si="1"/>
        <v>781.57</v>
      </c>
      <c r="H11" s="210" t="s">
        <v>56</v>
      </c>
      <c r="I11" s="169">
        <v>187.96</v>
      </c>
      <c r="J11" s="169">
        <v>868.41</v>
      </c>
      <c r="K11" s="170">
        <v>1056.3699999999999</v>
      </c>
      <c r="L11">
        <f>K11+K12</f>
        <v>1837.94</v>
      </c>
      <c r="M11" s="197" t="s">
        <v>56</v>
      </c>
      <c r="N11" s="198">
        <v>2379</v>
      </c>
      <c r="O11" s="198">
        <v>1205</v>
      </c>
      <c r="P11" s="199">
        <v>3585</v>
      </c>
      <c r="Q11" s="39">
        <f>(K11+K12)-(P11+P12)</f>
        <v>-1749.06</v>
      </c>
      <c r="R11" s="39"/>
      <c r="S11" s="181"/>
    </row>
    <row r="12" spans="2:31" ht="18.75" thickBot="1" x14ac:dyDescent="0.3">
      <c r="B12" s="25" t="s">
        <v>60</v>
      </c>
      <c r="C12" s="25">
        <f t="shared" si="0"/>
        <v>0.12</v>
      </c>
      <c r="D12" s="95"/>
      <c r="E12" s="5">
        <f t="shared" si="1"/>
        <v>0.12</v>
      </c>
      <c r="H12" s="210" t="s">
        <v>58</v>
      </c>
      <c r="I12" s="169">
        <v>0</v>
      </c>
      <c r="J12" s="169">
        <v>781.57</v>
      </c>
      <c r="K12" s="170">
        <v>781.57</v>
      </c>
      <c r="M12" s="197" t="s">
        <v>58</v>
      </c>
      <c r="N12" s="198">
        <v>0</v>
      </c>
      <c r="O12" s="200">
        <v>2</v>
      </c>
      <c r="P12" s="199">
        <v>2</v>
      </c>
      <c r="R12"/>
      <c r="S12" s="181"/>
    </row>
    <row r="13" spans="2:31" ht="30.75" thickBot="1" x14ac:dyDescent="0.3">
      <c r="B13" s="25" t="s">
        <v>61</v>
      </c>
      <c r="C13" s="25">
        <f t="shared" si="0"/>
        <v>240.84</v>
      </c>
      <c r="D13" s="95"/>
      <c r="E13" s="5">
        <f t="shared" ref="E13:E19" si="2">+C13+D13</f>
        <v>240.84</v>
      </c>
      <c r="H13" s="210" t="s">
        <v>60</v>
      </c>
      <c r="I13" s="169">
        <v>0.12</v>
      </c>
      <c r="J13" s="169">
        <v>0</v>
      </c>
      <c r="K13" s="170">
        <v>0.12</v>
      </c>
      <c r="L13">
        <f>K13+K14</f>
        <v>240.96</v>
      </c>
      <c r="M13" s="197" t="s">
        <v>60</v>
      </c>
      <c r="N13" s="200">
        <v>0</v>
      </c>
      <c r="O13" s="200">
        <v>0</v>
      </c>
      <c r="P13" s="201">
        <v>0</v>
      </c>
      <c r="R13">
        <v>0</v>
      </c>
      <c r="S13" s="183" t="s">
        <v>109</v>
      </c>
    </row>
    <row r="14" spans="2:31" ht="18.75" thickBot="1" x14ac:dyDescent="0.3">
      <c r="B14" s="25" t="s">
        <v>64</v>
      </c>
      <c r="C14" s="25">
        <f t="shared" si="0"/>
        <v>5378.19</v>
      </c>
      <c r="D14" s="95"/>
      <c r="E14" s="5">
        <f>+C14+D14</f>
        <v>5378.19</v>
      </c>
      <c r="H14" s="210" t="s">
        <v>61</v>
      </c>
      <c r="I14" s="169">
        <v>3.97</v>
      </c>
      <c r="J14" s="169">
        <v>236.87</v>
      </c>
      <c r="K14" s="170">
        <v>240.84</v>
      </c>
      <c r="L14" s="14"/>
      <c r="M14" s="197" t="s">
        <v>61</v>
      </c>
      <c r="N14" s="200">
        <v>0</v>
      </c>
      <c r="O14" s="200">
        <v>220</v>
      </c>
      <c r="P14" s="201">
        <v>220</v>
      </c>
      <c r="Q14">
        <f>(K13+K14)-P14</f>
        <v>20.960000000000008</v>
      </c>
      <c r="R14">
        <v>226</v>
      </c>
      <c r="S14" s="181"/>
    </row>
    <row r="15" spans="2:31" ht="18.75" thickBot="1" x14ac:dyDescent="0.3">
      <c r="B15" s="25" t="s">
        <v>66</v>
      </c>
      <c r="C15" s="25">
        <f t="shared" si="0"/>
        <v>1835.83</v>
      </c>
      <c r="D15" s="95"/>
      <c r="E15" s="5">
        <f t="shared" si="2"/>
        <v>1835.83</v>
      </c>
      <c r="H15" s="210" t="s">
        <v>64</v>
      </c>
      <c r="I15" s="169">
        <v>2234.54</v>
      </c>
      <c r="J15" s="169">
        <v>3143.65</v>
      </c>
      <c r="K15" s="170">
        <v>5378.19</v>
      </c>
      <c r="M15" s="197" t="s">
        <v>64</v>
      </c>
      <c r="N15" s="198">
        <v>3106</v>
      </c>
      <c r="O15" s="198">
        <v>2201</v>
      </c>
      <c r="P15" s="199">
        <v>5307</v>
      </c>
      <c r="Q15" s="39">
        <f>K15-P15</f>
        <v>71.1899999999996</v>
      </c>
      <c r="R15"/>
      <c r="S15" s="181"/>
    </row>
    <row r="16" spans="2:31" ht="18.75" thickBot="1" x14ac:dyDescent="0.3">
      <c r="B16" s="25" t="s">
        <v>67</v>
      </c>
      <c r="C16" s="25">
        <f t="shared" si="0"/>
        <v>516.5</v>
      </c>
      <c r="D16" s="95"/>
      <c r="E16" s="5">
        <f t="shared" si="2"/>
        <v>516.5</v>
      </c>
      <c r="H16" s="210" t="s">
        <v>66</v>
      </c>
      <c r="I16" s="169">
        <v>1259.5999999999999</v>
      </c>
      <c r="J16" s="169">
        <v>576.23</v>
      </c>
      <c r="K16" s="170">
        <v>1835.83</v>
      </c>
      <c r="M16" s="174" t="s">
        <v>66</v>
      </c>
      <c r="N16" s="189">
        <v>912</v>
      </c>
      <c r="O16" s="189">
        <v>1084</v>
      </c>
      <c r="P16" s="190">
        <v>1996</v>
      </c>
      <c r="Q16" s="39">
        <f>(K16+K17)-(P16+P17)</f>
        <v>55.329999999999927</v>
      </c>
      <c r="R16"/>
      <c r="S16" s="181" t="s">
        <v>110</v>
      </c>
    </row>
    <row r="17" spans="2:30" ht="18.75" thickBot="1" x14ac:dyDescent="0.3">
      <c r="B17" s="25" t="s">
        <v>68</v>
      </c>
      <c r="C17" s="25">
        <f t="shared" si="0"/>
        <v>1496.37</v>
      </c>
      <c r="D17" s="95"/>
      <c r="E17" s="5">
        <f t="shared" si="2"/>
        <v>1496.37</v>
      </c>
      <c r="H17" s="210" t="s">
        <v>67</v>
      </c>
      <c r="I17" s="169">
        <v>0</v>
      </c>
      <c r="J17" s="169">
        <v>516.5</v>
      </c>
      <c r="K17" s="170">
        <v>516.5</v>
      </c>
      <c r="M17" s="174" t="s">
        <v>67</v>
      </c>
      <c r="N17" s="189">
        <v>252</v>
      </c>
      <c r="O17" s="189">
        <v>49</v>
      </c>
      <c r="P17" s="190">
        <v>301</v>
      </c>
      <c r="R17"/>
      <c r="S17" s="181" t="s">
        <v>110</v>
      </c>
    </row>
    <row r="18" spans="2:30" ht="18.75" thickBot="1" x14ac:dyDescent="0.3">
      <c r="B18" s="25" t="s">
        <v>69</v>
      </c>
      <c r="C18" s="25">
        <f t="shared" si="0"/>
        <v>475.9</v>
      </c>
      <c r="D18" s="95"/>
      <c r="E18" s="5">
        <f t="shared" si="2"/>
        <v>475.9</v>
      </c>
      <c r="H18" s="210" t="s">
        <v>68</v>
      </c>
      <c r="I18" s="169">
        <v>511.95</v>
      </c>
      <c r="J18" s="169">
        <v>984.43</v>
      </c>
      <c r="K18" s="170">
        <v>1496.37</v>
      </c>
      <c r="M18" s="174" t="s">
        <v>68</v>
      </c>
      <c r="N18" s="189">
        <v>732</v>
      </c>
      <c r="O18" s="189">
        <v>283</v>
      </c>
      <c r="P18" s="190">
        <v>1015</v>
      </c>
      <c r="R18">
        <v>988</v>
      </c>
      <c r="S18" s="181" t="s">
        <v>110</v>
      </c>
    </row>
    <row r="19" spans="2:30" ht="18.75" thickBot="1" x14ac:dyDescent="0.3">
      <c r="B19" s="25" t="s">
        <v>70</v>
      </c>
      <c r="C19" s="25">
        <f t="shared" si="0"/>
        <v>2536.4699999999998</v>
      </c>
      <c r="D19" s="95"/>
      <c r="E19" s="5">
        <f t="shared" si="2"/>
        <v>2536.4699999999998</v>
      </c>
      <c r="H19" s="210" t="s">
        <v>69</v>
      </c>
      <c r="I19" s="169">
        <v>184.01</v>
      </c>
      <c r="J19" s="169">
        <v>291.89</v>
      </c>
      <c r="K19" s="170">
        <v>475.9</v>
      </c>
      <c r="M19" s="174" t="s">
        <v>69</v>
      </c>
      <c r="N19" s="189">
        <v>136</v>
      </c>
      <c r="O19" s="189">
        <v>180</v>
      </c>
      <c r="P19" s="190">
        <v>317</v>
      </c>
      <c r="R19">
        <v>140</v>
      </c>
      <c r="S19" s="181" t="s">
        <v>110</v>
      </c>
    </row>
    <row r="20" spans="2:30" ht="36.75" thickBot="1" x14ac:dyDescent="0.3">
      <c r="B20" s="25" t="s">
        <v>71</v>
      </c>
      <c r="C20" s="25">
        <f t="shared" si="0"/>
        <v>373.54</v>
      </c>
      <c r="D20" s="95"/>
      <c r="E20" s="5">
        <f t="shared" si="1"/>
        <v>373.54</v>
      </c>
      <c r="H20" s="210" t="s">
        <v>70</v>
      </c>
      <c r="I20" s="169">
        <v>2113.6799999999998</v>
      </c>
      <c r="J20" s="169">
        <v>422.79</v>
      </c>
      <c r="K20" s="170">
        <v>2536.4699999999998</v>
      </c>
      <c r="M20" s="176" t="s">
        <v>70</v>
      </c>
      <c r="N20" s="177">
        <v>2088</v>
      </c>
      <c r="O20" s="177">
        <v>1432</v>
      </c>
      <c r="P20" s="178">
        <v>3520</v>
      </c>
      <c r="R20"/>
      <c r="S20" s="181"/>
    </row>
    <row r="21" spans="2:30" ht="36.75" thickBot="1" x14ac:dyDescent="0.3">
      <c r="B21" s="25" t="s">
        <v>72</v>
      </c>
      <c r="C21" s="25">
        <f t="shared" si="0"/>
        <v>27.37</v>
      </c>
      <c r="D21" s="95">
        <v>321.44</v>
      </c>
      <c r="E21" s="5">
        <f>+C21+D21</f>
        <v>348.81</v>
      </c>
      <c r="H21" s="210" t="s">
        <v>71</v>
      </c>
      <c r="I21" s="169">
        <v>0.75</v>
      </c>
      <c r="J21" s="169">
        <v>372.79</v>
      </c>
      <c r="K21" s="170">
        <v>373.54</v>
      </c>
      <c r="M21" s="176" t="s">
        <v>71</v>
      </c>
      <c r="N21" s="179">
        <v>19</v>
      </c>
      <c r="O21" s="177">
        <v>830</v>
      </c>
      <c r="P21" s="178">
        <v>848</v>
      </c>
      <c r="R21"/>
      <c r="S21" s="181"/>
    </row>
    <row r="22" spans="2:30" ht="18.75" thickBot="1" x14ac:dyDescent="0.3">
      <c r="B22" s="25" t="s">
        <v>73</v>
      </c>
      <c r="C22" s="25">
        <f t="shared" si="0"/>
        <v>10.57</v>
      </c>
      <c r="D22" s="95"/>
      <c r="E22" s="5">
        <f t="shared" si="1"/>
        <v>10.57</v>
      </c>
      <c r="H22" s="210" t="s">
        <v>72</v>
      </c>
      <c r="I22" s="169">
        <v>8.39</v>
      </c>
      <c r="J22" s="169">
        <v>18.98</v>
      </c>
      <c r="K22" s="170">
        <v>27.37</v>
      </c>
      <c r="L22">
        <f>K22+K23</f>
        <v>37.94</v>
      </c>
      <c r="M22" s="174" t="s">
        <v>72</v>
      </c>
      <c r="N22" s="169">
        <v>8</v>
      </c>
      <c r="O22" s="189">
        <v>147</v>
      </c>
      <c r="P22" s="190">
        <v>156</v>
      </c>
      <c r="Q22" s="39">
        <f>(K22+K23)-(P22+P23)</f>
        <v>-1373.06</v>
      </c>
      <c r="R22" s="39">
        <f>Q22+Q23</f>
        <v>-1373.06</v>
      </c>
      <c r="S22" s="181"/>
    </row>
    <row r="23" spans="2:30" ht="18.75" thickBot="1" x14ac:dyDescent="0.3">
      <c r="B23" s="25" t="s">
        <v>74</v>
      </c>
      <c r="C23" s="25">
        <f t="shared" si="0"/>
        <v>1558.27</v>
      </c>
      <c r="D23" s="95"/>
      <c r="E23" s="5">
        <f>+C23+D23</f>
        <v>1558.27</v>
      </c>
      <c r="H23" s="210" t="s">
        <v>73</v>
      </c>
      <c r="I23" s="169">
        <v>0</v>
      </c>
      <c r="J23" s="169">
        <v>10.57</v>
      </c>
      <c r="K23" s="170">
        <v>10.57</v>
      </c>
      <c r="M23" s="174" t="s">
        <v>111</v>
      </c>
      <c r="N23" s="189">
        <v>1130</v>
      </c>
      <c r="O23" s="169">
        <v>125</v>
      </c>
      <c r="P23" s="190">
        <v>1255</v>
      </c>
      <c r="R23"/>
      <c r="S23" s="181"/>
    </row>
    <row r="24" spans="2:30" ht="18.75" thickBot="1" x14ac:dyDescent="0.3">
      <c r="B24" s="25" t="s">
        <v>75</v>
      </c>
      <c r="C24" s="25">
        <f>+K25</f>
        <v>813.41</v>
      </c>
      <c r="D24" s="95"/>
      <c r="E24" s="5">
        <f t="shared" si="1"/>
        <v>813.41</v>
      </c>
      <c r="H24" s="210" t="s">
        <v>74</v>
      </c>
      <c r="I24" s="169">
        <v>0</v>
      </c>
      <c r="J24" s="169">
        <v>1558.27</v>
      </c>
      <c r="K24" s="170">
        <v>1558.27</v>
      </c>
      <c r="M24" s="174" t="s">
        <v>112</v>
      </c>
      <c r="N24" s="169">
        <v>0</v>
      </c>
      <c r="O24" s="169">
        <v>12</v>
      </c>
      <c r="P24" s="170">
        <v>12</v>
      </c>
      <c r="R24"/>
      <c r="S24" s="181"/>
    </row>
    <row r="25" spans="2:30" ht="18.75" thickBot="1" x14ac:dyDescent="0.3">
      <c r="B25" s="25" t="s">
        <v>76</v>
      </c>
      <c r="C25" s="25">
        <f t="shared" si="0"/>
        <v>951.8</v>
      </c>
      <c r="D25" s="25"/>
      <c r="E25" s="5">
        <f t="shared" si="1"/>
        <v>951.8</v>
      </c>
      <c r="H25" s="210" t="s">
        <v>75</v>
      </c>
      <c r="I25" s="169">
        <v>304.06</v>
      </c>
      <c r="J25" s="169">
        <v>509.36</v>
      </c>
      <c r="K25" s="170">
        <v>813.41</v>
      </c>
      <c r="M25" s="176" t="s">
        <v>74</v>
      </c>
      <c r="N25" s="179">
        <v>0</v>
      </c>
      <c r="O25" s="179">
        <v>482</v>
      </c>
      <c r="P25" s="180">
        <v>482</v>
      </c>
      <c r="R25"/>
      <c r="S25" s="181"/>
    </row>
    <row r="26" spans="2:30" ht="36.75" thickBot="1" x14ac:dyDescent="0.3">
      <c r="B26" s="9" t="s">
        <v>104</v>
      </c>
      <c r="C26" s="10">
        <f>+SUM(C3:C25)</f>
        <v>35246.85</v>
      </c>
      <c r="D26" s="10"/>
      <c r="E26" s="10">
        <f>SUM(E3:E25)</f>
        <v>35568.29</v>
      </c>
      <c r="H26" s="210" t="s">
        <v>76</v>
      </c>
      <c r="I26" s="169" t="s">
        <v>107</v>
      </c>
      <c r="J26" s="169" t="s">
        <v>107</v>
      </c>
      <c r="K26" s="170">
        <v>951.8</v>
      </c>
      <c r="M26" s="176" t="s">
        <v>75</v>
      </c>
      <c r="N26" s="179">
        <v>304</v>
      </c>
      <c r="O26" s="179">
        <v>69</v>
      </c>
      <c r="P26" s="180">
        <v>373</v>
      </c>
      <c r="R26" s="39">
        <v>2881</v>
      </c>
      <c r="S26" s="184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</row>
    <row r="27" spans="2:30" ht="19.5" thickTop="1" thickBot="1" x14ac:dyDescent="0.3">
      <c r="C27" s="27"/>
      <c r="H27" s="171" t="s">
        <v>113</v>
      </c>
      <c r="I27" s="209">
        <v>11687.76</v>
      </c>
      <c r="J27" s="209">
        <v>17145.72</v>
      </c>
      <c r="K27" s="209">
        <v>35568.29</v>
      </c>
      <c r="L27" s="11"/>
      <c r="M27" s="174" t="s">
        <v>114</v>
      </c>
      <c r="N27" s="189">
        <v>2927</v>
      </c>
      <c r="O27" s="189">
        <v>458</v>
      </c>
      <c r="P27" s="190">
        <v>3386</v>
      </c>
    </row>
    <row r="28" spans="2:30" ht="15" customHeight="1" thickBot="1" x14ac:dyDescent="0.3">
      <c r="C28"/>
      <c r="D28"/>
      <c r="E28"/>
      <c r="L28" s="19"/>
      <c r="M28" s="174" t="s">
        <v>115</v>
      </c>
      <c r="N28" s="169">
        <v>3</v>
      </c>
      <c r="O28" s="169">
        <v>0</v>
      </c>
      <c r="P28" s="170">
        <v>3</v>
      </c>
      <c r="R28" s="185"/>
      <c r="S28" s="19"/>
      <c r="T28" s="19"/>
      <c r="U28" s="19"/>
      <c r="V28" s="19"/>
      <c r="W28" s="19"/>
    </row>
    <row r="29" spans="2:30" ht="27" customHeight="1" x14ac:dyDescent="0.25">
      <c r="C29"/>
      <c r="D29"/>
      <c r="E29"/>
      <c r="J29" t="s">
        <v>116</v>
      </c>
      <c r="K29" s="1">
        <f>SUM(K3:K26)-K27</f>
        <v>-321.44000000000233</v>
      </c>
      <c r="M29" s="174" t="s">
        <v>76</v>
      </c>
      <c r="N29" s="169">
        <v>182</v>
      </c>
      <c r="O29" s="169">
        <v>0</v>
      </c>
      <c r="P29" s="170">
        <v>182</v>
      </c>
      <c r="W29" s="52"/>
      <c r="X29" s="51"/>
    </row>
    <row r="30" spans="2:30" ht="18" x14ac:dyDescent="0.25">
      <c r="C30"/>
      <c r="D30"/>
      <c r="E30"/>
      <c r="K30" s="1"/>
      <c r="M30" s="171" t="s">
        <v>113</v>
      </c>
      <c r="N30" s="175">
        <f>SUM(N3:N29)</f>
        <v>19250</v>
      </c>
      <c r="O30" s="175">
        <f>SUM(O3:O29)</f>
        <v>16348</v>
      </c>
      <c r="P30" s="175">
        <f>SUM(P3:P29)</f>
        <v>35602</v>
      </c>
      <c r="W30" s="52"/>
      <c r="X30" s="51"/>
    </row>
    <row r="31" spans="2:30" x14ac:dyDescent="0.25">
      <c r="C31"/>
      <c r="D31"/>
      <c r="E31"/>
      <c r="K31" s="17"/>
      <c r="L31" s="40"/>
      <c r="P31" s="1"/>
      <c r="Q31" s="40"/>
      <c r="R31" s="186"/>
      <c r="S31" s="40"/>
      <c r="T31" s="40"/>
      <c r="U31" s="40"/>
      <c r="V31" s="40"/>
      <c r="W31" s="53"/>
      <c r="X31" s="51"/>
    </row>
    <row r="32" spans="2:30" x14ac:dyDescent="0.25">
      <c r="C32"/>
      <c r="D32"/>
      <c r="E32"/>
      <c r="K32" s="11"/>
      <c r="L32" s="41"/>
      <c r="P32" s="1"/>
      <c r="Q32" s="41"/>
      <c r="R32" s="187"/>
      <c r="S32" s="41"/>
      <c r="T32" s="41"/>
      <c r="U32" s="41"/>
      <c r="V32" s="41"/>
      <c r="W32" s="53"/>
      <c r="X32" s="51"/>
    </row>
    <row r="33" spans="1:24" x14ac:dyDescent="0.25">
      <c r="C33"/>
      <c r="D33"/>
      <c r="E33"/>
      <c r="K33" s="1"/>
      <c r="P33" s="11"/>
      <c r="W33" s="52"/>
      <c r="X33" s="51"/>
    </row>
    <row r="34" spans="1:24" x14ac:dyDescent="0.25">
      <c r="C34"/>
      <c r="D34"/>
      <c r="E34"/>
      <c r="K34" s="1"/>
      <c r="P34" s="1"/>
      <c r="W34" s="52"/>
      <c r="X34" s="51"/>
    </row>
    <row r="35" spans="1:24" x14ac:dyDescent="0.25">
      <c r="A35" s="7"/>
      <c r="C35"/>
      <c r="D35"/>
      <c r="E35"/>
      <c r="K35" s="1"/>
      <c r="P35" s="1"/>
      <c r="W35" s="52"/>
      <c r="X35" s="51"/>
    </row>
    <row r="36" spans="1:24" x14ac:dyDescent="0.25">
      <c r="A36" s="7"/>
      <c r="C36"/>
      <c r="D36"/>
      <c r="E36"/>
      <c r="K36" s="1"/>
      <c r="P36" s="1"/>
      <c r="W36" s="52"/>
      <c r="X36" s="51"/>
    </row>
    <row r="37" spans="1:24" x14ac:dyDescent="0.25">
      <c r="A37" s="7"/>
      <c r="C37"/>
      <c r="D37"/>
      <c r="E37"/>
      <c r="K37" s="1"/>
      <c r="P37" s="1"/>
      <c r="W37" s="52"/>
      <c r="X37" s="51"/>
    </row>
    <row r="38" spans="1:24" x14ac:dyDescent="0.25">
      <c r="A38" s="7"/>
      <c r="C38"/>
      <c r="D38"/>
      <c r="E38"/>
      <c r="K38" s="1"/>
      <c r="P38" s="1"/>
      <c r="W38" s="52"/>
      <c r="X38" s="51"/>
    </row>
    <row r="39" spans="1:24" x14ac:dyDescent="0.25">
      <c r="A39" s="7"/>
      <c r="C39"/>
      <c r="D39"/>
      <c r="E39"/>
      <c r="K39" s="1"/>
      <c r="P39" s="1"/>
      <c r="W39" s="52"/>
      <c r="X39" s="51"/>
    </row>
    <row r="40" spans="1:24" x14ac:dyDescent="0.25">
      <c r="A40" s="7"/>
      <c r="C40"/>
      <c r="D40"/>
      <c r="E40"/>
      <c r="K40" s="1"/>
      <c r="P40" s="1"/>
      <c r="W40" s="52"/>
      <c r="X40" s="51"/>
    </row>
    <row r="41" spans="1:24" x14ac:dyDescent="0.25">
      <c r="A41" s="7"/>
      <c r="C41"/>
      <c r="D41"/>
      <c r="E41"/>
      <c r="K41" s="1"/>
      <c r="P41" s="1"/>
      <c r="R41" s="182">
        <v>8595</v>
      </c>
      <c r="W41" s="52"/>
      <c r="X41" s="51"/>
    </row>
    <row r="42" spans="1:24" x14ac:dyDescent="0.25">
      <c r="A42" s="7"/>
      <c r="C42"/>
      <c r="D42"/>
      <c r="E42"/>
      <c r="K42" s="1"/>
      <c r="O42" s="39">
        <f>P30-K27</f>
        <v>33.709999999999127</v>
      </c>
      <c r="P42" s="1"/>
      <c r="W42" s="52"/>
      <c r="X42" s="51"/>
    </row>
    <row r="43" spans="1:24" x14ac:dyDescent="0.25">
      <c r="A43" s="7"/>
      <c r="C43"/>
      <c r="D43"/>
      <c r="E43"/>
      <c r="K43" s="1"/>
      <c r="P43" s="1"/>
      <c r="W43" s="52"/>
      <c r="X43" s="51"/>
    </row>
    <row r="44" spans="1:24" x14ac:dyDescent="0.25">
      <c r="A44" s="7"/>
      <c r="C44"/>
      <c r="D44"/>
      <c r="E44"/>
      <c r="K44" s="1"/>
      <c r="P44" s="1"/>
      <c r="W44" s="52"/>
      <c r="X44" s="51"/>
    </row>
    <row r="45" spans="1:24" x14ac:dyDescent="0.25">
      <c r="C45"/>
      <c r="D45"/>
      <c r="E45"/>
      <c r="K45" s="1"/>
      <c r="P45" s="1"/>
      <c r="W45" s="52"/>
      <c r="X45" s="51"/>
    </row>
    <row r="46" spans="1:24" x14ac:dyDescent="0.25">
      <c r="C46"/>
      <c r="D46"/>
      <c r="E46"/>
      <c r="K46" s="1"/>
      <c r="P46" s="1"/>
      <c r="W46" s="52"/>
      <c r="X46" s="51"/>
    </row>
    <row r="47" spans="1:24" x14ac:dyDescent="0.25">
      <c r="C47"/>
      <c r="D47"/>
      <c r="E47"/>
      <c r="K47" s="1"/>
      <c r="P47" s="1"/>
      <c r="W47" s="52"/>
      <c r="X47" s="51"/>
    </row>
    <row r="48" spans="1:24" x14ac:dyDescent="0.25">
      <c r="C48"/>
      <c r="D48"/>
      <c r="E48"/>
      <c r="K48" s="1"/>
      <c r="P48" s="1"/>
      <c r="W48" s="52"/>
      <c r="X48" s="51"/>
    </row>
    <row r="49" spans="3:24" x14ac:dyDescent="0.25">
      <c r="C49"/>
      <c r="D49"/>
      <c r="E49"/>
      <c r="P49" s="1"/>
      <c r="W49" s="52"/>
      <c r="X49" s="51"/>
    </row>
    <row r="50" spans="3:24" x14ac:dyDescent="0.25">
      <c r="C50"/>
      <c r="D50"/>
      <c r="E50"/>
      <c r="I50" s="22"/>
      <c r="W50" s="52"/>
      <c r="X50" s="51"/>
    </row>
    <row r="51" spans="3:24" x14ac:dyDescent="0.25">
      <c r="C51"/>
      <c r="D51"/>
      <c r="E51"/>
      <c r="I51" s="22"/>
      <c r="N51" s="22"/>
      <c r="W51" s="52"/>
      <c r="X51" s="51"/>
    </row>
    <row r="52" spans="3:24" x14ac:dyDescent="0.25">
      <c r="C52"/>
      <c r="D52"/>
      <c r="E52"/>
      <c r="I52" s="22"/>
      <c r="N52" s="22"/>
      <c r="W52" s="52"/>
      <c r="X52" s="51"/>
    </row>
    <row r="53" spans="3:24" x14ac:dyDescent="0.25">
      <c r="C53"/>
      <c r="D53"/>
      <c r="E53"/>
      <c r="I53" s="22"/>
      <c r="N53" s="22"/>
      <c r="W53" s="52"/>
      <c r="X53" s="51"/>
    </row>
    <row r="54" spans="3:24" x14ac:dyDescent="0.25">
      <c r="C54"/>
      <c r="D54"/>
      <c r="E54"/>
      <c r="I54" s="22"/>
      <c r="N54" s="22"/>
      <c r="W54" s="52"/>
    </row>
    <row r="55" spans="3:24" x14ac:dyDescent="0.25">
      <c r="C55"/>
      <c r="D55"/>
      <c r="E55"/>
      <c r="I55" s="22"/>
      <c r="N55" s="22"/>
      <c r="W55" s="52"/>
    </row>
    <row r="56" spans="3:24" x14ac:dyDescent="0.25">
      <c r="C56"/>
      <c r="D56"/>
      <c r="H56" s="35"/>
      <c r="I56" s="42"/>
      <c r="J56" s="35"/>
      <c r="L56" s="35"/>
      <c r="N56" s="22"/>
      <c r="Q56" s="35"/>
      <c r="R56" s="188"/>
      <c r="S56" s="35"/>
      <c r="T56" s="35"/>
      <c r="U56" s="35"/>
      <c r="V56" s="35"/>
      <c r="W56" s="45"/>
    </row>
    <row r="57" spans="3:24" x14ac:dyDescent="0.25">
      <c r="C57"/>
      <c r="D57"/>
      <c r="I57" s="22"/>
      <c r="M57" s="35"/>
      <c r="N57" s="42"/>
      <c r="O57" s="35"/>
      <c r="W57" s="50"/>
    </row>
    <row r="58" spans="3:24" x14ac:dyDescent="0.25">
      <c r="C58"/>
      <c r="D58"/>
      <c r="N58" s="22"/>
    </row>
    <row r="59" spans="3:24" x14ac:dyDescent="0.25">
      <c r="C59"/>
      <c r="D59"/>
    </row>
    <row r="60" spans="3:24" x14ac:dyDescent="0.25">
      <c r="C60"/>
      <c r="D60"/>
    </row>
    <row r="61" spans="3:24" x14ac:dyDescent="0.25">
      <c r="C61"/>
      <c r="D61"/>
      <c r="Q61" s="39"/>
      <c r="R61" s="182"/>
      <c r="S61" s="39"/>
      <c r="T61" s="39"/>
      <c r="U61" s="39"/>
      <c r="V61" s="39"/>
    </row>
    <row r="62" spans="3:24" x14ac:dyDescent="0.25">
      <c r="C62"/>
      <c r="D62"/>
      <c r="Q62" s="39"/>
      <c r="R62" s="182"/>
      <c r="S62" s="39"/>
      <c r="T62" s="39"/>
      <c r="U62" s="39"/>
      <c r="V62" s="39"/>
    </row>
    <row r="63" spans="3:24" x14ac:dyDescent="0.25">
      <c r="C63"/>
      <c r="D63"/>
      <c r="Q63" s="39"/>
      <c r="R63" s="182"/>
      <c r="S63" s="39"/>
      <c r="T63" s="39"/>
      <c r="U63" s="39"/>
      <c r="V63" s="39"/>
    </row>
    <row r="64" spans="3:24" x14ac:dyDescent="0.25">
      <c r="C64"/>
      <c r="D64"/>
      <c r="Q64" s="39"/>
      <c r="R64" s="182"/>
      <c r="S64" s="39"/>
      <c r="T64" s="39"/>
      <c r="U64" s="39"/>
      <c r="V64" s="39"/>
    </row>
    <row r="65" spans="2:22" x14ac:dyDescent="0.25">
      <c r="C65"/>
      <c r="D65"/>
      <c r="Q65" s="39"/>
      <c r="R65" s="182"/>
      <c r="S65" s="39"/>
      <c r="T65" s="39"/>
      <c r="U65" s="39"/>
      <c r="V65" s="39"/>
    </row>
    <row r="66" spans="2:22" x14ac:dyDescent="0.25">
      <c r="C66"/>
      <c r="D66"/>
      <c r="Q66" s="39"/>
      <c r="R66" s="182"/>
      <c r="S66" s="39"/>
      <c r="T66" s="39"/>
      <c r="U66" s="39"/>
      <c r="V66" s="39"/>
    </row>
    <row r="67" spans="2:22" x14ac:dyDescent="0.25">
      <c r="C67"/>
      <c r="D67"/>
      <c r="Q67" s="39"/>
      <c r="R67" s="182"/>
      <c r="S67" s="39"/>
      <c r="T67" s="39"/>
      <c r="U67" s="39"/>
      <c r="V67" s="39"/>
    </row>
    <row r="68" spans="2:22" x14ac:dyDescent="0.25">
      <c r="C68"/>
      <c r="D68"/>
      <c r="Q68" s="39"/>
      <c r="R68" s="182"/>
      <c r="S68" s="39"/>
      <c r="T68" s="39"/>
      <c r="U68" s="39"/>
      <c r="V68" s="39"/>
    </row>
    <row r="69" spans="2:22" x14ac:dyDescent="0.25">
      <c r="C69"/>
      <c r="D69"/>
      <c r="Q69" s="39"/>
      <c r="R69" s="182"/>
      <c r="S69" s="39"/>
      <c r="T69" s="39"/>
      <c r="U69" s="39"/>
      <c r="V69" s="39"/>
    </row>
    <row r="70" spans="2:22" x14ac:dyDescent="0.25">
      <c r="C70"/>
      <c r="D70"/>
      <c r="Q70" s="39"/>
      <c r="R70" s="182"/>
      <c r="S70" s="39"/>
      <c r="T70" s="39"/>
      <c r="U70" s="39"/>
      <c r="V70" s="39"/>
    </row>
    <row r="71" spans="2:22" x14ac:dyDescent="0.25">
      <c r="C71"/>
      <c r="D71"/>
      <c r="Q71" s="39"/>
      <c r="R71" s="182"/>
      <c r="S71" s="39"/>
      <c r="T71" s="39"/>
      <c r="U71" s="39"/>
      <c r="V71" s="39"/>
    </row>
    <row r="72" spans="2:22" x14ac:dyDescent="0.25">
      <c r="C72"/>
      <c r="D72"/>
      <c r="Q72" s="39"/>
      <c r="R72" s="182"/>
      <c r="S72" s="39"/>
      <c r="T72" s="39"/>
      <c r="U72" s="39"/>
      <c r="V72" s="39"/>
    </row>
    <row r="73" spans="2:22" x14ac:dyDescent="0.25">
      <c r="C73"/>
      <c r="D73"/>
      <c r="Q73" s="39"/>
      <c r="R73" s="182"/>
      <c r="S73" s="39"/>
      <c r="T73" s="39"/>
      <c r="U73" s="39"/>
      <c r="V73" s="39"/>
    </row>
    <row r="74" spans="2:22" x14ac:dyDescent="0.25">
      <c r="C74"/>
      <c r="D74"/>
      <c r="Q74" s="39"/>
      <c r="R74" s="182"/>
      <c r="S74" s="39"/>
      <c r="T74" s="39"/>
      <c r="U74" s="39"/>
      <c r="V74" s="39"/>
    </row>
    <row r="75" spans="2:22" x14ac:dyDescent="0.25">
      <c r="C75"/>
      <c r="D75"/>
      <c r="Q75" s="39"/>
      <c r="R75" s="182"/>
      <c r="S75" s="39"/>
      <c r="T75" s="39"/>
      <c r="U75" s="39"/>
      <c r="V75" s="39"/>
    </row>
    <row r="76" spans="2:22" x14ac:dyDescent="0.25">
      <c r="C76"/>
      <c r="D76"/>
    </row>
    <row r="77" spans="2:22" x14ac:dyDescent="0.25">
      <c r="C77"/>
      <c r="D77"/>
    </row>
    <row r="78" spans="2:22" x14ac:dyDescent="0.25">
      <c r="C78"/>
      <c r="D78"/>
    </row>
    <row r="79" spans="2:22" x14ac:dyDescent="0.25">
      <c r="C79"/>
      <c r="D79"/>
    </row>
    <row r="80" spans="2:22" x14ac:dyDescent="0.25">
      <c r="B80" s="44"/>
    </row>
    <row r="84" spans="4:13" x14ac:dyDescent="0.25">
      <c r="H84" s="1"/>
    </row>
    <row r="85" spans="4:13" x14ac:dyDescent="0.25">
      <c r="D85" s="24"/>
      <c r="M85" s="1"/>
    </row>
    <row r="86" spans="4:13" x14ac:dyDescent="0.25">
      <c r="D86" s="24"/>
    </row>
    <row r="87" spans="4:13" x14ac:dyDescent="0.25">
      <c r="D87" s="24"/>
    </row>
    <row r="88" spans="4:13" x14ac:dyDescent="0.25">
      <c r="D88" s="24"/>
    </row>
    <row r="89" spans="4:13" x14ac:dyDescent="0.25">
      <c r="D89" s="24"/>
    </row>
    <row r="90" spans="4:13" x14ac:dyDescent="0.25">
      <c r="D90" s="24"/>
    </row>
    <row r="91" spans="4:13" x14ac:dyDescent="0.25">
      <c r="D91" s="24"/>
    </row>
    <row r="92" spans="4:13" x14ac:dyDescent="0.25">
      <c r="D92" s="24"/>
    </row>
    <row r="93" spans="4:13" x14ac:dyDescent="0.25">
      <c r="D93" s="24"/>
    </row>
    <row r="94" spans="4:13" x14ac:dyDescent="0.25">
      <c r="D94" s="24"/>
    </row>
    <row r="95" spans="4:13" x14ac:dyDescent="0.25">
      <c r="D95" s="24"/>
    </row>
    <row r="96" spans="4:13" x14ac:dyDescent="0.25">
      <c r="D96" s="24"/>
    </row>
    <row r="97" spans="4:4" x14ac:dyDescent="0.25">
      <c r="D97" s="24"/>
    </row>
    <row r="98" spans="4:4" x14ac:dyDescent="0.25">
      <c r="D98" s="24"/>
    </row>
    <row r="99" spans="4:4" x14ac:dyDescent="0.25">
      <c r="D99" s="24"/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8B814-89B9-4797-A1C5-4C9B21DEA41D}">
  <sheetPr codeName="Sheet6"/>
  <dimension ref="A1:BV72"/>
  <sheetViews>
    <sheetView tabSelected="1" zoomScale="70" zoomScaleNormal="70" zoomScaleSheetLayoutView="50" workbookViewId="0">
      <selection activeCell="G31" sqref="G31"/>
    </sheetView>
  </sheetViews>
  <sheetFormatPr defaultColWidth="9.140625" defaultRowHeight="15" x14ac:dyDescent="0.25"/>
  <cols>
    <col min="1" max="1" width="7.7109375" bestFit="1" customWidth="1"/>
    <col min="2" max="2" width="8.5703125" bestFit="1" customWidth="1"/>
    <col min="3" max="3" width="33.140625" customWidth="1"/>
    <col min="4" max="4" width="21" bestFit="1" customWidth="1"/>
    <col min="5" max="6" width="17.42578125" customWidth="1"/>
    <col min="7" max="7" width="15.28515625" customWidth="1"/>
    <col min="8" max="8" width="17.42578125" style="83" customWidth="1"/>
    <col min="9" max="9" width="14.7109375" customWidth="1"/>
    <col min="10" max="10" width="11.42578125" customWidth="1"/>
    <col min="11" max="11" width="8.7109375" customWidth="1"/>
    <col min="12" max="13" width="7.5703125" customWidth="1"/>
    <col min="14" max="14" width="11" customWidth="1"/>
    <col min="15" max="15" width="22.28515625" hidden="1" customWidth="1"/>
    <col min="16" max="16" width="17.140625" customWidth="1"/>
    <col min="17" max="17" width="13.5703125" style="37" bestFit="1" customWidth="1"/>
    <col min="18" max="18" width="12.42578125" style="37" customWidth="1"/>
    <col min="19" max="19" width="11.28515625" customWidth="1"/>
    <col min="20" max="20" width="10.85546875" customWidth="1"/>
    <col min="21" max="21" width="99" hidden="1" customWidth="1"/>
    <col min="22" max="22" width="13.42578125" bestFit="1" customWidth="1"/>
    <col min="23" max="23" width="14.5703125" customWidth="1"/>
    <col min="24" max="24" width="23.140625" customWidth="1"/>
    <col min="25" max="26" width="13.42578125" style="54" customWidth="1"/>
    <col min="27" max="27" width="17.85546875" customWidth="1"/>
    <col min="28" max="28" width="18.5703125" customWidth="1"/>
    <col min="29" max="29" width="15.42578125" customWidth="1"/>
    <col min="30" max="30" width="16.5703125" customWidth="1"/>
    <col min="31" max="31" width="15.5703125" customWidth="1"/>
    <col min="32" max="32" width="19.42578125" customWidth="1"/>
    <col min="33" max="35" width="16.28515625" customWidth="1"/>
    <col min="36" max="36" width="17.5703125" customWidth="1"/>
    <col min="37" max="37" width="18.7109375" customWidth="1"/>
    <col min="38" max="40" width="15.42578125" customWidth="1"/>
    <col min="41" max="41" width="16.85546875" customWidth="1"/>
    <col min="42" max="42" width="22.85546875" customWidth="1"/>
    <col min="43" max="43" width="26.28515625" customWidth="1"/>
    <col min="44" max="44" width="26.5703125" customWidth="1"/>
    <col min="45" max="45" width="14.140625" customWidth="1"/>
    <col min="46" max="46" width="15.42578125" customWidth="1"/>
    <col min="47" max="47" width="20.85546875" customWidth="1"/>
    <col min="48" max="49" width="21" customWidth="1"/>
    <col min="50" max="50" width="19" bestFit="1" customWidth="1"/>
    <col min="51" max="51" width="19.7109375" bestFit="1" customWidth="1"/>
    <col min="52" max="52" width="16.5703125" bestFit="1" customWidth="1"/>
    <col min="53" max="53" width="15.42578125" customWidth="1"/>
    <col min="54" max="54" width="16.7109375" bestFit="1" customWidth="1"/>
    <col min="55" max="55" width="20.5703125" bestFit="1" customWidth="1"/>
    <col min="56" max="57" width="17.42578125" bestFit="1" customWidth="1"/>
    <col min="58" max="58" width="17.42578125" customWidth="1"/>
    <col min="59" max="59" width="20" customWidth="1"/>
    <col min="60" max="60" width="21" customWidth="1"/>
    <col min="61" max="62" width="17.85546875" customWidth="1"/>
    <col min="63" max="63" width="17.85546875" bestFit="1" customWidth="1"/>
    <col min="64" max="64" width="19.140625" bestFit="1" customWidth="1"/>
    <col min="65" max="65" width="22.140625" bestFit="1" customWidth="1"/>
    <col min="66" max="66" width="25.42578125" bestFit="1" customWidth="1"/>
    <col min="67" max="67" width="25.7109375" customWidth="1"/>
    <col min="68" max="68" width="14.42578125" customWidth="1"/>
    <col min="69" max="69" width="13.85546875" bestFit="1" customWidth="1"/>
    <col min="70" max="70" width="20.28515625" bestFit="1" customWidth="1"/>
    <col min="71" max="71" width="21" bestFit="1" customWidth="1"/>
    <col min="72" max="72" width="9.140625" style="141"/>
    <col min="73" max="73" width="13.28515625" bestFit="1" customWidth="1"/>
    <col min="74" max="74" width="17.42578125" bestFit="1" customWidth="1"/>
  </cols>
  <sheetData>
    <row r="1" spans="1:74" ht="51" customHeight="1" x14ac:dyDescent="0.25">
      <c r="A1" s="56" t="s">
        <v>117</v>
      </c>
      <c r="B1" s="56" t="s">
        <v>118</v>
      </c>
      <c r="C1" s="56" t="s">
        <v>119</v>
      </c>
      <c r="D1" s="56" t="s">
        <v>120</v>
      </c>
      <c r="E1" s="56" t="s">
        <v>121</v>
      </c>
      <c r="F1" s="88" t="s">
        <v>122</v>
      </c>
      <c r="G1" s="56" t="s">
        <v>123</v>
      </c>
      <c r="H1" s="89" t="s">
        <v>124</v>
      </c>
      <c r="I1" s="56" t="s">
        <v>125</v>
      </c>
      <c r="J1" s="56" t="s">
        <v>126</v>
      </c>
      <c r="K1" s="56" t="s">
        <v>127</v>
      </c>
      <c r="L1" s="56" t="s">
        <v>128</v>
      </c>
      <c r="M1" s="56" t="s">
        <v>129</v>
      </c>
      <c r="N1" s="56" t="s">
        <v>130</v>
      </c>
      <c r="O1" s="56" t="s">
        <v>131</v>
      </c>
      <c r="P1" s="56" t="s">
        <v>132</v>
      </c>
      <c r="Q1" s="56" t="s">
        <v>133</v>
      </c>
      <c r="R1" s="56" t="s">
        <v>134</v>
      </c>
      <c r="S1" s="56" t="s">
        <v>135</v>
      </c>
      <c r="T1" s="56" t="s">
        <v>136</v>
      </c>
      <c r="U1" s="56" t="s">
        <v>137</v>
      </c>
      <c r="V1" s="88" t="s">
        <v>138</v>
      </c>
      <c r="W1" s="56" t="s">
        <v>139</v>
      </c>
      <c r="X1" s="56" t="s">
        <v>140</v>
      </c>
      <c r="Y1" s="56" t="s">
        <v>141</v>
      </c>
      <c r="Z1" s="29" t="s">
        <v>37</v>
      </c>
      <c r="AA1" s="29" t="s">
        <v>41</v>
      </c>
      <c r="AB1" s="148" t="s">
        <v>44</v>
      </c>
      <c r="AC1" s="148" t="s">
        <v>47</v>
      </c>
      <c r="AD1" s="148" t="s">
        <v>142</v>
      </c>
      <c r="AE1" s="148" t="s">
        <v>143</v>
      </c>
      <c r="AF1" s="148" t="s">
        <v>54</v>
      </c>
      <c r="AG1" s="148" t="s">
        <v>56</v>
      </c>
      <c r="AH1" s="148" t="s">
        <v>58</v>
      </c>
      <c r="AI1" s="148" t="s">
        <v>60</v>
      </c>
      <c r="AJ1" s="148" t="s">
        <v>61</v>
      </c>
      <c r="AK1" s="148" t="s">
        <v>64</v>
      </c>
      <c r="AL1" s="148" t="s">
        <v>66</v>
      </c>
      <c r="AM1" s="148" t="s">
        <v>67</v>
      </c>
      <c r="AN1" s="148" t="s">
        <v>68</v>
      </c>
      <c r="AO1" s="148" t="s">
        <v>69</v>
      </c>
      <c r="AP1" s="148" t="s">
        <v>115</v>
      </c>
      <c r="AQ1" s="29" t="s">
        <v>70</v>
      </c>
      <c r="AR1" s="29" t="s">
        <v>71</v>
      </c>
      <c r="AS1" s="29" t="s">
        <v>72</v>
      </c>
      <c r="AT1" s="29" t="s">
        <v>73</v>
      </c>
      <c r="AU1" s="29" t="s">
        <v>74</v>
      </c>
      <c r="AV1" s="29" t="s">
        <v>75</v>
      </c>
      <c r="AW1" s="30" t="s">
        <v>144</v>
      </c>
      <c r="AX1" s="30" t="s">
        <v>145</v>
      </c>
      <c r="AY1" s="31" t="s">
        <v>146</v>
      </c>
      <c r="AZ1" s="31" t="s">
        <v>147</v>
      </c>
      <c r="BA1" s="31" t="s">
        <v>50</v>
      </c>
      <c r="BB1" s="31" t="s">
        <v>52</v>
      </c>
      <c r="BC1" s="31" t="s">
        <v>148</v>
      </c>
      <c r="BD1" s="31" t="s">
        <v>149</v>
      </c>
      <c r="BE1" s="31" t="s">
        <v>150</v>
      </c>
      <c r="BF1" s="31" t="s">
        <v>151</v>
      </c>
      <c r="BG1" s="31" t="s">
        <v>152</v>
      </c>
      <c r="BH1" s="31" t="s">
        <v>153</v>
      </c>
      <c r="BI1" s="31" t="s">
        <v>154</v>
      </c>
      <c r="BJ1" s="31" t="s">
        <v>155</v>
      </c>
      <c r="BK1" s="31" t="s">
        <v>156</v>
      </c>
      <c r="BL1" s="30" t="s">
        <v>157</v>
      </c>
      <c r="BM1" s="30" t="s">
        <v>158</v>
      </c>
      <c r="BN1" s="30" t="s">
        <v>159</v>
      </c>
      <c r="BO1" s="30" t="s">
        <v>160</v>
      </c>
      <c r="BP1" s="30" t="s">
        <v>161</v>
      </c>
      <c r="BQ1" s="30" t="s">
        <v>162</v>
      </c>
      <c r="BR1" s="30" t="s">
        <v>163</v>
      </c>
      <c r="BS1" s="30" t="s">
        <v>164</v>
      </c>
      <c r="BT1" s="69" t="s">
        <v>116</v>
      </c>
      <c r="BU1" s="69" t="s">
        <v>165</v>
      </c>
      <c r="BV1" s="69" t="s">
        <v>166</v>
      </c>
    </row>
    <row r="2" spans="1:74" ht="15.75" hidden="1" x14ac:dyDescent="0.25">
      <c r="A2" t="s">
        <v>167</v>
      </c>
      <c r="B2" t="s">
        <v>168</v>
      </c>
      <c r="C2" t="s">
        <v>169</v>
      </c>
      <c r="D2" t="s">
        <v>170</v>
      </c>
      <c r="E2" t="s">
        <v>171</v>
      </c>
      <c r="F2" t="str">
        <f>VLOOKUP(E2,LogisticsReport!AI:AI,1,FALSE)</f>
        <v>SSGP-105409-2</v>
      </c>
      <c r="G2" t="str">
        <f>INDEX(DailyNetPosition!A:A,MATCH(E2,DailyNetPosition!B:B,0))</f>
        <v>Non Hedgeable</v>
      </c>
      <c r="H2" s="83" t="s">
        <v>169</v>
      </c>
      <c r="I2" t="s">
        <v>172</v>
      </c>
      <c r="J2" s="38">
        <v>46057</v>
      </c>
      <c r="K2">
        <v>-0.24</v>
      </c>
      <c r="L2" s="79">
        <v>-8</v>
      </c>
      <c r="M2" t="s">
        <v>173</v>
      </c>
      <c r="N2" t="s">
        <v>174</v>
      </c>
      <c r="O2" t="s">
        <v>175</v>
      </c>
      <c r="P2" t="str">
        <f>VLOOKUP(Table3[[#This Row],[Sale Ctr.]],LogisticsReport!AI:AW,15,FALSE)</f>
        <v>2026/03 All - 2026/03 All</v>
      </c>
      <c r="Q2" s="77" t="str">
        <f t="shared" ref="Q2:Q33" si="0">+LEFT(P2,7)</f>
        <v>2026/03</v>
      </c>
      <c r="R2" s="37" t="str">
        <f t="shared" ref="R2:R33" si="1">+RIGHT(Q2,2)</f>
        <v>03</v>
      </c>
      <c r="S2">
        <v>451.3</v>
      </c>
      <c r="T2">
        <v>451.3</v>
      </c>
      <c r="U2" t="s">
        <v>176</v>
      </c>
      <c r="V2" t="s">
        <v>177</v>
      </c>
      <c r="X2" t="s">
        <v>178</v>
      </c>
      <c r="Y2" s="54">
        <v>91</v>
      </c>
      <c r="Z2" s="67">
        <f>VLOOKUP($Y2,Blends!$D:$AA,2, FALSE)</f>
        <v>0</v>
      </c>
      <c r="AA2" s="67">
        <f>VLOOKUP($Y2,Blends!$D:$AA,3, FALSE)</f>
        <v>1</v>
      </c>
      <c r="AB2" s="67">
        <f>VLOOKUP($Y2,Blends!$D:$AA,4, FALSE)</f>
        <v>0</v>
      </c>
      <c r="AC2" s="67">
        <f>VLOOKUP($Y2,Blends!$D:$AA,5, FALSE)</f>
        <v>0</v>
      </c>
      <c r="AD2" s="67">
        <f>VLOOKUP($Y2,Blends!$D:$AA,6, FALSE)</f>
        <v>0</v>
      </c>
      <c r="AE2" s="67">
        <f>VLOOKUP($Y2,Blends!$D:$AA,7, FALSE)</f>
        <v>0</v>
      </c>
      <c r="AF2" s="67">
        <f>VLOOKUP($Y2,Blends!$D:$AA,8, FALSE)</f>
        <v>0</v>
      </c>
      <c r="AG2" s="67">
        <f>VLOOKUP($Y2,Blends!$D:$AA,9, FALSE)</f>
        <v>0</v>
      </c>
      <c r="AH2" s="67">
        <f>VLOOKUP($Y2,Blends!$D:$AA,10, FALSE)</f>
        <v>0</v>
      </c>
      <c r="AI2" s="67">
        <f>VLOOKUP($Y2,Blends!$D:$AA,11, FALSE)</f>
        <v>0</v>
      </c>
      <c r="AJ2" s="67">
        <f>VLOOKUP($Y2,Blends!$D:$AA,12, FALSE)</f>
        <v>0</v>
      </c>
      <c r="AK2" s="67">
        <f>VLOOKUP($Y2,Blends!$D:$AA,13, FALSE)</f>
        <v>0</v>
      </c>
      <c r="AL2" s="67">
        <f>VLOOKUP($Y2,Blends!$D:$AA,14, FALSE)</f>
        <v>0</v>
      </c>
      <c r="AM2" s="67">
        <f>VLOOKUP($Y2,Blends!$D:$AA,15, FALSE)</f>
        <v>0</v>
      </c>
      <c r="AN2" s="67">
        <f>VLOOKUP($Y2,Blends!$D:$AA,16, FALSE)</f>
        <v>0</v>
      </c>
      <c r="AO2" s="67">
        <f>VLOOKUP($Y2,Blends!$D:$AA,17, FALSE)</f>
        <v>0</v>
      </c>
      <c r="AP2" s="67">
        <f>VLOOKUP($Y2,Blends!$D:$AA,18, FALSE)</f>
        <v>0</v>
      </c>
      <c r="AQ2" s="67">
        <f>VLOOKUP($Y2,Blends!$D:$AA,19, FALSE)</f>
        <v>0</v>
      </c>
      <c r="AR2" s="67">
        <f>VLOOKUP($Y2,Blends!$D:$AA,20, FALSE)</f>
        <v>0</v>
      </c>
      <c r="AS2" s="67">
        <f>VLOOKUP($Y2,Blends!$D:$AA,21, FALSE)</f>
        <v>0</v>
      </c>
      <c r="AT2" s="67">
        <f>VLOOKUP($Y2,Blends!$D:$AA,22, FALSE)</f>
        <v>0</v>
      </c>
      <c r="AU2" s="67">
        <f>VLOOKUP($Y2,Blends!$D:$AA,23, FALSE)</f>
        <v>0</v>
      </c>
      <c r="AV2" s="67">
        <f>VLOOKUP($Y2,Blends!$D:$AA,24, FALSE)</f>
        <v>0</v>
      </c>
      <c r="AW2" s="68">
        <f t="shared" ref="AW2:AW33" si="2">+($K2*Z2)*1000/60</f>
        <v>0</v>
      </c>
      <c r="AX2" s="68">
        <f t="shared" ref="AX2:AX33" si="3">+($K2*AA2)*1000/60</f>
        <v>-4</v>
      </c>
      <c r="AY2" s="68">
        <f t="shared" ref="AY2:AY33" si="4">+($K2*AB2)*1000/60</f>
        <v>0</v>
      </c>
      <c r="AZ2" s="68">
        <f t="shared" ref="AZ2:AZ33" si="5">+($K2*AC2)*1000/60</f>
        <v>0</v>
      </c>
      <c r="BA2" s="68">
        <f t="shared" ref="BA2:BA33" si="6">+($K2*AD2)*1000/60</f>
        <v>0</v>
      </c>
      <c r="BB2" s="68">
        <f t="shared" ref="BB2:BB33" si="7">+($K2*AE2)*1000/60</f>
        <v>0</v>
      </c>
      <c r="BC2" s="68">
        <f t="shared" ref="BC2:BC33" si="8">+($K2*AF2)*1000/60</f>
        <v>0</v>
      </c>
      <c r="BD2" s="68">
        <f t="shared" ref="BD2:BD33" si="9">+($K2*AG2)*1000/60</f>
        <v>0</v>
      </c>
      <c r="BE2" s="68">
        <f t="shared" ref="BE2:BE33" si="10">+($K2*AH2)*1000/60</f>
        <v>0</v>
      </c>
      <c r="BF2" s="68">
        <f t="shared" ref="BF2:BF33" si="11">+($K2*AI2)*1000/60</f>
        <v>0</v>
      </c>
      <c r="BG2" s="68">
        <f t="shared" ref="BG2:BG33" si="12">+($K2*AJ2)*1000/60</f>
        <v>0</v>
      </c>
      <c r="BH2" s="68">
        <f t="shared" ref="BH2:BH33" si="13">+($K2*AK2)*1000/60</f>
        <v>0</v>
      </c>
      <c r="BI2" s="68">
        <f t="shared" ref="BI2:BI33" si="14">+($K2*AL2)*1000/60</f>
        <v>0</v>
      </c>
      <c r="BJ2" s="68">
        <f t="shared" ref="BJ2:BJ33" si="15">+($K2*AM2)*1000/60</f>
        <v>0</v>
      </c>
      <c r="BK2" s="68">
        <f t="shared" ref="BK2:BK33" si="16">+($K2*AN2)*1000/60</f>
        <v>0</v>
      </c>
      <c r="BL2" s="68">
        <f t="shared" ref="BL2:BL33" si="17">+($K2*AO2)*1000/60</f>
        <v>0</v>
      </c>
      <c r="BM2" s="68">
        <f t="shared" ref="BM2:BM33" si="18">+($K2*AP2)*1000/60</f>
        <v>0</v>
      </c>
      <c r="BN2" s="68">
        <f t="shared" ref="BN2:BN33" si="19">+($K2*AQ2)*1000/60</f>
        <v>0</v>
      </c>
      <c r="BO2" s="68">
        <f t="shared" ref="BO2:BO33" si="20">+($K2*AR2)*1000/60</f>
        <v>0</v>
      </c>
      <c r="BP2" s="68">
        <f t="shared" ref="BP2:BP33" si="21">+($K2*AS2)*1000/60</f>
        <v>0</v>
      </c>
      <c r="BQ2" s="68">
        <f t="shared" ref="BQ2:BQ33" si="22">+($K2*AT2)*1000/60</f>
        <v>0</v>
      </c>
      <c r="BR2" s="68">
        <f t="shared" ref="BR2:BR33" si="23">+($K2*AU2)*1000/60</f>
        <v>0</v>
      </c>
      <c r="BS2" s="68">
        <f t="shared" ref="BS2:BS33" si="24">+($K2*AV2)*1000/60</f>
        <v>0</v>
      </c>
      <c r="BT2" s="129">
        <f t="shared" ref="BT2:BT33" si="25">+SUM(Z2:AV2)</f>
        <v>1</v>
      </c>
      <c r="BU2">
        <f>+VLOOKUP(E2,LogisticsReport!AI:HB,5,FALSE)</f>
        <v>-0.24</v>
      </c>
      <c r="BV2" s="205">
        <f t="shared" ref="BV2:BV33" si="26">+BU2-K2</f>
        <v>0</v>
      </c>
    </row>
    <row r="3" spans="1:74" ht="15.75" x14ac:dyDescent="0.25">
      <c r="A3" t="s">
        <v>167</v>
      </c>
      <c r="B3" t="s">
        <v>168</v>
      </c>
      <c r="C3" t="s">
        <v>179</v>
      </c>
      <c r="D3" t="s">
        <v>170</v>
      </c>
      <c r="E3" t="s">
        <v>221</v>
      </c>
      <c r="F3" t="str">
        <f>VLOOKUP(E3,LogisticsReport!AI:AI,1,FALSE)</f>
        <v>SSKE-107613</v>
      </c>
      <c r="G3" t="str">
        <f>INDEX(DailyNetPosition!A:A,MATCH(E3,DailyNetPosition!B:B,0))</f>
        <v>Hedgeable</v>
      </c>
      <c r="H3" s="133" t="s">
        <v>179</v>
      </c>
      <c r="I3" s="133" t="s">
        <v>222</v>
      </c>
      <c r="J3" s="149">
        <v>46140</v>
      </c>
      <c r="K3" s="133">
        <v>-38.4</v>
      </c>
      <c r="L3" s="133">
        <v>-1280</v>
      </c>
      <c r="M3" s="133" t="s">
        <v>173</v>
      </c>
      <c r="N3" s="133" t="s">
        <v>174</v>
      </c>
      <c r="O3" s="133" t="s">
        <v>189</v>
      </c>
      <c r="P3" t="str">
        <f>VLOOKUP(Table3[[#This Row],[Sale Ctr.]],LogisticsReport!AI:AW,15,FALSE)</f>
        <v>2026/05 Second - 2026/06 First</v>
      </c>
      <c r="Q3" s="77" t="str">
        <f t="shared" si="0"/>
        <v>2026/05</v>
      </c>
      <c r="R3" s="37" t="str">
        <f t="shared" si="1"/>
        <v>05</v>
      </c>
      <c r="S3">
        <v>56</v>
      </c>
      <c r="T3">
        <v>50.5047</v>
      </c>
      <c r="U3" t="s">
        <v>220</v>
      </c>
      <c r="V3" t="s">
        <v>186</v>
      </c>
      <c r="Y3" s="54">
        <v>23</v>
      </c>
      <c r="Z3" s="67">
        <f>VLOOKUP($Y3,Blends!$D:$AA,2, FALSE)</f>
        <v>0</v>
      </c>
      <c r="AA3" s="67">
        <f>VLOOKUP($Y3,Blends!$D:$AA,3, FALSE)</f>
        <v>0</v>
      </c>
      <c r="AB3" s="67">
        <f>VLOOKUP($Y3,Blends!$D:$AA,4, FALSE)</f>
        <v>0</v>
      </c>
      <c r="AC3" s="67">
        <f>VLOOKUP($Y3,Blends!$D:$AA,5, FALSE)</f>
        <v>0</v>
      </c>
      <c r="AD3" s="67">
        <f>VLOOKUP($Y3,Blends!$D:$AA,6, FALSE)</f>
        <v>0</v>
      </c>
      <c r="AE3" s="67">
        <f>VLOOKUP($Y3,Blends!$D:$AA,7, FALSE)</f>
        <v>0</v>
      </c>
      <c r="AF3" s="67">
        <f>VLOOKUP($Y3,Blends!$D:$AA,8, FALSE)</f>
        <v>0</v>
      </c>
      <c r="AG3" s="67">
        <f>VLOOKUP($Y3,Blends!$D:$AA,9, FALSE)</f>
        <v>0</v>
      </c>
      <c r="AH3" s="67">
        <f>VLOOKUP($Y3,Blends!$D:$AA,10, FALSE)</f>
        <v>0</v>
      </c>
      <c r="AI3" s="67">
        <f>VLOOKUP($Y3,Blends!$D:$AA,11, FALSE)</f>
        <v>0</v>
      </c>
      <c r="AJ3" s="67">
        <f>VLOOKUP($Y3,Blends!$D:$AA,12, FALSE)</f>
        <v>0</v>
      </c>
      <c r="AK3" s="67">
        <f>VLOOKUP($Y3,Blends!$D:$AA,13, FALSE)</f>
        <v>1</v>
      </c>
      <c r="AL3" s="67">
        <f>VLOOKUP($Y3,Blends!$D:$AA,14, FALSE)</f>
        <v>0</v>
      </c>
      <c r="AM3" s="67">
        <f>VLOOKUP($Y3,Blends!$D:$AA,15, FALSE)</f>
        <v>0</v>
      </c>
      <c r="AN3" s="67">
        <f>VLOOKUP($Y3,Blends!$D:$AA,16, FALSE)</f>
        <v>0</v>
      </c>
      <c r="AO3" s="67">
        <f>VLOOKUP($Y3,Blends!$D:$AA,17, FALSE)</f>
        <v>0</v>
      </c>
      <c r="AP3" s="67">
        <f>VLOOKUP($Y3,Blends!$D:$AA,18, FALSE)</f>
        <v>0</v>
      </c>
      <c r="AQ3" s="67">
        <f>VLOOKUP($Y3,Blends!$D:$AA,19, FALSE)</f>
        <v>0</v>
      </c>
      <c r="AR3" s="67">
        <f>VLOOKUP($Y3,Blends!$D:$AA,20, FALSE)</f>
        <v>0</v>
      </c>
      <c r="AS3" s="67">
        <f>VLOOKUP($Y3,Blends!$D:$AA,21, FALSE)</f>
        <v>0</v>
      </c>
      <c r="AT3" s="67">
        <f>VLOOKUP($Y3,Blends!$D:$AA,22, FALSE)</f>
        <v>0</v>
      </c>
      <c r="AU3" s="67">
        <f>VLOOKUP($Y3,Blends!$D:$AA,23, FALSE)</f>
        <v>0</v>
      </c>
      <c r="AV3" s="67">
        <f>VLOOKUP($Y3,Blends!$D:$AA,24, FALSE)</f>
        <v>0</v>
      </c>
      <c r="AW3" s="68">
        <f t="shared" si="2"/>
        <v>0</v>
      </c>
      <c r="AX3" s="68">
        <f t="shared" si="3"/>
        <v>0</v>
      </c>
      <c r="AY3" s="68">
        <f t="shared" si="4"/>
        <v>0</v>
      </c>
      <c r="AZ3" s="68">
        <f t="shared" si="5"/>
        <v>0</v>
      </c>
      <c r="BA3" s="68">
        <f t="shared" si="6"/>
        <v>0</v>
      </c>
      <c r="BB3" s="68">
        <f t="shared" si="7"/>
        <v>0</v>
      </c>
      <c r="BC3" s="68">
        <f t="shared" si="8"/>
        <v>0</v>
      </c>
      <c r="BD3" s="68">
        <f t="shared" si="9"/>
        <v>0</v>
      </c>
      <c r="BE3" s="68">
        <f t="shared" si="10"/>
        <v>0</v>
      </c>
      <c r="BF3" s="68">
        <f t="shared" si="11"/>
        <v>0</v>
      </c>
      <c r="BG3" s="68">
        <f t="shared" si="12"/>
        <v>0</v>
      </c>
      <c r="BH3" s="68">
        <f t="shared" si="13"/>
        <v>-640</v>
      </c>
      <c r="BI3" s="68">
        <f t="shared" si="14"/>
        <v>0</v>
      </c>
      <c r="BJ3" s="68">
        <f t="shared" si="15"/>
        <v>0</v>
      </c>
      <c r="BK3" s="68">
        <f t="shared" si="16"/>
        <v>0</v>
      </c>
      <c r="BL3" s="68">
        <f t="shared" si="17"/>
        <v>0</v>
      </c>
      <c r="BM3" s="68">
        <f t="shared" si="18"/>
        <v>0</v>
      </c>
      <c r="BN3" s="68">
        <f t="shared" si="19"/>
        <v>0</v>
      </c>
      <c r="BO3" s="68">
        <f t="shared" si="20"/>
        <v>0</v>
      </c>
      <c r="BP3" s="68">
        <f t="shared" si="21"/>
        <v>0</v>
      </c>
      <c r="BQ3" s="68">
        <f t="shared" si="22"/>
        <v>0</v>
      </c>
      <c r="BR3" s="68">
        <f t="shared" si="23"/>
        <v>0</v>
      </c>
      <c r="BS3" s="68">
        <f t="shared" si="24"/>
        <v>0</v>
      </c>
      <c r="BT3" s="129">
        <f t="shared" si="25"/>
        <v>1</v>
      </c>
      <c r="BU3">
        <f>+VLOOKUP(E3,LogisticsReport!AI:HB,5,FALSE)</f>
        <v>-38.4</v>
      </c>
      <c r="BV3" s="205">
        <f t="shared" si="26"/>
        <v>0</v>
      </c>
    </row>
    <row r="4" spans="1:74" ht="15.75" x14ac:dyDescent="0.25">
      <c r="A4" t="s">
        <v>167</v>
      </c>
      <c r="B4" t="s">
        <v>168</v>
      </c>
      <c r="C4" t="s">
        <v>267</v>
      </c>
      <c r="D4" t="s">
        <v>170</v>
      </c>
      <c r="E4" t="s">
        <v>268</v>
      </c>
      <c r="F4" t="str">
        <f>VLOOKUP(E4,LogisticsReport!AI:AI,1,FALSE)</f>
        <v>SSKE-106869</v>
      </c>
      <c r="G4" t="str">
        <f>INDEX(DailyNetPosition!A:A,MATCH(E4,DailyNetPosition!B:B,0))</f>
        <v>Hedgeable</v>
      </c>
      <c r="H4" s="83" t="s">
        <v>267</v>
      </c>
      <c r="I4" t="s">
        <v>269</v>
      </c>
      <c r="J4" s="38">
        <v>46105</v>
      </c>
      <c r="K4">
        <v>-108</v>
      </c>
      <c r="L4" s="79">
        <v>-1800</v>
      </c>
      <c r="M4" t="s">
        <v>173</v>
      </c>
      <c r="N4" t="s">
        <v>174</v>
      </c>
      <c r="O4" t="s">
        <v>189</v>
      </c>
      <c r="P4" t="str">
        <f>VLOOKUP(Table3[[#This Row],[Sale Ctr.]],LogisticsReport!AI:AW,15,FALSE)</f>
        <v>2026/05 All - 2026/05 All</v>
      </c>
      <c r="Q4" s="77" t="str">
        <f t="shared" si="0"/>
        <v>2026/05</v>
      </c>
      <c r="R4" s="37" t="str">
        <f t="shared" si="1"/>
        <v>05</v>
      </c>
      <c r="S4">
        <v>-6</v>
      </c>
      <c r="T4">
        <v>-9</v>
      </c>
      <c r="U4" t="s">
        <v>270</v>
      </c>
      <c r="V4" t="s">
        <v>186</v>
      </c>
      <c r="Y4" s="54">
        <v>105</v>
      </c>
      <c r="Z4" s="67">
        <f>VLOOKUP($Y4,Blends!$D:$AA,2, FALSE)</f>
        <v>0</v>
      </c>
      <c r="AA4" s="67">
        <f>VLOOKUP($Y4,Blends!$D:$AA,3, FALSE)</f>
        <v>0</v>
      </c>
      <c r="AB4" s="67">
        <f>VLOOKUP($Y4,Blends!$D:$AA,4, FALSE)</f>
        <v>0</v>
      </c>
      <c r="AC4" s="67">
        <f>VLOOKUP($Y4,Blends!$D:$AA,5, FALSE)</f>
        <v>0</v>
      </c>
      <c r="AD4" s="67">
        <f>VLOOKUP($Y4,Blends!$D:$AA,6, FALSE)</f>
        <v>0</v>
      </c>
      <c r="AE4" s="67">
        <f>VLOOKUP($Y4,Blends!$D:$AA,7, FALSE)</f>
        <v>0</v>
      </c>
      <c r="AF4" s="67">
        <f>VLOOKUP($Y4,Blends!$D:$AA,8, FALSE)</f>
        <v>0</v>
      </c>
      <c r="AG4" s="67">
        <f>VLOOKUP($Y4,Blends!$D:$AA,9, FALSE)</f>
        <v>0</v>
      </c>
      <c r="AH4" s="67">
        <f>VLOOKUP($Y4,Blends!$D:$AA,10, FALSE)</f>
        <v>0</v>
      </c>
      <c r="AI4" s="67">
        <f>VLOOKUP($Y4,Blends!$D:$AA,11, FALSE)</f>
        <v>0</v>
      </c>
      <c r="AJ4" s="67">
        <f>VLOOKUP($Y4,Blends!$D:$AA,12, FALSE)</f>
        <v>0</v>
      </c>
      <c r="AK4" s="67">
        <f>VLOOKUP($Y4,Blends!$D:$AA,13, FALSE)</f>
        <v>0</v>
      </c>
      <c r="AL4" s="67">
        <f>VLOOKUP($Y4,Blends!$D:$AA,14, FALSE)</f>
        <v>0</v>
      </c>
      <c r="AM4" s="67">
        <f>VLOOKUP($Y4,Blends!$D:$AA,15, FALSE)</f>
        <v>0</v>
      </c>
      <c r="AN4" s="67">
        <f>VLOOKUP($Y4,Blends!$D:$AA,16, FALSE)</f>
        <v>0</v>
      </c>
      <c r="AO4" s="67">
        <f>VLOOKUP($Y4,Blends!$D:$AA,17, FALSE)</f>
        <v>0</v>
      </c>
      <c r="AP4" s="67">
        <f>VLOOKUP($Y4,Blends!$D:$AA,18, FALSE)</f>
        <v>0</v>
      </c>
      <c r="AQ4" s="67">
        <f>VLOOKUP($Y4,Blends!$D:$AA,19, FALSE)</f>
        <v>0.25</v>
      </c>
      <c r="AR4" s="67">
        <f>VLOOKUP($Y4,Blends!$D:$AA,20, FALSE)</f>
        <v>0.75</v>
      </c>
      <c r="AS4" s="67">
        <f>VLOOKUP($Y4,Blends!$D:$AA,21, FALSE)</f>
        <v>0</v>
      </c>
      <c r="AT4" s="67">
        <f>VLOOKUP($Y4,Blends!$D:$AA,22, FALSE)</f>
        <v>0</v>
      </c>
      <c r="AU4" s="67">
        <f>VLOOKUP($Y4,Blends!$D:$AA,23, FALSE)</f>
        <v>0</v>
      </c>
      <c r="AV4" s="67">
        <f>VLOOKUP($Y4,Blends!$D:$AA,24, FALSE)</f>
        <v>0</v>
      </c>
      <c r="AW4" s="68">
        <f t="shared" si="2"/>
        <v>0</v>
      </c>
      <c r="AX4" s="68">
        <f t="shared" si="3"/>
        <v>0</v>
      </c>
      <c r="AY4" s="68">
        <f t="shared" si="4"/>
        <v>0</v>
      </c>
      <c r="AZ4" s="68">
        <f t="shared" si="5"/>
        <v>0</v>
      </c>
      <c r="BA4" s="68">
        <f t="shared" si="6"/>
        <v>0</v>
      </c>
      <c r="BB4" s="68">
        <f t="shared" si="7"/>
        <v>0</v>
      </c>
      <c r="BC4" s="68">
        <f t="shared" si="8"/>
        <v>0</v>
      </c>
      <c r="BD4" s="68">
        <f t="shared" si="9"/>
        <v>0</v>
      </c>
      <c r="BE4" s="68">
        <f t="shared" si="10"/>
        <v>0</v>
      </c>
      <c r="BF4" s="68">
        <f t="shared" si="11"/>
        <v>0</v>
      </c>
      <c r="BG4" s="68">
        <f t="shared" si="12"/>
        <v>0</v>
      </c>
      <c r="BH4" s="68">
        <f t="shared" si="13"/>
        <v>0</v>
      </c>
      <c r="BI4" s="68">
        <f t="shared" si="14"/>
        <v>0</v>
      </c>
      <c r="BJ4" s="68">
        <f t="shared" si="15"/>
        <v>0</v>
      </c>
      <c r="BK4" s="68">
        <f t="shared" si="16"/>
        <v>0</v>
      </c>
      <c r="BL4" s="68">
        <f t="shared" si="17"/>
        <v>0</v>
      </c>
      <c r="BM4" s="68">
        <f t="shared" si="18"/>
        <v>0</v>
      </c>
      <c r="BN4" s="68">
        <f t="shared" si="19"/>
        <v>-450</v>
      </c>
      <c r="BO4" s="68">
        <f t="shared" si="20"/>
        <v>-1350</v>
      </c>
      <c r="BP4" s="68">
        <f t="shared" si="21"/>
        <v>0</v>
      </c>
      <c r="BQ4" s="68">
        <f t="shared" si="22"/>
        <v>0</v>
      </c>
      <c r="BR4" s="68">
        <f t="shared" si="23"/>
        <v>0</v>
      </c>
      <c r="BS4" s="68">
        <f t="shared" si="24"/>
        <v>0</v>
      </c>
      <c r="BT4" s="129">
        <f t="shared" si="25"/>
        <v>1</v>
      </c>
      <c r="BU4">
        <f>+VLOOKUP(E4,LogisticsReport!AI:HB,5,FALSE)</f>
        <v>-108</v>
      </c>
      <c r="BV4" s="205">
        <f t="shared" si="26"/>
        <v>0</v>
      </c>
    </row>
    <row r="5" spans="1:74" ht="15.75" x14ac:dyDescent="0.25">
      <c r="A5" t="s">
        <v>167</v>
      </c>
      <c r="B5" t="s">
        <v>168</v>
      </c>
      <c r="C5" t="s">
        <v>195</v>
      </c>
      <c r="D5" t="s">
        <v>170</v>
      </c>
      <c r="E5" t="s">
        <v>312</v>
      </c>
      <c r="F5" t="str">
        <f>VLOOKUP(E5,LogisticsReport!AI:AI,1,FALSE)</f>
        <v>SSKE-107052</v>
      </c>
      <c r="G5" t="str">
        <f>INDEX(DailyNetPosition!A:A,MATCH(E5,DailyNetPosition!B:B,0))</f>
        <v>Hedgeable</v>
      </c>
      <c r="H5" s="133" t="s">
        <v>195</v>
      </c>
      <c r="I5" s="133" t="s">
        <v>237</v>
      </c>
      <c r="J5" s="149">
        <v>46105</v>
      </c>
      <c r="K5" s="133">
        <v>-19.2</v>
      </c>
      <c r="L5" s="133">
        <v>-320</v>
      </c>
      <c r="M5" s="133" t="s">
        <v>173</v>
      </c>
      <c r="N5" s="133" t="s">
        <v>174</v>
      </c>
      <c r="O5" s="133" t="s">
        <v>184</v>
      </c>
      <c r="P5" t="str">
        <f>VLOOKUP(Table3[[#This Row],[Sale Ctr.]],LogisticsReport!AI:AW,15,FALSE)</f>
        <v>2026/05 All - 2026/05 All</v>
      </c>
      <c r="Q5" s="77" t="str">
        <f t="shared" si="0"/>
        <v>2026/05</v>
      </c>
      <c r="R5" s="37" t="str">
        <f t="shared" si="1"/>
        <v>05</v>
      </c>
      <c r="S5">
        <v>35</v>
      </c>
      <c r="T5">
        <v>35</v>
      </c>
      <c r="U5" t="s">
        <v>51</v>
      </c>
      <c r="V5" t="s">
        <v>232</v>
      </c>
      <c r="Y5" s="54">
        <v>31</v>
      </c>
      <c r="Z5" s="67">
        <f>VLOOKUP($Y5,Blends!$D:$AA,2, FALSE)</f>
        <v>0</v>
      </c>
      <c r="AA5" s="67">
        <f>VLOOKUP($Y5,Blends!$D:$AA,3, FALSE)</f>
        <v>0</v>
      </c>
      <c r="AB5" s="67">
        <f>VLOOKUP($Y5,Blends!$D:$AA,4, FALSE)</f>
        <v>0</v>
      </c>
      <c r="AC5" s="67">
        <f>VLOOKUP($Y5,Blends!$D:$AA,5, FALSE)</f>
        <v>0</v>
      </c>
      <c r="AD5" s="67">
        <f>VLOOKUP($Y5,Blends!$D:$AA,6, FALSE)</f>
        <v>0</v>
      </c>
      <c r="AE5" s="67">
        <f>VLOOKUP($Y5,Blends!$D:$AA,7, FALSE)</f>
        <v>0</v>
      </c>
      <c r="AF5" s="67">
        <f>VLOOKUP($Y5,Blends!$D:$AA,8, FALSE)</f>
        <v>0</v>
      </c>
      <c r="AG5" s="67">
        <f>VLOOKUP($Y5,Blends!$D:$AA,9, FALSE)</f>
        <v>0</v>
      </c>
      <c r="AH5" s="67">
        <f>VLOOKUP($Y5,Blends!$D:$AA,10, FALSE)</f>
        <v>0</v>
      </c>
      <c r="AI5" s="67">
        <f>VLOOKUP($Y5,Blends!$D:$AA,11, FALSE)</f>
        <v>0</v>
      </c>
      <c r="AJ5" s="67">
        <f>VLOOKUP($Y5,Blends!$D:$AA,12, FALSE)</f>
        <v>0</v>
      </c>
      <c r="AK5" s="67">
        <f>VLOOKUP($Y5,Blends!$D:$AA,13, FALSE)</f>
        <v>0</v>
      </c>
      <c r="AL5" s="67">
        <f>VLOOKUP($Y5,Blends!$D:$AA,14, FALSE)</f>
        <v>1</v>
      </c>
      <c r="AM5" s="67">
        <f>VLOOKUP($Y5,Blends!$D:$AA,15, FALSE)</f>
        <v>0</v>
      </c>
      <c r="AN5" s="67">
        <f>VLOOKUP($Y5,Blends!$D:$AA,16, FALSE)</f>
        <v>0</v>
      </c>
      <c r="AO5" s="67">
        <f>VLOOKUP($Y5,Blends!$D:$AA,17, FALSE)</f>
        <v>0</v>
      </c>
      <c r="AP5" s="67">
        <f>VLOOKUP($Y5,Blends!$D:$AA,18, FALSE)</f>
        <v>0</v>
      </c>
      <c r="AQ5" s="67">
        <f>VLOOKUP($Y5,Blends!$D:$AA,19, FALSE)</f>
        <v>0</v>
      </c>
      <c r="AR5" s="67">
        <f>VLOOKUP($Y5,Blends!$D:$AA,20, FALSE)</f>
        <v>0</v>
      </c>
      <c r="AS5" s="67">
        <f>VLOOKUP($Y5,Blends!$D:$AA,21, FALSE)</f>
        <v>0</v>
      </c>
      <c r="AT5" s="67">
        <f>VLOOKUP($Y5,Blends!$D:$AA,22, FALSE)</f>
        <v>0</v>
      </c>
      <c r="AU5" s="67">
        <f>VLOOKUP($Y5,Blends!$D:$AA,23, FALSE)</f>
        <v>0</v>
      </c>
      <c r="AV5" s="67">
        <f>VLOOKUP($Y5,Blends!$D:$AA,24, FALSE)</f>
        <v>0</v>
      </c>
      <c r="AW5" s="68">
        <f t="shared" si="2"/>
        <v>0</v>
      </c>
      <c r="AX5" s="68">
        <f t="shared" si="3"/>
        <v>0</v>
      </c>
      <c r="AY5" s="68">
        <f t="shared" si="4"/>
        <v>0</v>
      </c>
      <c r="AZ5" s="68">
        <f t="shared" si="5"/>
        <v>0</v>
      </c>
      <c r="BA5" s="68">
        <f t="shared" si="6"/>
        <v>0</v>
      </c>
      <c r="BB5" s="68">
        <f t="shared" si="7"/>
        <v>0</v>
      </c>
      <c r="BC5" s="68">
        <f t="shared" si="8"/>
        <v>0</v>
      </c>
      <c r="BD5" s="68">
        <f t="shared" si="9"/>
        <v>0</v>
      </c>
      <c r="BE5" s="68">
        <f t="shared" si="10"/>
        <v>0</v>
      </c>
      <c r="BF5" s="68">
        <f t="shared" si="11"/>
        <v>0</v>
      </c>
      <c r="BG5" s="68">
        <f t="shared" si="12"/>
        <v>0</v>
      </c>
      <c r="BH5" s="68">
        <f t="shared" si="13"/>
        <v>0</v>
      </c>
      <c r="BI5" s="68">
        <f t="shared" si="14"/>
        <v>-320</v>
      </c>
      <c r="BJ5" s="68">
        <f t="shared" si="15"/>
        <v>0</v>
      </c>
      <c r="BK5" s="68">
        <f t="shared" si="16"/>
        <v>0</v>
      </c>
      <c r="BL5" s="68">
        <f t="shared" si="17"/>
        <v>0</v>
      </c>
      <c r="BM5" s="68">
        <f t="shared" si="18"/>
        <v>0</v>
      </c>
      <c r="BN5" s="68">
        <f t="shared" si="19"/>
        <v>0</v>
      </c>
      <c r="BO5" s="68">
        <f t="shared" si="20"/>
        <v>0</v>
      </c>
      <c r="BP5" s="68">
        <f t="shared" si="21"/>
        <v>0</v>
      </c>
      <c r="BQ5" s="68">
        <f t="shared" si="22"/>
        <v>0</v>
      </c>
      <c r="BR5" s="68">
        <f t="shared" si="23"/>
        <v>0</v>
      </c>
      <c r="BS5" s="68">
        <f t="shared" si="24"/>
        <v>0</v>
      </c>
      <c r="BT5" s="129">
        <f t="shared" si="25"/>
        <v>1</v>
      </c>
      <c r="BU5">
        <f>+VLOOKUP(E5,LogisticsReport!AI:HB,5,FALSE)</f>
        <v>-19.2</v>
      </c>
      <c r="BV5" s="205">
        <f t="shared" si="26"/>
        <v>0</v>
      </c>
    </row>
    <row r="6" spans="1:74" ht="15.75" x14ac:dyDescent="0.25">
      <c r="A6" t="s">
        <v>167</v>
      </c>
      <c r="B6" t="s">
        <v>168</v>
      </c>
      <c r="C6" t="s">
        <v>179</v>
      </c>
      <c r="D6" t="s">
        <v>170</v>
      </c>
      <c r="E6" t="s">
        <v>191</v>
      </c>
      <c r="F6" t="str">
        <f>VLOOKUP(E6,LogisticsReport!AI:AI,1,FALSE)</f>
        <v>SSKE-103502</v>
      </c>
      <c r="G6" t="str">
        <f>INDEX(DailyNetPosition!A:A,MATCH(E6,DailyNetPosition!B:B,0))</f>
        <v>Hedgeable</v>
      </c>
      <c r="H6" t="s">
        <v>179</v>
      </c>
      <c r="I6" t="s">
        <v>188</v>
      </c>
      <c r="J6" s="38">
        <v>45971</v>
      </c>
      <c r="K6">
        <v>-38.4</v>
      </c>
      <c r="L6" s="79">
        <v>-640</v>
      </c>
      <c r="M6" t="s">
        <v>173</v>
      </c>
      <c r="N6" t="s">
        <v>174</v>
      </c>
      <c r="O6" t="s">
        <v>189</v>
      </c>
      <c r="P6" t="str">
        <f>VLOOKUP(Table3[[#This Row],[Sale Ctr.]],LogisticsReport!AI:AW,15,FALSE)</f>
        <v>2026/06 All - 2026/06 All</v>
      </c>
      <c r="Q6" s="77" t="str">
        <f t="shared" si="0"/>
        <v>2026/06</v>
      </c>
      <c r="R6" s="37" t="str">
        <f t="shared" si="1"/>
        <v>06</v>
      </c>
      <c r="S6">
        <v>175</v>
      </c>
      <c r="T6">
        <v>161.00290000000001</v>
      </c>
      <c r="U6" t="s">
        <v>190</v>
      </c>
      <c r="V6" t="str">
        <f>VLOOKUP(Table3[[#This Row],[Sale Ctr.]],LogisticsReport!AI:DD,74,FALSE)</f>
        <v>KCN/2026</v>
      </c>
      <c r="X6" t="str">
        <f>+VLOOKUP(E6,LogisticsReport!AI:FA,8,FALSE)</f>
        <v>KEMBA</v>
      </c>
      <c r="Y6" s="54">
        <v>625</v>
      </c>
      <c r="Z6" s="67">
        <f>VLOOKUP($Y6,Blends!$D:$AA,2, FALSE)</f>
        <v>0</v>
      </c>
      <c r="AA6" s="67">
        <f>VLOOKUP($Y6,Blends!$D:$AA,3, FALSE)</f>
        <v>0</v>
      </c>
      <c r="AB6" s="67">
        <f>VLOOKUP($Y6,Blends!$D:$AA,4, FALSE)</f>
        <v>0.25</v>
      </c>
      <c r="AC6" s="67">
        <f>VLOOKUP($Y6,Blends!$D:$AA,5, FALSE)</f>
        <v>0</v>
      </c>
      <c r="AD6" s="67">
        <f>VLOOKUP($Y6,Blends!$D:$AA,6, FALSE)</f>
        <v>0</v>
      </c>
      <c r="AE6" s="67">
        <f>VLOOKUP($Y6,Blends!$D:$AA,7, FALSE)</f>
        <v>0</v>
      </c>
      <c r="AF6" s="67">
        <f>VLOOKUP($Y6,Blends!$D:$AA,8, FALSE)</f>
        <v>0.35</v>
      </c>
      <c r="AG6" s="67">
        <f>VLOOKUP($Y6,Blends!$D:$AA,9, FALSE)</f>
        <v>0</v>
      </c>
      <c r="AH6" s="67">
        <f>VLOOKUP($Y6,Blends!$D:$AA,10, FALSE)</f>
        <v>0</v>
      </c>
      <c r="AI6" s="67">
        <f>VLOOKUP($Y6,Blends!$D:$AA,11, FALSE)</f>
        <v>0</v>
      </c>
      <c r="AJ6" s="67">
        <f>VLOOKUP($Y6,Blends!$D:$AA,12, FALSE)</f>
        <v>0</v>
      </c>
      <c r="AK6" s="67">
        <f>VLOOKUP($Y6,Blends!$D:$AA,13, FALSE)</f>
        <v>0.4</v>
      </c>
      <c r="AL6" s="67">
        <f>VLOOKUP($Y6,Blends!$D:$AA,14, FALSE)</f>
        <v>0</v>
      </c>
      <c r="AM6" s="67">
        <f>VLOOKUP($Y6,Blends!$D:$AA,15, FALSE)</f>
        <v>0</v>
      </c>
      <c r="AN6" s="67">
        <f>VLOOKUP($Y6,Blends!$D:$AA,16, FALSE)</f>
        <v>0</v>
      </c>
      <c r="AO6" s="67">
        <f>VLOOKUP($Y6,Blends!$D:$AA,17, FALSE)</f>
        <v>0</v>
      </c>
      <c r="AP6" s="67">
        <f>VLOOKUP($Y6,Blends!$D:$AA,18, FALSE)</f>
        <v>0</v>
      </c>
      <c r="AQ6" s="67">
        <f>VLOOKUP($Y6,Blends!$D:$AA,19, FALSE)</f>
        <v>0</v>
      </c>
      <c r="AR6" s="67">
        <f>VLOOKUP($Y6,Blends!$D:$AA,20, FALSE)</f>
        <v>0</v>
      </c>
      <c r="AS6" s="67">
        <f>VLOOKUP($Y6,Blends!$D:$AA,21, FALSE)</f>
        <v>0</v>
      </c>
      <c r="AT6" s="67">
        <f>VLOOKUP($Y6,Blends!$D:$AA,22, FALSE)</f>
        <v>0</v>
      </c>
      <c r="AU6" s="67">
        <f>VLOOKUP($Y6,Blends!$D:$AA,23, FALSE)</f>
        <v>0</v>
      </c>
      <c r="AV6" s="67">
        <f>VLOOKUP($Y6,Blends!$D:$AA,24, FALSE)</f>
        <v>0</v>
      </c>
      <c r="AW6" s="68">
        <f t="shared" si="2"/>
        <v>0</v>
      </c>
      <c r="AX6" s="68">
        <f t="shared" si="3"/>
        <v>0</v>
      </c>
      <c r="AY6" s="68">
        <f t="shared" si="4"/>
        <v>-160</v>
      </c>
      <c r="AZ6" s="68">
        <f t="shared" si="5"/>
        <v>0</v>
      </c>
      <c r="BA6" s="68">
        <f t="shared" si="6"/>
        <v>0</v>
      </c>
      <c r="BB6" s="68">
        <f t="shared" si="7"/>
        <v>0</v>
      </c>
      <c r="BC6" s="68">
        <f t="shared" si="8"/>
        <v>-224</v>
      </c>
      <c r="BD6" s="68">
        <f t="shared" si="9"/>
        <v>0</v>
      </c>
      <c r="BE6" s="68">
        <f t="shared" si="10"/>
        <v>0</v>
      </c>
      <c r="BF6" s="68">
        <f t="shared" si="11"/>
        <v>0</v>
      </c>
      <c r="BG6" s="68">
        <f t="shared" si="12"/>
        <v>0</v>
      </c>
      <c r="BH6" s="68">
        <f t="shared" si="13"/>
        <v>-256</v>
      </c>
      <c r="BI6" s="68">
        <f t="shared" si="14"/>
        <v>0</v>
      </c>
      <c r="BJ6" s="68">
        <f t="shared" si="15"/>
        <v>0</v>
      </c>
      <c r="BK6" s="68">
        <f t="shared" si="16"/>
        <v>0</v>
      </c>
      <c r="BL6" s="68">
        <f t="shared" si="17"/>
        <v>0</v>
      </c>
      <c r="BM6" s="68">
        <f t="shared" si="18"/>
        <v>0</v>
      </c>
      <c r="BN6" s="68">
        <f t="shared" si="19"/>
        <v>0</v>
      </c>
      <c r="BO6" s="68">
        <f t="shared" si="20"/>
        <v>0</v>
      </c>
      <c r="BP6" s="68">
        <f t="shared" si="21"/>
        <v>0</v>
      </c>
      <c r="BQ6" s="68">
        <f t="shared" si="22"/>
        <v>0</v>
      </c>
      <c r="BR6" s="68">
        <f t="shared" si="23"/>
        <v>0</v>
      </c>
      <c r="BS6" s="68">
        <f t="shared" si="24"/>
        <v>0</v>
      </c>
      <c r="BT6" s="140">
        <f t="shared" si="25"/>
        <v>1</v>
      </c>
      <c r="BU6">
        <f>+VLOOKUP(E6,LogisticsReport!AI:HB,5,FALSE)</f>
        <v>-19.2</v>
      </c>
      <c r="BV6" s="205">
        <f t="shared" si="26"/>
        <v>19.2</v>
      </c>
    </row>
    <row r="7" spans="1:74" ht="15.75" x14ac:dyDescent="0.25">
      <c r="A7" t="s">
        <v>167</v>
      </c>
      <c r="B7" t="s">
        <v>168</v>
      </c>
      <c r="C7" t="s">
        <v>179</v>
      </c>
      <c r="D7" t="s">
        <v>170</v>
      </c>
      <c r="E7" t="s">
        <v>226</v>
      </c>
      <c r="F7" t="str">
        <f>VLOOKUP(E7,LogisticsReport!AI:AI,1,FALSE)</f>
        <v>SSKE-107773</v>
      </c>
      <c r="G7" t="str">
        <f>INDEX(DailyNetPosition!A:A,MATCH(E7,DailyNetPosition!B:B,0))</f>
        <v>Hedgeable</v>
      </c>
      <c r="H7" s="133" t="s">
        <v>179</v>
      </c>
      <c r="I7" s="133" t="s">
        <v>227</v>
      </c>
      <c r="J7" s="149">
        <v>46150</v>
      </c>
      <c r="K7" s="133">
        <v>-19.2</v>
      </c>
      <c r="L7" s="133">
        <v>-320</v>
      </c>
      <c r="M7" s="133" t="s">
        <v>173</v>
      </c>
      <c r="N7" s="133" t="s">
        <v>174</v>
      </c>
      <c r="O7" s="133" t="s">
        <v>205</v>
      </c>
      <c r="P7" t="str">
        <f>VLOOKUP(Table3[[#This Row],[Sale Ctr.]],LogisticsReport!AI:AW,15,FALSE)</f>
        <v>2026/06 All - 2026/06 All</v>
      </c>
      <c r="Q7" s="77" t="str">
        <f t="shared" si="0"/>
        <v>2026/06</v>
      </c>
      <c r="R7" s="37" t="str">
        <f t="shared" si="1"/>
        <v>06</v>
      </c>
      <c r="S7">
        <v>60</v>
      </c>
      <c r="T7">
        <v>55.195500000000003</v>
      </c>
      <c r="U7" t="s">
        <v>48</v>
      </c>
      <c r="V7" t="s">
        <v>186</v>
      </c>
      <c r="W7" t="s">
        <v>228</v>
      </c>
      <c r="Y7" s="54">
        <v>23</v>
      </c>
      <c r="Z7" s="67">
        <f>VLOOKUP($Y7,Blends!$D:$AA,2, FALSE)</f>
        <v>0</v>
      </c>
      <c r="AA7" s="67">
        <f>VLOOKUP($Y7,Blends!$D:$AA,3, FALSE)</f>
        <v>0</v>
      </c>
      <c r="AB7" s="67">
        <f>VLOOKUP($Y7,Blends!$D:$AA,4, FALSE)</f>
        <v>0</v>
      </c>
      <c r="AC7" s="67">
        <f>VLOOKUP($Y7,Blends!$D:$AA,5, FALSE)</f>
        <v>0</v>
      </c>
      <c r="AD7" s="67">
        <f>VLOOKUP($Y7,Blends!$D:$AA,6, FALSE)</f>
        <v>0</v>
      </c>
      <c r="AE7" s="67">
        <f>VLOOKUP($Y7,Blends!$D:$AA,7, FALSE)</f>
        <v>0</v>
      </c>
      <c r="AF7" s="67">
        <f>VLOOKUP($Y7,Blends!$D:$AA,8, FALSE)</f>
        <v>0</v>
      </c>
      <c r="AG7" s="67">
        <f>VLOOKUP($Y7,Blends!$D:$AA,9, FALSE)</f>
        <v>0</v>
      </c>
      <c r="AH7" s="67">
        <f>VLOOKUP($Y7,Blends!$D:$AA,10, FALSE)</f>
        <v>0</v>
      </c>
      <c r="AI7" s="67">
        <f>VLOOKUP($Y7,Blends!$D:$AA,11, FALSE)</f>
        <v>0</v>
      </c>
      <c r="AJ7" s="67">
        <f>VLOOKUP($Y7,Blends!$D:$AA,12, FALSE)</f>
        <v>0</v>
      </c>
      <c r="AK7" s="67">
        <f>VLOOKUP($Y7,Blends!$D:$AA,13, FALSE)</f>
        <v>1</v>
      </c>
      <c r="AL7" s="67">
        <f>VLOOKUP($Y7,Blends!$D:$AA,14, FALSE)</f>
        <v>0</v>
      </c>
      <c r="AM7" s="67">
        <f>VLOOKUP($Y7,Blends!$D:$AA,15, FALSE)</f>
        <v>0</v>
      </c>
      <c r="AN7" s="67">
        <f>VLOOKUP($Y7,Blends!$D:$AA,16, FALSE)</f>
        <v>0</v>
      </c>
      <c r="AO7" s="67">
        <f>VLOOKUP($Y7,Blends!$D:$AA,17, FALSE)</f>
        <v>0</v>
      </c>
      <c r="AP7" s="67">
        <f>VLOOKUP($Y7,Blends!$D:$AA,18, FALSE)</f>
        <v>0</v>
      </c>
      <c r="AQ7" s="67">
        <f>VLOOKUP($Y7,Blends!$D:$AA,19, FALSE)</f>
        <v>0</v>
      </c>
      <c r="AR7" s="67">
        <f>VLOOKUP($Y7,Blends!$D:$AA,20, FALSE)</f>
        <v>0</v>
      </c>
      <c r="AS7" s="67">
        <f>VLOOKUP($Y7,Blends!$D:$AA,21, FALSE)</f>
        <v>0</v>
      </c>
      <c r="AT7" s="67">
        <f>VLOOKUP($Y7,Blends!$D:$AA,22, FALSE)</f>
        <v>0</v>
      </c>
      <c r="AU7" s="67">
        <f>VLOOKUP($Y7,Blends!$D:$AA,23, FALSE)</f>
        <v>0</v>
      </c>
      <c r="AV7" s="67">
        <f>VLOOKUP($Y7,Blends!$D:$AA,24, FALSE)</f>
        <v>0</v>
      </c>
      <c r="AW7" s="68">
        <f t="shared" si="2"/>
        <v>0</v>
      </c>
      <c r="AX7" s="68">
        <f t="shared" si="3"/>
        <v>0</v>
      </c>
      <c r="AY7" s="68">
        <f t="shared" si="4"/>
        <v>0</v>
      </c>
      <c r="AZ7" s="68">
        <f t="shared" si="5"/>
        <v>0</v>
      </c>
      <c r="BA7" s="68">
        <f t="shared" si="6"/>
        <v>0</v>
      </c>
      <c r="BB7" s="68">
        <f t="shared" si="7"/>
        <v>0</v>
      </c>
      <c r="BC7" s="68">
        <f t="shared" si="8"/>
        <v>0</v>
      </c>
      <c r="BD7" s="68">
        <f t="shared" si="9"/>
        <v>0</v>
      </c>
      <c r="BE7" s="68">
        <f t="shared" si="10"/>
        <v>0</v>
      </c>
      <c r="BF7" s="68">
        <f t="shared" si="11"/>
        <v>0</v>
      </c>
      <c r="BG7" s="68">
        <f t="shared" si="12"/>
        <v>0</v>
      </c>
      <c r="BH7" s="68">
        <f t="shared" si="13"/>
        <v>-320</v>
      </c>
      <c r="BI7" s="68">
        <f t="shared" si="14"/>
        <v>0</v>
      </c>
      <c r="BJ7" s="68">
        <f t="shared" si="15"/>
        <v>0</v>
      </c>
      <c r="BK7" s="68">
        <f t="shared" si="16"/>
        <v>0</v>
      </c>
      <c r="BL7" s="68">
        <f t="shared" si="17"/>
        <v>0</v>
      </c>
      <c r="BM7" s="68">
        <f t="shared" si="18"/>
        <v>0</v>
      </c>
      <c r="BN7" s="68">
        <f t="shared" si="19"/>
        <v>0</v>
      </c>
      <c r="BO7" s="68">
        <f t="shared" si="20"/>
        <v>0</v>
      </c>
      <c r="BP7" s="68">
        <f t="shared" si="21"/>
        <v>0</v>
      </c>
      <c r="BQ7" s="68">
        <f t="shared" si="22"/>
        <v>0</v>
      </c>
      <c r="BR7" s="68">
        <f t="shared" si="23"/>
        <v>0</v>
      </c>
      <c r="BS7" s="68">
        <f t="shared" si="24"/>
        <v>0</v>
      </c>
      <c r="BT7" s="129">
        <f t="shared" si="25"/>
        <v>1</v>
      </c>
      <c r="BU7">
        <f>+VLOOKUP(E7,LogisticsReport!AI:HB,5,FALSE)</f>
        <v>-19.2</v>
      </c>
      <c r="BV7" s="205">
        <f t="shared" si="26"/>
        <v>0</v>
      </c>
    </row>
    <row r="8" spans="1:74" ht="15.75" x14ac:dyDescent="0.25">
      <c r="A8" t="s">
        <v>167</v>
      </c>
      <c r="B8" t="s">
        <v>168</v>
      </c>
      <c r="C8" t="s">
        <v>179</v>
      </c>
      <c r="D8" t="s">
        <v>170</v>
      </c>
      <c r="E8" t="s">
        <v>229</v>
      </c>
      <c r="F8" t="str">
        <f>VLOOKUP(E8,LogisticsReport!AI:AI,1,FALSE)</f>
        <v>SSKE-107774</v>
      </c>
      <c r="G8" t="str">
        <f>INDEX(DailyNetPosition!A:A,MATCH(E8,DailyNetPosition!B:B,0))</f>
        <v>Hedgeable</v>
      </c>
      <c r="H8" s="133" t="s">
        <v>179</v>
      </c>
      <c r="I8" s="133" t="s">
        <v>227</v>
      </c>
      <c r="J8" s="149">
        <v>46150</v>
      </c>
      <c r="K8" s="133">
        <v>-19.2</v>
      </c>
      <c r="L8" s="133">
        <v>-320</v>
      </c>
      <c r="M8" s="133" t="s">
        <v>173</v>
      </c>
      <c r="N8" s="133" t="s">
        <v>174</v>
      </c>
      <c r="O8" s="133" t="s">
        <v>205</v>
      </c>
      <c r="P8" t="str">
        <f>VLOOKUP(Table3[[#This Row],[Sale Ctr.]],LogisticsReport!AI:AW,15,FALSE)</f>
        <v>2026/06 All - 2026/06 All</v>
      </c>
      <c r="Q8" s="77" t="str">
        <f t="shared" si="0"/>
        <v>2026/06</v>
      </c>
      <c r="R8" s="37" t="str">
        <f t="shared" si="1"/>
        <v>06</v>
      </c>
      <c r="S8">
        <v>60</v>
      </c>
      <c r="T8">
        <v>55.195500000000003</v>
      </c>
      <c r="U8" t="s">
        <v>48</v>
      </c>
      <c r="V8" t="s">
        <v>186</v>
      </c>
      <c r="W8" t="s">
        <v>228</v>
      </c>
      <c r="Y8" s="54">
        <v>23</v>
      </c>
      <c r="Z8" s="67">
        <f>VLOOKUP($Y8,Blends!$D:$AA,2, FALSE)</f>
        <v>0</v>
      </c>
      <c r="AA8" s="67">
        <f>VLOOKUP($Y8,Blends!$D:$AA,3, FALSE)</f>
        <v>0</v>
      </c>
      <c r="AB8" s="67">
        <f>VLOOKUP($Y8,Blends!$D:$AA,4, FALSE)</f>
        <v>0</v>
      </c>
      <c r="AC8" s="67">
        <f>VLOOKUP($Y8,Blends!$D:$AA,5, FALSE)</f>
        <v>0</v>
      </c>
      <c r="AD8" s="67">
        <f>VLOOKUP($Y8,Blends!$D:$AA,6, FALSE)</f>
        <v>0</v>
      </c>
      <c r="AE8" s="67">
        <f>VLOOKUP($Y8,Blends!$D:$AA,7, FALSE)</f>
        <v>0</v>
      </c>
      <c r="AF8" s="67">
        <f>VLOOKUP($Y8,Blends!$D:$AA,8, FALSE)</f>
        <v>0</v>
      </c>
      <c r="AG8" s="130">
        <f>VLOOKUP($Y8,Blends!$D:$AA,9, FALSE)</f>
        <v>0</v>
      </c>
      <c r="AH8" s="130">
        <f>VLOOKUP($Y8,Blends!$D:$AA,10, FALSE)</f>
        <v>0</v>
      </c>
      <c r="AI8" s="67">
        <f>VLOOKUP($Y8,Blends!$D:$AA,11, FALSE)</f>
        <v>0</v>
      </c>
      <c r="AJ8" s="67">
        <f>VLOOKUP($Y8,Blends!$D:$AA,12, FALSE)</f>
        <v>0</v>
      </c>
      <c r="AK8" s="67">
        <f>VLOOKUP($Y8,Blends!$D:$AA,13, FALSE)</f>
        <v>1</v>
      </c>
      <c r="AL8" s="67">
        <f>VLOOKUP($Y8,Blends!$D:$AA,14, FALSE)</f>
        <v>0</v>
      </c>
      <c r="AM8" s="67">
        <f>VLOOKUP($Y8,Blends!$D:$AA,15, FALSE)</f>
        <v>0</v>
      </c>
      <c r="AN8" s="130">
        <f>VLOOKUP($Y8,Blends!$D:$AA,16, FALSE)</f>
        <v>0</v>
      </c>
      <c r="AO8" s="130">
        <f>VLOOKUP($Y8,Blends!$D:$AA,17, FALSE)</f>
        <v>0</v>
      </c>
      <c r="AP8" s="67">
        <f>VLOOKUP($Y8,Blends!$D:$AA,18, FALSE)</f>
        <v>0</v>
      </c>
      <c r="AQ8" s="67">
        <f>VLOOKUP($Y8,Blends!$D:$AA,19, FALSE)</f>
        <v>0</v>
      </c>
      <c r="AR8" s="67">
        <f>VLOOKUP($Y8,Blends!$D:$AA,20, FALSE)</f>
        <v>0</v>
      </c>
      <c r="AS8" s="67">
        <f>VLOOKUP($Y8,Blends!$D:$AA,21, FALSE)</f>
        <v>0</v>
      </c>
      <c r="AT8" s="67">
        <f>VLOOKUP($Y8,Blends!$D:$AA,22, FALSE)</f>
        <v>0</v>
      </c>
      <c r="AU8" s="67">
        <f>VLOOKUP($Y8,Blends!$D:$AA,23, FALSE)</f>
        <v>0</v>
      </c>
      <c r="AV8" s="67">
        <f>VLOOKUP($Y8,Blends!$D:$AA,24, FALSE)</f>
        <v>0</v>
      </c>
      <c r="AW8" s="128">
        <f t="shared" si="2"/>
        <v>0</v>
      </c>
      <c r="AX8" s="128">
        <f t="shared" si="3"/>
        <v>0</v>
      </c>
      <c r="AY8" s="128">
        <f t="shared" si="4"/>
        <v>0</v>
      </c>
      <c r="AZ8" s="128">
        <f t="shared" si="5"/>
        <v>0</v>
      </c>
      <c r="BA8" s="128">
        <f t="shared" si="6"/>
        <v>0</v>
      </c>
      <c r="BB8" s="128">
        <f t="shared" si="7"/>
        <v>0</v>
      </c>
      <c r="BC8" s="128">
        <f t="shared" si="8"/>
        <v>0</v>
      </c>
      <c r="BD8" s="128">
        <f t="shared" si="9"/>
        <v>0</v>
      </c>
      <c r="BE8" s="128">
        <f t="shared" si="10"/>
        <v>0</v>
      </c>
      <c r="BF8" s="128">
        <f t="shared" si="11"/>
        <v>0</v>
      </c>
      <c r="BG8" s="128">
        <f t="shared" si="12"/>
        <v>0</v>
      </c>
      <c r="BH8" s="128">
        <f t="shared" si="13"/>
        <v>-320</v>
      </c>
      <c r="BI8" s="128">
        <f t="shared" si="14"/>
        <v>0</v>
      </c>
      <c r="BJ8" s="128">
        <f t="shared" si="15"/>
        <v>0</v>
      </c>
      <c r="BK8" s="128">
        <f t="shared" si="16"/>
        <v>0</v>
      </c>
      <c r="BL8" s="128">
        <f t="shared" si="17"/>
        <v>0</v>
      </c>
      <c r="BM8" s="128">
        <f t="shared" si="18"/>
        <v>0</v>
      </c>
      <c r="BN8" s="128">
        <f t="shared" si="19"/>
        <v>0</v>
      </c>
      <c r="BO8" s="128">
        <f t="shared" si="20"/>
        <v>0</v>
      </c>
      <c r="BP8" s="128">
        <f t="shared" si="21"/>
        <v>0</v>
      </c>
      <c r="BQ8" s="128">
        <f t="shared" si="22"/>
        <v>0</v>
      </c>
      <c r="BR8" s="128">
        <f t="shared" si="23"/>
        <v>0</v>
      </c>
      <c r="BS8" s="128">
        <f t="shared" si="24"/>
        <v>0</v>
      </c>
      <c r="BT8" s="129">
        <f t="shared" si="25"/>
        <v>1</v>
      </c>
      <c r="BU8">
        <f>+VLOOKUP(E8,LogisticsReport!AI:HB,5,FALSE)</f>
        <v>-19.2</v>
      </c>
      <c r="BV8" s="205">
        <f t="shared" si="26"/>
        <v>0</v>
      </c>
    </row>
    <row r="9" spans="1:74" ht="15.75" x14ac:dyDescent="0.25">
      <c r="A9" t="s">
        <v>167</v>
      </c>
      <c r="B9" t="s">
        <v>168</v>
      </c>
      <c r="C9" t="s">
        <v>179</v>
      </c>
      <c r="D9" t="s">
        <v>170</v>
      </c>
      <c r="E9" t="s">
        <v>235</v>
      </c>
      <c r="F9" t="str">
        <f>VLOOKUP(E9,LogisticsReport!AI:AI,1,FALSE)</f>
        <v>SSKE-107712</v>
      </c>
      <c r="G9" t="str">
        <f>INDEX(DailyNetPosition!A:A,MATCH(E9,DailyNetPosition!B:B,0))</f>
        <v>Hedgeable</v>
      </c>
      <c r="H9" s="133" t="s">
        <v>179</v>
      </c>
      <c r="I9" s="133" t="s">
        <v>181</v>
      </c>
      <c r="J9" s="149">
        <v>46148</v>
      </c>
      <c r="K9" s="133">
        <f>SUMIF(AutoLogisticsReport!E:E, E9, AutoLogisticsReport!I:I)</f>
        <v>-19.2</v>
      </c>
      <c r="L9" s="133">
        <v>-320</v>
      </c>
      <c r="M9" s="133" t="s">
        <v>182</v>
      </c>
      <c r="N9" s="133" t="s">
        <v>183</v>
      </c>
      <c r="O9" s="133" t="s">
        <v>184</v>
      </c>
      <c r="P9" t="str">
        <f>VLOOKUP(Table3[[#This Row],[Sale Ctr.]],LogisticsReport!AI:AW,15,FALSE)</f>
        <v>2026/06 All - 2026/06 All</v>
      </c>
      <c r="Q9" s="77" t="str">
        <f t="shared" si="0"/>
        <v>2026/06</v>
      </c>
      <c r="R9" s="37" t="str">
        <f t="shared" si="1"/>
        <v>06</v>
      </c>
      <c r="S9">
        <v>57</v>
      </c>
      <c r="T9">
        <v>50.002200000000002</v>
      </c>
      <c r="U9" t="s">
        <v>185</v>
      </c>
      <c r="V9" t="s">
        <v>186</v>
      </c>
      <c r="Y9" s="54">
        <v>23</v>
      </c>
      <c r="Z9" s="67">
        <f>VLOOKUP($Y9,Blends!$D:$AA,2, FALSE)</f>
        <v>0</v>
      </c>
      <c r="AA9" s="67">
        <f>VLOOKUP($Y9,Blends!$D:$AA,3, FALSE)</f>
        <v>0</v>
      </c>
      <c r="AB9" s="67">
        <f>VLOOKUP($Y9,Blends!$D:$AA,4, FALSE)</f>
        <v>0</v>
      </c>
      <c r="AC9" s="67">
        <f>VLOOKUP($Y9,Blends!$D:$AA,5, FALSE)</f>
        <v>0</v>
      </c>
      <c r="AD9" s="67">
        <f>VLOOKUP($Y9,Blends!$D:$AA,6, FALSE)</f>
        <v>0</v>
      </c>
      <c r="AE9" s="67">
        <f>VLOOKUP($Y9,Blends!$D:$AA,7, FALSE)</f>
        <v>0</v>
      </c>
      <c r="AF9" s="67">
        <f>VLOOKUP($Y9,Blends!$D:$AA,8, FALSE)</f>
        <v>0</v>
      </c>
      <c r="AG9" s="130">
        <f>VLOOKUP($Y9,Blends!$D:$AA,9, FALSE)</f>
        <v>0</v>
      </c>
      <c r="AH9" s="130">
        <f>VLOOKUP($Y9,Blends!$D:$AA,10, FALSE)</f>
        <v>0</v>
      </c>
      <c r="AI9" s="67">
        <f>VLOOKUP($Y9,Blends!$D:$AA,11, FALSE)</f>
        <v>0</v>
      </c>
      <c r="AJ9" s="67">
        <f>VLOOKUP($Y9,Blends!$D:$AA,12, FALSE)</f>
        <v>0</v>
      </c>
      <c r="AK9" s="67">
        <f>VLOOKUP($Y9,Blends!$D:$AA,13, FALSE)</f>
        <v>1</v>
      </c>
      <c r="AL9" s="67">
        <f>VLOOKUP($Y9,Blends!$D:$AA,14, FALSE)</f>
        <v>0</v>
      </c>
      <c r="AM9" s="67">
        <f>VLOOKUP($Y9,Blends!$D:$AA,15, FALSE)</f>
        <v>0</v>
      </c>
      <c r="AN9" s="130">
        <f>VLOOKUP($Y9,Blends!$D:$AA,16, FALSE)</f>
        <v>0</v>
      </c>
      <c r="AO9" s="130">
        <f>VLOOKUP($Y9,Blends!$D:$AA,17, FALSE)</f>
        <v>0</v>
      </c>
      <c r="AP9" s="67">
        <f>VLOOKUP($Y9,Blends!$D:$AA,18, FALSE)</f>
        <v>0</v>
      </c>
      <c r="AQ9" s="67">
        <f>VLOOKUP($Y9,Blends!$D:$AA,19, FALSE)</f>
        <v>0</v>
      </c>
      <c r="AR9" s="67">
        <f>VLOOKUP($Y9,Blends!$D:$AA,20, FALSE)</f>
        <v>0</v>
      </c>
      <c r="AS9" s="67">
        <f>VLOOKUP($Y9,Blends!$D:$AA,21, FALSE)</f>
        <v>0</v>
      </c>
      <c r="AT9" s="67">
        <f>VLOOKUP($Y9,Blends!$D:$AA,22, FALSE)</f>
        <v>0</v>
      </c>
      <c r="AU9" s="67">
        <f>VLOOKUP($Y9,Blends!$D:$AA,23, FALSE)</f>
        <v>0</v>
      </c>
      <c r="AV9" s="67">
        <f>VLOOKUP($Y9,Blends!$D:$AA,24, FALSE)</f>
        <v>0</v>
      </c>
      <c r="AW9" s="128">
        <f t="shared" si="2"/>
        <v>0</v>
      </c>
      <c r="AX9" s="128">
        <f t="shared" si="3"/>
        <v>0</v>
      </c>
      <c r="AY9" s="128">
        <f t="shared" si="4"/>
        <v>0</v>
      </c>
      <c r="AZ9" s="128">
        <f t="shared" si="5"/>
        <v>0</v>
      </c>
      <c r="BA9" s="128">
        <f t="shared" si="6"/>
        <v>0</v>
      </c>
      <c r="BB9" s="128">
        <f t="shared" si="7"/>
        <v>0</v>
      </c>
      <c r="BC9" s="128">
        <f t="shared" si="8"/>
        <v>0</v>
      </c>
      <c r="BD9" s="128">
        <f t="shared" si="9"/>
        <v>0</v>
      </c>
      <c r="BE9" s="128">
        <f t="shared" si="10"/>
        <v>0</v>
      </c>
      <c r="BF9" s="128">
        <f t="shared" si="11"/>
        <v>0</v>
      </c>
      <c r="BG9" s="128">
        <f t="shared" si="12"/>
        <v>0</v>
      </c>
      <c r="BH9" s="128">
        <f t="shared" si="13"/>
        <v>-320</v>
      </c>
      <c r="BI9" s="128">
        <f t="shared" si="14"/>
        <v>0</v>
      </c>
      <c r="BJ9" s="128">
        <f t="shared" si="15"/>
        <v>0</v>
      </c>
      <c r="BK9" s="128">
        <f t="shared" si="16"/>
        <v>0</v>
      </c>
      <c r="BL9" s="128">
        <f t="shared" si="17"/>
        <v>0</v>
      </c>
      <c r="BM9" s="128">
        <f t="shared" si="18"/>
        <v>0</v>
      </c>
      <c r="BN9" s="128">
        <f t="shared" si="19"/>
        <v>0</v>
      </c>
      <c r="BO9" s="128">
        <f t="shared" si="20"/>
        <v>0</v>
      </c>
      <c r="BP9" s="128">
        <f t="shared" si="21"/>
        <v>0</v>
      </c>
      <c r="BQ9" s="128">
        <f t="shared" si="22"/>
        <v>0</v>
      </c>
      <c r="BR9" s="128">
        <f t="shared" si="23"/>
        <v>0</v>
      </c>
      <c r="BS9" s="128">
        <f t="shared" si="24"/>
        <v>0</v>
      </c>
      <c r="BT9" s="129">
        <f t="shared" si="25"/>
        <v>1</v>
      </c>
      <c r="BU9">
        <f>+VLOOKUP(E9,LogisticsReport!AI:HB,5,FALSE)</f>
        <v>-19.2</v>
      </c>
      <c r="BV9" s="205">
        <f t="shared" si="26"/>
        <v>0</v>
      </c>
    </row>
    <row r="10" spans="1:74" ht="15.75" x14ac:dyDescent="0.25">
      <c r="A10" t="s">
        <v>167</v>
      </c>
      <c r="B10" t="s">
        <v>168</v>
      </c>
      <c r="C10" t="s">
        <v>195</v>
      </c>
      <c r="D10" t="s">
        <v>170</v>
      </c>
      <c r="E10" t="s">
        <v>239</v>
      </c>
      <c r="F10" t="str">
        <f>VLOOKUP(E10,LogisticsReport!AI:AI,1,FALSE)</f>
        <v>SSKE-107713</v>
      </c>
      <c r="G10" t="str">
        <f>INDEX(DailyNetPosition!A:A,MATCH(E10,DailyNetPosition!B:B,0))</f>
        <v>Hedgeable</v>
      </c>
      <c r="H10" s="133" t="s">
        <v>195</v>
      </c>
      <c r="I10" s="133" t="s">
        <v>181</v>
      </c>
      <c r="J10" s="149">
        <v>46148</v>
      </c>
      <c r="K10" s="133">
        <f>SUMIF(AutoLogisticsReport!E:E, E10, AutoLogisticsReport!I:I)</f>
        <v>-38.4</v>
      </c>
      <c r="L10" s="133">
        <v>-1280</v>
      </c>
      <c r="M10" s="133" t="s">
        <v>182</v>
      </c>
      <c r="N10" s="133" t="s">
        <v>183</v>
      </c>
      <c r="O10" s="133" t="s">
        <v>184</v>
      </c>
      <c r="P10" t="str">
        <f>VLOOKUP(Table3[[#This Row],[Sale Ctr.]],LogisticsReport!AI:AW,15,FALSE)</f>
        <v>2026/06 All - 2026/06 All</v>
      </c>
      <c r="Q10" s="77" t="str">
        <f t="shared" si="0"/>
        <v>2026/06</v>
      </c>
      <c r="R10" s="37" t="str">
        <f t="shared" si="1"/>
        <v>06</v>
      </c>
      <c r="S10">
        <v>44</v>
      </c>
      <c r="T10">
        <v>30.002199999999998</v>
      </c>
      <c r="U10" t="s">
        <v>240</v>
      </c>
      <c r="V10" t="s">
        <v>186</v>
      </c>
      <c r="Y10" s="54">
        <v>320425</v>
      </c>
      <c r="Z10" s="67">
        <f>VLOOKUP($Y10,Blends!$D:$AA,2, FALSE)</f>
        <v>0</v>
      </c>
      <c r="AA10" s="67">
        <f>VLOOKUP($Y10,Blends!$D:$AA,3, FALSE)</f>
        <v>0</v>
      </c>
      <c r="AB10" s="67">
        <f>VLOOKUP($Y10,Blends!$D:$AA,4, FALSE)</f>
        <v>0</v>
      </c>
      <c r="AC10" s="67">
        <f>VLOOKUP($Y10,Blends!$D:$AA,5, FALSE)</f>
        <v>0</v>
      </c>
      <c r="AD10" s="67">
        <f>VLOOKUP($Y10,Blends!$D:$AA,6, FALSE)</f>
        <v>0</v>
      </c>
      <c r="AE10" s="67">
        <f>VLOOKUP($Y10,Blends!$D:$AA,7, FALSE)</f>
        <v>0</v>
      </c>
      <c r="AF10" s="67">
        <f>VLOOKUP($Y10,Blends!$D:$AA,8, FALSE)</f>
        <v>0</v>
      </c>
      <c r="AG10" s="130">
        <f>VLOOKUP($Y10,Blends!$D:$AA,9, FALSE)</f>
        <v>0</v>
      </c>
      <c r="AH10" s="130">
        <f>VLOOKUP($Y10,Blends!$D:$AA,10, FALSE)</f>
        <v>0</v>
      </c>
      <c r="AI10" s="67">
        <f>VLOOKUP($Y10,Blends!$D:$AA,11, FALSE)</f>
        <v>0</v>
      </c>
      <c r="AJ10" s="67">
        <f>VLOOKUP($Y10,Blends!$D:$AA,12, FALSE)</f>
        <v>0</v>
      </c>
      <c r="AK10" s="67">
        <f>VLOOKUP($Y10,Blends!$D:$AA,13, FALSE)</f>
        <v>0</v>
      </c>
      <c r="AL10" s="67">
        <f>VLOOKUP($Y10,Blends!$D:$AA,14, FALSE)</f>
        <v>1</v>
      </c>
      <c r="AM10" s="67">
        <f>VLOOKUP($Y10,Blends!$D:$AA,15, FALSE)</f>
        <v>0</v>
      </c>
      <c r="AN10" s="130">
        <f>VLOOKUP($Y10,Blends!$D:$AA,16, FALSE)</f>
        <v>0</v>
      </c>
      <c r="AO10" s="130">
        <f>VLOOKUP($Y10,Blends!$D:$AA,17, FALSE)</f>
        <v>0</v>
      </c>
      <c r="AP10" s="67">
        <f>VLOOKUP($Y10,Blends!$D:$AA,18, FALSE)</f>
        <v>0</v>
      </c>
      <c r="AQ10" s="67">
        <f>VLOOKUP($Y10,Blends!$D:$AA,19, FALSE)</f>
        <v>0</v>
      </c>
      <c r="AR10" s="67">
        <f>VLOOKUP($Y10,Blends!$D:$AA,20, FALSE)</f>
        <v>0</v>
      </c>
      <c r="AS10" s="67">
        <f>VLOOKUP($Y10,Blends!$D:$AA,21, FALSE)</f>
        <v>0</v>
      </c>
      <c r="AT10" s="67">
        <f>VLOOKUP($Y10,Blends!$D:$AA,22, FALSE)</f>
        <v>0</v>
      </c>
      <c r="AU10" s="67">
        <f>VLOOKUP($Y10,Blends!$D:$AA,23, FALSE)</f>
        <v>0</v>
      </c>
      <c r="AV10" s="67">
        <f>VLOOKUP($Y10,Blends!$D:$AA,24, FALSE)</f>
        <v>0</v>
      </c>
      <c r="AW10" s="128">
        <f t="shared" si="2"/>
        <v>0</v>
      </c>
      <c r="AX10" s="128">
        <f t="shared" si="3"/>
        <v>0</v>
      </c>
      <c r="AY10" s="128">
        <f t="shared" si="4"/>
        <v>0</v>
      </c>
      <c r="AZ10" s="128">
        <f t="shared" si="5"/>
        <v>0</v>
      </c>
      <c r="BA10" s="128">
        <f t="shared" si="6"/>
        <v>0</v>
      </c>
      <c r="BB10" s="128">
        <f t="shared" si="7"/>
        <v>0</v>
      </c>
      <c r="BC10" s="128">
        <f t="shared" si="8"/>
        <v>0</v>
      </c>
      <c r="BD10" s="128">
        <f t="shared" si="9"/>
        <v>0</v>
      </c>
      <c r="BE10" s="128">
        <f t="shared" si="10"/>
        <v>0</v>
      </c>
      <c r="BF10" s="128">
        <f t="shared" si="11"/>
        <v>0</v>
      </c>
      <c r="BG10" s="128">
        <f t="shared" si="12"/>
        <v>0</v>
      </c>
      <c r="BH10" s="128">
        <f t="shared" si="13"/>
        <v>0</v>
      </c>
      <c r="BI10" s="128">
        <f t="shared" si="14"/>
        <v>-640</v>
      </c>
      <c r="BJ10" s="128">
        <f t="shared" si="15"/>
        <v>0</v>
      </c>
      <c r="BK10" s="128">
        <f t="shared" si="16"/>
        <v>0</v>
      </c>
      <c r="BL10" s="128">
        <f t="shared" si="17"/>
        <v>0</v>
      </c>
      <c r="BM10" s="128">
        <f t="shared" si="18"/>
        <v>0</v>
      </c>
      <c r="BN10" s="128">
        <f t="shared" si="19"/>
        <v>0</v>
      </c>
      <c r="BO10" s="128">
        <f t="shared" si="20"/>
        <v>0</v>
      </c>
      <c r="BP10" s="128">
        <f t="shared" si="21"/>
        <v>0</v>
      </c>
      <c r="BQ10" s="128">
        <f t="shared" si="22"/>
        <v>0</v>
      </c>
      <c r="BR10" s="128">
        <f t="shared" si="23"/>
        <v>0</v>
      </c>
      <c r="BS10" s="128">
        <f t="shared" si="24"/>
        <v>0</v>
      </c>
      <c r="BT10" s="129">
        <f t="shared" si="25"/>
        <v>1</v>
      </c>
      <c r="BU10">
        <f>+VLOOKUP(E10,LogisticsReport!AI:HB,5,FALSE)</f>
        <v>-38.4</v>
      </c>
      <c r="BV10" s="205">
        <f t="shared" si="26"/>
        <v>0</v>
      </c>
    </row>
    <row r="11" spans="1:74" ht="15.75" x14ac:dyDescent="0.25">
      <c r="A11" t="s">
        <v>167</v>
      </c>
      <c r="B11" t="s">
        <v>168</v>
      </c>
      <c r="C11" t="s">
        <v>195</v>
      </c>
      <c r="D11" t="s">
        <v>170</v>
      </c>
      <c r="E11" t="s">
        <v>241</v>
      </c>
      <c r="F11" t="str">
        <f>VLOOKUP(E11,LogisticsReport!AI:AI,1,FALSE)</f>
        <v>SSKE-107522</v>
      </c>
      <c r="G11" t="str">
        <f>INDEX(DailyNetPosition!A:A,MATCH(E11,DailyNetPosition!B:B,0))</f>
        <v>Hedgeable</v>
      </c>
      <c r="H11" s="133" t="s">
        <v>195</v>
      </c>
      <c r="I11" s="133" t="s">
        <v>242</v>
      </c>
      <c r="J11" s="149">
        <v>46133</v>
      </c>
      <c r="K11" s="133">
        <v>-108</v>
      </c>
      <c r="L11" s="133">
        <v>-1800</v>
      </c>
      <c r="M11" s="133" t="s">
        <v>173</v>
      </c>
      <c r="N11" s="133" t="s">
        <v>174</v>
      </c>
      <c r="O11" s="133" t="s">
        <v>189</v>
      </c>
      <c r="P11" t="str">
        <f>VLOOKUP(Table3[[#This Row],[Sale Ctr.]],LogisticsReport!AI:AW,15,FALSE)</f>
        <v>2026/06 All - 2026/06 All</v>
      </c>
      <c r="Q11" s="77" t="str">
        <f t="shared" si="0"/>
        <v>2026/06</v>
      </c>
      <c r="R11" s="37" t="str">
        <f t="shared" si="1"/>
        <v>06</v>
      </c>
      <c r="S11">
        <v>44</v>
      </c>
      <c r="T11">
        <v>29.4849</v>
      </c>
      <c r="U11" t="s">
        <v>51</v>
      </c>
      <c r="V11" t="s">
        <v>186</v>
      </c>
      <c r="Y11" s="54">
        <v>100</v>
      </c>
      <c r="Z11" s="67">
        <f>VLOOKUP($Y11,Blends!$D:$AA,2, FALSE)</f>
        <v>1</v>
      </c>
      <c r="AA11" s="67">
        <f>VLOOKUP($Y11,Blends!$D:$AA,3, FALSE)</f>
        <v>0</v>
      </c>
      <c r="AB11" s="67">
        <f>VLOOKUP($Y11,Blends!$D:$AA,4, FALSE)</f>
        <v>0</v>
      </c>
      <c r="AC11" s="67">
        <f>VLOOKUP($Y11,Blends!$D:$AA,5, FALSE)</f>
        <v>0</v>
      </c>
      <c r="AD11" s="67">
        <f>VLOOKUP($Y11,Blends!$D:$AA,6, FALSE)</f>
        <v>0</v>
      </c>
      <c r="AE11" s="67">
        <f>VLOOKUP($Y11,Blends!$D:$AA,7, FALSE)</f>
        <v>0</v>
      </c>
      <c r="AF11" s="67">
        <f>VLOOKUP($Y11,Blends!$D:$AA,8, FALSE)</f>
        <v>0</v>
      </c>
      <c r="AG11" s="67">
        <f>VLOOKUP($Y11,Blends!$D:$AA,9, FALSE)</f>
        <v>0</v>
      </c>
      <c r="AH11" s="67">
        <f>VLOOKUP($Y11,Blends!$D:$AA,10, FALSE)</f>
        <v>0</v>
      </c>
      <c r="AI11" s="67">
        <f>VLOOKUP($Y11,Blends!$D:$AA,11, FALSE)</f>
        <v>0</v>
      </c>
      <c r="AJ11" s="67">
        <f>VLOOKUP($Y11,Blends!$D:$AA,12, FALSE)</f>
        <v>0</v>
      </c>
      <c r="AK11" s="67">
        <f>VLOOKUP($Y11,Blends!$D:$AA,13, FALSE)</f>
        <v>0</v>
      </c>
      <c r="AL11" s="67">
        <f>VLOOKUP($Y11,Blends!$D:$AA,14, FALSE)</f>
        <v>0</v>
      </c>
      <c r="AM11" s="67">
        <f>VLOOKUP($Y11,Blends!$D:$AA,15, FALSE)</f>
        <v>0</v>
      </c>
      <c r="AN11" s="67">
        <f>VLOOKUP($Y11,Blends!$D:$AA,16, FALSE)</f>
        <v>0</v>
      </c>
      <c r="AO11" s="67">
        <f>VLOOKUP($Y11,Blends!$D:$AA,17, FALSE)</f>
        <v>0</v>
      </c>
      <c r="AP11" s="67">
        <f>VLOOKUP($Y11,Blends!$D:$AA,18, FALSE)</f>
        <v>0</v>
      </c>
      <c r="AQ11" s="67">
        <f>VLOOKUP($Y11,Blends!$D:$AA,19, FALSE)</f>
        <v>0</v>
      </c>
      <c r="AR11" s="67">
        <f>VLOOKUP($Y11,Blends!$D:$AA,20, FALSE)</f>
        <v>0</v>
      </c>
      <c r="AS11" s="67">
        <f>VLOOKUP($Y11,Blends!$D:$AA,21, FALSE)</f>
        <v>0</v>
      </c>
      <c r="AT11" s="67">
        <f>VLOOKUP($Y11,Blends!$D:$AA,22, FALSE)</f>
        <v>0</v>
      </c>
      <c r="AU11" s="67">
        <f>VLOOKUP($Y11,Blends!$D:$AA,23, FALSE)</f>
        <v>0</v>
      </c>
      <c r="AV11" s="67">
        <f>VLOOKUP($Y11,Blends!$D:$AA,24, FALSE)</f>
        <v>0</v>
      </c>
      <c r="AW11" s="68">
        <f t="shared" si="2"/>
        <v>-1800</v>
      </c>
      <c r="AX11" s="68">
        <f t="shared" si="3"/>
        <v>0</v>
      </c>
      <c r="AY11" s="68">
        <f t="shared" si="4"/>
        <v>0</v>
      </c>
      <c r="AZ11" s="68">
        <f t="shared" si="5"/>
        <v>0</v>
      </c>
      <c r="BA11" s="68">
        <f t="shared" si="6"/>
        <v>0</v>
      </c>
      <c r="BB11" s="68">
        <f t="shared" si="7"/>
        <v>0</v>
      </c>
      <c r="BC11" s="68">
        <f t="shared" si="8"/>
        <v>0</v>
      </c>
      <c r="BD11" s="68">
        <f t="shared" si="9"/>
        <v>0</v>
      </c>
      <c r="BE11" s="68">
        <f t="shared" si="10"/>
        <v>0</v>
      </c>
      <c r="BF11" s="68">
        <f t="shared" si="11"/>
        <v>0</v>
      </c>
      <c r="BG11" s="68">
        <f t="shared" si="12"/>
        <v>0</v>
      </c>
      <c r="BH11" s="68">
        <f t="shared" si="13"/>
        <v>0</v>
      </c>
      <c r="BI11" s="68">
        <f t="shared" si="14"/>
        <v>0</v>
      </c>
      <c r="BJ11" s="68">
        <f t="shared" si="15"/>
        <v>0</v>
      </c>
      <c r="BK11" s="68">
        <f t="shared" si="16"/>
        <v>0</v>
      </c>
      <c r="BL11" s="68">
        <f t="shared" si="17"/>
        <v>0</v>
      </c>
      <c r="BM11" s="68">
        <f t="shared" si="18"/>
        <v>0</v>
      </c>
      <c r="BN11" s="68">
        <f t="shared" si="19"/>
        <v>0</v>
      </c>
      <c r="BO11" s="68">
        <f t="shared" si="20"/>
        <v>0</v>
      </c>
      <c r="BP11" s="68">
        <f t="shared" si="21"/>
        <v>0</v>
      </c>
      <c r="BQ11" s="68">
        <f t="shared" si="22"/>
        <v>0</v>
      </c>
      <c r="BR11" s="68">
        <f t="shared" si="23"/>
        <v>0</v>
      </c>
      <c r="BS11" s="68">
        <f t="shared" si="24"/>
        <v>0</v>
      </c>
      <c r="BT11" s="129">
        <f t="shared" si="25"/>
        <v>1</v>
      </c>
      <c r="BU11">
        <f>+VLOOKUP(E11,LogisticsReport!AI:HB,5,FALSE)</f>
        <v>-108</v>
      </c>
      <c r="BV11" s="205">
        <f t="shared" si="26"/>
        <v>0</v>
      </c>
    </row>
    <row r="12" spans="1:74" ht="15.75" hidden="1" x14ac:dyDescent="0.25">
      <c r="A12" t="s">
        <v>167</v>
      </c>
      <c r="B12" t="s">
        <v>168</v>
      </c>
      <c r="C12" t="s">
        <v>179</v>
      </c>
      <c r="D12" t="s">
        <v>170</v>
      </c>
      <c r="E12" t="s">
        <v>247</v>
      </c>
      <c r="F12" t="str">
        <f>VLOOKUP(E12,LogisticsReport!AI:AI,1,FALSE)</f>
        <v>SSGP-107624-2</v>
      </c>
      <c r="G12" t="str">
        <f>INDEX(DailyNetPosition!A:A,MATCH(E12,DailyNetPosition!B:B,0))</f>
        <v>Non Hedgeable</v>
      </c>
      <c r="H12" s="133" t="s">
        <v>179</v>
      </c>
      <c r="I12" s="133" t="s">
        <v>248</v>
      </c>
      <c r="J12" s="149">
        <v>46140</v>
      </c>
      <c r="K12" s="133">
        <v>-1.8</v>
      </c>
      <c r="L12" s="133">
        <v>-60</v>
      </c>
      <c r="M12" s="133" t="s">
        <v>173</v>
      </c>
      <c r="N12" s="133" t="s">
        <v>174</v>
      </c>
      <c r="O12" s="133" t="s">
        <v>189</v>
      </c>
      <c r="P12" s="133" t="s">
        <v>219</v>
      </c>
      <c r="Q12" s="77" t="str">
        <f t="shared" si="0"/>
        <v>2026/06</v>
      </c>
      <c r="R12" s="37" t="str">
        <f t="shared" si="1"/>
        <v>06</v>
      </c>
      <c r="S12">
        <v>216.5</v>
      </c>
      <c r="T12">
        <v>216.5</v>
      </c>
      <c r="U12" t="s">
        <v>249</v>
      </c>
      <c r="V12" t="s">
        <v>186</v>
      </c>
      <c r="Y12" s="54">
        <v>100</v>
      </c>
      <c r="Z12" s="67">
        <f>VLOOKUP($Y12,Blends!$D:$AA,2, FALSE)</f>
        <v>1</v>
      </c>
      <c r="AA12" s="67">
        <f>VLOOKUP($Y12,Blends!$D:$AA,3, FALSE)</f>
        <v>0</v>
      </c>
      <c r="AB12" s="67">
        <f>VLOOKUP($Y12,Blends!$D:$AA,4, FALSE)</f>
        <v>0</v>
      </c>
      <c r="AC12" s="67">
        <f>VLOOKUP($Y12,Blends!$D:$AA,5, FALSE)</f>
        <v>0</v>
      </c>
      <c r="AD12" s="67">
        <f>VLOOKUP($Y12,Blends!$D:$AA,6, FALSE)</f>
        <v>0</v>
      </c>
      <c r="AE12" s="67">
        <f>VLOOKUP($Y12,Blends!$D:$AA,7, FALSE)</f>
        <v>0</v>
      </c>
      <c r="AF12" s="67">
        <f>VLOOKUP($Y12,Blends!$D:$AA,8, FALSE)</f>
        <v>0</v>
      </c>
      <c r="AG12" s="67">
        <f>VLOOKUP($Y12,Blends!$D:$AA,9, FALSE)</f>
        <v>0</v>
      </c>
      <c r="AH12" s="67">
        <f>VLOOKUP($Y12,Blends!$D:$AA,10, FALSE)</f>
        <v>0</v>
      </c>
      <c r="AI12" s="67">
        <f>VLOOKUP($Y12,Blends!$D:$AA,11, FALSE)</f>
        <v>0</v>
      </c>
      <c r="AJ12" s="67">
        <f>VLOOKUP($Y12,Blends!$D:$AA,12, FALSE)</f>
        <v>0</v>
      </c>
      <c r="AK12" s="67">
        <f>VLOOKUP($Y12,Blends!$D:$AA,13, FALSE)</f>
        <v>0</v>
      </c>
      <c r="AL12" s="67">
        <f>VLOOKUP($Y12,Blends!$D:$AA,14, FALSE)</f>
        <v>0</v>
      </c>
      <c r="AM12" s="67">
        <f>VLOOKUP($Y12,Blends!$D:$AA,15, FALSE)</f>
        <v>0</v>
      </c>
      <c r="AN12" s="67">
        <f>VLOOKUP($Y12,Blends!$D:$AA,16, FALSE)</f>
        <v>0</v>
      </c>
      <c r="AO12" s="67">
        <f>VLOOKUP($Y12,Blends!$D:$AA,17, FALSE)</f>
        <v>0</v>
      </c>
      <c r="AP12" s="67">
        <f>VLOOKUP($Y12,Blends!$D:$AA,18, FALSE)</f>
        <v>0</v>
      </c>
      <c r="AQ12" s="67">
        <f>VLOOKUP($Y12,Blends!$D:$AA,19, FALSE)</f>
        <v>0</v>
      </c>
      <c r="AR12" s="67">
        <f>VLOOKUP($Y12,Blends!$D:$AA,20, FALSE)</f>
        <v>0</v>
      </c>
      <c r="AS12" s="67">
        <f>VLOOKUP($Y12,Blends!$D:$AA,21, FALSE)</f>
        <v>0</v>
      </c>
      <c r="AT12" s="67">
        <f>VLOOKUP($Y12,Blends!$D:$AA,22, FALSE)</f>
        <v>0</v>
      </c>
      <c r="AU12" s="67">
        <f>VLOOKUP($Y12,Blends!$D:$AA,23, FALSE)</f>
        <v>0</v>
      </c>
      <c r="AV12" s="67">
        <f>VLOOKUP($Y12,Blends!$D:$AA,24, FALSE)</f>
        <v>0</v>
      </c>
      <c r="AW12" s="68">
        <f t="shared" si="2"/>
        <v>-30</v>
      </c>
      <c r="AX12" s="68">
        <f t="shared" si="3"/>
        <v>0</v>
      </c>
      <c r="AY12" s="68">
        <f t="shared" si="4"/>
        <v>0</v>
      </c>
      <c r="AZ12" s="68">
        <f t="shared" si="5"/>
        <v>0</v>
      </c>
      <c r="BA12" s="68">
        <f t="shared" si="6"/>
        <v>0</v>
      </c>
      <c r="BB12" s="68">
        <f t="shared" si="7"/>
        <v>0</v>
      </c>
      <c r="BC12" s="68">
        <f t="shared" si="8"/>
        <v>0</v>
      </c>
      <c r="BD12" s="68">
        <f t="shared" si="9"/>
        <v>0</v>
      </c>
      <c r="BE12" s="68">
        <f t="shared" si="10"/>
        <v>0</v>
      </c>
      <c r="BF12" s="68">
        <f t="shared" si="11"/>
        <v>0</v>
      </c>
      <c r="BG12" s="68">
        <f t="shared" si="12"/>
        <v>0</v>
      </c>
      <c r="BH12" s="68">
        <f t="shared" si="13"/>
        <v>0</v>
      </c>
      <c r="BI12" s="68">
        <f t="shared" si="14"/>
        <v>0</v>
      </c>
      <c r="BJ12" s="68">
        <f t="shared" si="15"/>
        <v>0</v>
      </c>
      <c r="BK12" s="68">
        <f t="shared" si="16"/>
        <v>0</v>
      </c>
      <c r="BL12" s="68">
        <f t="shared" si="17"/>
        <v>0</v>
      </c>
      <c r="BM12" s="68">
        <f t="shared" si="18"/>
        <v>0</v>
      </c>
      <c r="BN12" s="68">
        <f t="shared" si="19"/>
        <v>0</v>
      </c>
      <c r="BO12" s="68">
        <f t="shared" si="20"/>
        <v>0</v>
      </c>
      <c r="BP12" s="68">
        <f t="shared" si="21"/>
        <v>0</v>
      </c>
      <c r="BQ12" s="68">
        <f t="shared" si="22"/>
        <v>0</v>
      </c>
      <c r="BR12" s="68">
        <f t="shared" si="23"/>
        <v>0</v>
      </c>
      <c r="BS12" s="68">
        <f t="shared" si="24"/>
        <v>0</v>
      </c>
      <c r="BT12" s="129">
        <f t="shared" si="25"/>
        <v>1</v>
      </c>
      <c r="BU12">
        <f>+VLOOKUP(E12,LogisticsReport!AI:HB,5,FALSE)</f>
        <v>-1.8</v>
      </c>
      <c r="BV12" s="205">
        <f t="shared" si="26"/>
        <v>0</v>
      </c>
    </row>
    <row r="13" spans="1:74" ht="15.75" hidden="1" x14ac:dyDescent="0.25">
      <c r="A13" t="s">
        <v>167</v>
      </c>
      <c r="B13" t="s">
        <v>168</v>
      </c>
      <c r="C13" t="s">
        <v>195</v>
      </c>
      <c r="D13" t="s">
        <v>170</v>
      </c>
      <c r="E13" t="s">
        <v>250</v>
      </c>
      <c r="F13" t="str">
        <f>VLOOKUP(E13,LogisticsReport!AI:AI,1,FALSE)</f>
        <v>SSGP-107624-1</v>
      </c>
      <c r="G13" t="str">
        <f>INDEX(DailyNetPosition!A:A,MATCH(E13,DailyNetPosition!B:B,0))</f>
        <v>Non Hedgeable</v>
      </c>
      <c r="H13" s="133" t="s">
        <v>195</v>
      </c>
      <c r="I13" s="133" t="s">
        <v>248</v>
      </c>
      <c r="J13" s="149">
        <v>46140</v>
      </c>
      <c r="K13" s="133">
        <v>-1.56</v>
      </c>
      <c r="L13" s="133">
        <v>-52</v>
      </c>
      <c r="M13" s="133" t="s">
        <v>173</v>
      </c>
      <c r="N13" s="133" t="s">
        <v>174</v>
      </c>
      <c r="O13" s="133" t="s">
        <v>189</v>
      </c>
      <c r="P13" s="133" t="s">
        <v>219</v>
      </c>
      <c r="Q13" s="77" t="str">
        <f t="shared" si="0"/>
        <v>2026/06</v>
      </c>
      <c r="R13" s="37" t="str">
        <f t="shared" si="1"/>
        <v>06</v>
      </c>
      <c r="S13">
        <v>205.5</v>
      </c>
      <c r="T13">
        <v>205.5</v>
      </c>
      <c r="U13" t="s">
        <v>251</v>
      </c>
      <c r="V13" t="s">
        <v>186</v>
      </c>
      <c r="Y13" s="54">
        <v>100</v>
      </c>
      <c r="Z13" s="67">
        <f>VLOOKUP($Y13,Blends!$D:$AA,2, FALSE)</f>
        <v>1</v>
      </c>
      <c r="AA13" s="67">
        <f>VLOOKUP($Y13,Blends!$D:$AA,3, FALSE)</f>
        <v>0</v>
      </c>
      <c r="AB13" s="67">
        <f>VLOOKUP($Y13,Blends!$D:$AA,4, FALSE)</f>
        <v>0</v>
      </c>
      <c r="AC13" s="67">
        <f>VLOOKUP($Y13,Blends!$D:$AA,5, FALSE)</f>
        <v>0</v>
      </c>
      <c r="AD13" s="67">
        <f>VLOOKUP($Y13,Blends!$D:$AA,6, FALSE)</f>
        <v>0</v>
      </c>
      <c r="AE13" s="67">
        <f>VLOOKUP($Y13,Blends!$D:$AA,7, FALSE)</f>
        <v>0</v>
      </c>
      <c r="AF13" s="67">
        <f>VLOOKUP($Y13,Blends!$D:$AA,8, FALSE)</f>
        <v>0</v>
      </c>
      <c r="AG13" s="67">
        <f>VLOOKUP($Y13,Blends!$D:$AA,9, FALSE)</f>
        <v>0</v>
      </c>
      <c r="AH13" s="67">
        <f>VLOOKUP($Y13,Blends!$D:$AA,10, FALSE)</f>
        <v>0</v>
      </c>
      <c r="AI13" s="67">
        <f>VLOOKUP($Y13,Blends!$D:$AA,11, FALSE)</f>
        <v>0</v>
      </c>
      <c r="AJ13" s="67">
        <f>VLOOKUP($Y13,Blends!$D:$AA,12, FALSE)</f>
        <v>0</v>
      </c>
      <c r="AK13" s="67">
        <f>VLOOKUP($Y13,Blends!$D:$AA,13, FALSE)</f>
        <v>0</v>
      </c>
      <c r="AL13" s="67">
        <f>VLOOKUP($Y13,Blends!$D:$AA,14, FALSE)</f>
        <v>0</v>
      </c>
      <c r="AM13" s="67">
        <f>VLOOKUP($Y13,Blends!$D:$AA,15, FALSE)</f>
        <v>0</v>
      </c>
      <c r="AN13" s="67">
        <f>VLOOKUP($Y13,Blends!$D:$AA,16, FALSE)</f>
        <v>0</v>
      </c>
      <c r="AO13" s="67">
        <f>VLOOKUP($Y13,Blends!$D:$AA,17, FALSE)</f>
        <v>0</v>
      </c>
      <c r="AP13" s="67">
        <f>VLOOKUP($Y13,Blends!$D:$AA,18, FALSE)</f>
        <v>0</v>
      </c>
      <c r="AQ13" s="67">
        <f>VLOOKUP($Y13,Blends!$D:$AA,19, FALSE)</f>
        <v>0</v>
      </c>
      <c r="AR13" s="67">
        <f>VLOOKUP($Y13,Blends!$D:$AA,20, FALSE)</f>
        <v>0</v>
      </c>
      <c r="AS13" s="67">
        <f>VLOOKUP($Y13,Blends!$D:$AA,21, FALSE)</f>
        <v>0</v>
      </c>
      <c r="AT13" s="67">
        <f>VLOOKUP($Y13,Blends!$D:$AA,22, FALSE)</f>
        <v>0</v>
      </c>
      <c r="AU13" s="67">
        <f>VLOOKUP($Y13,Blends!$D:$AA,23, FALSE)</f>
        <v>0</v>
      </c>
      <c r="AV13" s="67">
        <f>VLOOKUP($Y13,Blends!$D:$AA,24, FALSE)</f>
        <v>0</v>
      </c>
      <c r="AW13" s="68">
        <f t="shared" si="2"/>
        <v>-26</v>
      </c>
      <c r="AX13" s="68">
        <f t="shared" si="3"/>
        <v>0</v>
      </c>
      <c r="AY13" s="68">
        <f t="shared" si="4"/>
        <v>0</v>
      </c>
      <c r="AZ13" s="68">
        <f t="shared" si="5"/>
        <v>0</v>
      </c>
      <c r="BA13" s="68">
        <f t="shared" si="6"/>
        <v>0</v>
      </c>
      <c r="BB13" s="68">
        <f t="shared" si="7"/>
        <v>0</v>
      </c>
      <c r="BC13" s="68">
        <f t="shared" si="8"/>
        <v>0</v>
      </c>
      <c r="BD13" s="68">
        <f t="shared" si="9"/>
        <v>0</v>
      </c>
      <c r="BE13" s="68">
        <f t="shared" si="10"/>
        <v>0</v>
      </c>
      <c r="BF13" s="68">
        <f t="shared" si="11"/>
        <v>0</v>
      </c>
      <c r="BG13" s="68">
        <f t="shared" si="12"/>
        <v>0</v>
      </c>
      <c r="BH13" s="68">
        <f t="shared" si="13"/>
        <v>0</v>
      </c>
      <c r="BI13" s="68">
        <f t="shared" si="14"/>
        <v>0</v>
      </c>
      <c r="BJ13" s="68">
        <f t="shared" si="15"/>
        <v>0</v>
      </c>
      <c r="BK13" s="68">
        <f t="shared" si="16"/>
        <v>0</v>
      </c>
      <c r="BL13" s="68">
        <f t="shared" si="17"/>
        <v>0</v>
      </c>
      <c r="BM13" s="68">
        <f t="shared" si="18"/>
        <v>0</v>
      </c>
      <c r="BN13" s="68">
        <f t="shared" si="19"/>
        <v>0</v>
      </c>
      <c r="BO13" s="68">
        <f t="shared" si="20"/>
        <v>0</v>
      </c>
      <c r="BP13" s="68">
        <f t="shared" si="21"/>
        <v>0</v>
      </c>
      <c r="BQ13" s="68">
        <f t="shared" si="22"/>
        <v>0</v>
      </c>
      <c r="BR13" s="68">
        <f t="shared" si="23"/>
        <v>0</v>
      </c>
      <c r="BS13" s="68">
        <f t="shared" si="24"/>
        <v>0</v>
      </c>
      <c r="BT13" s="129">
        <f t="shared" si="25"/>
        <v>1</v>
      </c>
      <c r="BU13">
        <f>+VLOOKUP(E13,LogisticsReport!AI:HB,5,FALSE)</f>
        <v>-1.56</v>
      </c>
      <c r="BV13" s="205">
        <f t="shared" si="26"/>
        <v>0</v>
      </c>
    </row>
    <row r="14" spans="1:74" ht="15.75" hidden="1" x14ac:dyDescent="0.25">
      <c r="A14" t="s">
        <v>167</v>
      </c>
      <c r="B14" t="s">
        <v>168</v>
      </c>
      <c r="C14" t="s">
        <v>195</v>
      </c>
      <c r="D14" t="s">
        <v>170</v>
      </c>
      <c r="E14" t="s">
        <v>252</v>
      </c>
      <c r="F14" t="str">
        <f>VLOOKUP(E14,LogisticsReport!AI:AI,1,FALSE)</f>
        <v>SSGP-107612-1</v>
      </c>
      <c r="G14" t="str">
        <f>INDEX(DailyNetPosition!A:A,MATCH(E14,DailyNetPosition!B:B,0))</f>
        <v>Non Hedgeable</v>
      </c>
      <c r="H14" s="133" t="s">
        <v>195</v>
      </c>
      <c r="I14" s="133" t="s">
        <v>253</v>
      </c>
      <c r="J14" s="149">
        <v>46140</v>
      </c>
      <c r="K14" s="133">
        <v>-0.09</v>
      </c>
      <c r="L14" s="133">
        <v>-3</v>
      </c>
      <c r="M14" s="133" t="s">
        <v>173</v>
      </c>
      <c r="N14" s="133" t="s">
        <v>174</v>
      </c>
      <c r="O14" s="133" t="s">
        <v>254</v>
      </c>
      <c r="P14" s="133" t="s">
        <v>219</v>
      </c>
      <c r="Q14" s="77" t="str">
        <f t="shared" si="0"/>
        <v>2026/06</v>
      </c>
      <c r="R14" s="37" t="str">
        <f t="shared" si="1"/>
        <v>06</v>
      </c>
      <c r="S14">
        <v>369.21570000000003</v>
      </c>
      <c r="T14">
        <v>369.21570000000003</v>
      </c>
      <c r="U14" t="s">
        <v>255</v>
      </c>
      <c r="V14" t="s">
        <v>186</v>
      </c>
      <c r="X14" t="s">
        <v>207</v>
      </c>
      <c r="Y14" s="54">
        <v>91</v>
      </c>
      <c r="Z14" s="67">
        <f>VLOOKUP($Y14,Blends!$D:$AA,2, FALSE)</f>
        <v>0</v>
      </c>
      <c r="AA14" s="67">
        <f>VLOOKUP($Y14,Blends!$D:$AA,3, FALSE)</f>
        <v>1</v>
      </c>
      <c r="AB14" s="67">
        <f>VLOOKUP($Y14,Blends!$D:$AA,4, FALSE)</f>
        <v>0</v>
      </c>
      <c r="AC14" s="67">
        <f>VLOOKUP($Y14,Blends!$D:$AA,5, FALSE)</f>
        <v>0</v>
      </c>
      <c r="AD14" s="67">
        <f>VLOOKUP($Y14,Blends!$D:$AA,6, FALSE)</f>
        <v>0</v>
      </c>
      <c r="AE14" s="67">
        <f>VLOOKUP($Y14,Blends!$D:$AA,7, FALSE)</f>
        <v>0</v>
      </c>
      <c r="AF14" s="67">
        <f>VLOOKUP($Y14,Blends!$D:$AA,8, FALSE)</f>
        <v>0</v>
      </c>
      <c r="AG14" s="67">
        <f>VLOOKUP($Y14,Blends!$D:$AA,9, FALSE)</f>
        <v>0</v>
      </c>
      <c r="AH14" s="67">
        <f>VLOOKUP($Y14,Blends!$D:$AA,10, FALSE)</f>
        <v>0</v>
      </c>
      <c r="AI14" s="67">
        <f>VLOOKUP($Y14,Blends!$D:$AA,11, FALSE)</f>
        <v>0</v>
      </c>
      <c r="AJ14" s="67">
        <f>VLOOKUP($Y14,Blends!$D:$AA,12, FALSE)</f>
        <v>0</v>
      </c>
      <c r="AK14" s="67">
        <f>VLOOKUP($Y14,Blends!$D:$AA,13, FALSE)</f>
        <v>0</v>
      </c>
      <c r="AL14" s="67">
        <f>VLOOKUP($Y14,Blends!$D:$AA,14, FALSE)</f>
        <v>0</v>
      </c>
      <c r="AM14" s="67">
        <f>VLOOKUP($Y14,Blends!$D:$AA,15, FALSE)</f>
        <v>0</v>
      </c>
      <c r="AN14" s="67">
        <f>VLOOKUP($Y14,Blends!$D:$AA,16, FALSE)</f>
        <v>0</v>
      </c>
      <c r="AO14" s="67">
        <f>VLOOKUP($Y14,Blends!$D:$AA,17, FALSE)</f>
        <v>0</v>
      </c>
      <c r="AP14" s="67">
        <f>VLOOKUP($Y14,Blends!$D:$AA,18, FALSE)</f>
        <v>0</v>
      </c>
      <c r="AQ14" s="67">
        <f>VLOOKUP($Y14,Blends!$D:$AA,19, FALSE)</f>
        <v>0</v>
      </c>
      <c r="AR14" s="67">
        <f>VLOOKUP($Y14,Blends!$D:$AA,20, FALSE)</f>
        <v>0</v>
      </c>
      <c r="AS14" s="67">
        <f>VLOOKUP($Y14,Blends!$D:$AA,21, FALSE)</f>
        <v>0</v>
      </c>
      <c r="AT14" s="67">
        <f>VLOOKUP($Y14,Blends!$D:$AA,22, FALSE)</f>
        <v>0</v>
      </c>
      <c r="AU14" s="67">
        <f>VLOOKUP($Y14,Blends!$D:$AA,23, FALSE)</f>
        <v>0</v>
      </c>
      <c r="AV14" s="67">
        <f>VLOOKUP($Y14,Blends!$D:$AA,24, FALSE)</f>
        <v>0</v>
      </c>
      <c r="AW14" s="68">
        <f t="shared" si="2"/>
        <v>0</v>
      </c>
      <c r="AX14" s="68">
        <f t="shared" si="3"/>
        <v>-1.5</v>
      </c>
      <c r="AY14" s="68">
        <f t="shared" si="4"/>
        <v>0</v>
      </c>
      <c r="AZ14" s="68">
        <f t="shared" si="5"/>
        <v>0</v>
      </c>
      <c r="BA14" s="68">
        <f t="shared" si="6"/>
        <v>0</v>
      </c>
      <c r="BB14" s="68">
        <f t="shared" si="7"/>
        <v>0</v>
      </c>
      <c r="BC14" s="68">
        <f t="shared" si="8"/>
        <v>0</v>
      </c>
      <c r="BD14" s="68">
        <f t="shared" si="9"/>
        <v>0</v>
      </c>
      <c r="BE14" s="68">
        <f t="shared" si="10"/>
        <v>0</v>
      </c>
      <c r="BF14" s="68">
        <f t="shared" si="11"/>
        <v>0</v>
      </c>
      <c r="BG14" s="68">
        <f t="shared" si="12"/>
        <v>0</v>
      </c>
      <c r="BH14" s="68">
        <f t="shared" si="13"/>
        <v>0</v>
      </c>
      <c r="BI14" s="68">
        <f t="shared" si="14"/>
        <v>0</v>
      </c>
      <c r="BJ14" s="68">
        <f t="shared" si="15"/>
        <v>0</v>
      </c>
      <c r="BK14" s="68">
        <f t="shared" si="16"/>
        <v>0</v>
      </c>
      <c r="BL14" s="68">
        <f t="shared" si="17"/>
        <v>0</v>
      </c>
      <c r="BM14" s="68">
        <f t="shared" si="18"/>
        <v>0</v>
      </c>
      <c r="BN14" s="68">
        <f t="shared" si="19"/>
        <v>0</v>
      </c>
      <c r="BO14" s="68">
        <f t="shared" si="20"/>
        <v>0</v>
      </c>
      <c r="BP14" s="68">
        <f t="shared" si="21"/>
        <v>0</v>
      </c>
      <c r="BQ14" s="68">
        <f t="shared" si="22"/>
        <v>0</v>
      </c>
      <c r="BR14" s="68">
        <f t="shared" si="23"/>
        <v>0</v>
      </c>
      <c r="BS14" s="68">
        <f t="shared" si="24"/>
        <v>0</v>
      </c>
      <c r="BT14" s="129">
        <f t="shared" si="25"/>
        <v>1</v>
      </c>
      <c r="BU14">
        <f>+VLOOKUP(E14,LogisticsReport!AI:HB,5,FALSE)</f>
        <v>-0.09</v>
      </c>
      <c r="BV14" s="205">
        <f t="shared" si="26"/>
        <v>0</v>
      </c>
    </row>
    <row r="15" spans="1:74" ht="15.75" hidden="1" x14ac:dyDescent="0.25">
      <c r="A15" t="s">
        <v>167</v>
      </c>
      <c r="B15" t="s">
        <v>168</v>
      </c>
      <c r="C15" t="s">
        <v>195</v>
      </c>
      <c r="D15" t="s">
        <v>170</v>
      </c>
      <c r="E15" t="s">
        <v>256</v>
      </c>
      <c r="F15" t="str">
        <f>VLOOKUP(E15,LogisticsReport!AI:AI,1,FALSE)</f>
        <v>SSGP-107612-2</v>
      </c>
      <c r="G15" t="str">
        <f>INDEX(DailyNetPosition!A:A,MATCH(E15,DailyNetPosition!B:B,0))</f>
        <v>Non Hedgeable</v>
      </c>
      <c r="H15" s="133" t="s">
        <v>195</v>
      </c>
      <c r="I15" s="133" t="s">
        <v>253</v>
      </c>
      <c r="J15" s="149">
        <v>46140</v>
      </c>
      <c r="K15" s="133">
        <v>-0.09</v>
      </c>
      <c r="L15" s="133">
        <v>-3</v>
      </c>
      <c r="M15" s="133" t="s">
        <v>173</v>
      </c>
      <c r="N15" s="133" t="s">
        <v>174</v>
      </c>
      <c r="O15" s="133" t="s">
        <v>254</v>
      </c>
      <c r="P15" s="133" t="s">
        <v>219</v>
      </c>
      <c r="Q15" s="77" t="str">
        <f t="shared" si="0"/>
        <v>2026/06</v>
      </c>
      <c r="R15" s="37" t="str">
        <f t="shared" si="1"/>
        <v>06</v>
      </c>
      <c r="S15">
        <v>301.17610000000002</v>
      </c>
      <c r="T15">
        <v>301.17610000000002</v>
      </c>
      <c r="U15" t="s">
        <v>257</v>
      </c>
      <c r="V15" t="s">
        <v>186</v>
      </c>
      <c r="X15" t="s">
        <v>207</v>
      </c>
      <c r="Y15" s="54">
        <v>91</v>
      </c>
      <c r="Z15" s="67">
        <f>VLOOKUP($Y15,Blends!$D:$AA,2, FALSE)</f>
        <v>0</v>
      </c>
      <c r="AA15" s="67">
        <f>VLOOKUP($Y15,Blends!$D:$AA,3, FALSE)</f>
        <v>1</v>
      </c>
      <c r="AB15" s="67">
        <f>VLOOKUP($Y15,Blends!$D:$AA,4, FALSE)</f>
        <v>0</v>
      </c>
      <c r="AC15" s="67">
        <f>VLOOKUP($Y15,Blends!$D:$AA,5, FALSE)</f>
        <v>0</v>
      </c>
      <c r="AD15" s="67">
        <f>VLOOKUP($Y15,Blends!$D:$AA,6, FALSE)</f>
        <v>0</v>
      </c>
      <c r="AE15" s="67">
        <f>VLOOKUP($Y15,Blends!$D:$AA,7, FALSE)</f>
        <v>0</v>
      </c>
      <c r="AF15" s="67">
        <f>VLOOKUP($Y15,Blends!$D:$AA,8, FALSE)</f>
        <v>0</v>
      </c>
      <c r="AG15" s="67">
        <f>VLOOKUP($Y15,Blends!$D:$AA,9, FALSE)</f>
        <v>0</v>
      </c>
      <c r="AH15" s="67">
        <f>VLOOKUP($Y15,Blends!$D:$AA,10, FALSE)</f>
        <v>0</v>
      </c>
      <c r="AI15" s="67">
        <f>VLOOKUP($Y15,Blends!$D:$AA,11, FALSE)</f>
        <v>0</v>
      </c>
      <c r="AJ15" s="67">
        <f>VLOOKUP($Y15,Blends!$D:$AA,12, FALSE)</f>
        <v>0</v>
      </c>
      <c r="AK15" s="67">
        <f>VLOOKUP($Y15,Blends!$D:$AA,13, FALSE)</f>
        <v>0</v>
      </c>
      <c r="AL15" s="67">
        <f>VLOOKUP($Y15,Blends!$D:$AA,14, FALSE)</f>
        <v>0</v>
      </c>
      <c r="AM15" s="67">
        <f>VLOOKUP($Y15,Blends!$D:$AA,15, FALSE)</f>
        <v>0</v>
      </c>
      <c r="AN15" s="67">
        <f>VLOOKUP($Y15,Blends!$D:$AA,16, FALSE)</f>
        <v>0</v>
      </c>
      <c r="AO15" s="67">
        <f>VLOOKUP($Y15,Blends!$D:$AA,17, FALSE)</f>
        <v>0</v>
      </c>
      <c r="AP15" s="67">
        <f>VLOOKUP($Y15,Blends!$D:$AA,18, FALSE)</f>
        <v>0</v>
      </c>
      <c r="AQ15" s="67">
        <f>VLOOKUP($Y15,Blends!$D:$AA,19, FALSE)</f>
        <v>0</v>
      </c>
      <c r="AR15" s="67">
        <f>VLOOKUP($Y15,Blends!$D:$AA,20, FALSE)</f>
        <v>0</v>
      </c>
      <c r="AS15" s="67">
        <f>VLOOKUP($Y15,Blends!$D:$AA,21, FALSE)</f>
        <v>0</v>
      </c>
      <c r="AT15" s="67">
        <f>VLOOKUP($Y15,Blends!$D:$AA,22, FALSE)</f>
        <v>0</v>
      </c>
      <c r="AU15" s="67">
        <f>VLOOKUP($Y15,Blends!$D:$AA,23, FALSE)</f>
        <v>0</v>
      </c>
      <c r="AV15" s="67">
        <f>VLOOKUP($Y15,Blends!$D:$AA,24, FALSE)</f>
        <v>0</v>
      </c>
      <c r="AW15" s="68">
        <f t="shared" si="2"/>
        <v>0</v>
      </c>
      <c r="AX15" s="68">
        <f t="shared" si="3"/>
        <v>-1.5</v>
      </c>
      <c r="AY15" s="68">
        <f t="shared" si="4"/>
        <v>0</v>
      </c>
      <c r="AZ15" s="68">
        <f t="shared" si="5"/>
        <v>0</v>
      </c>
      <c r="BA15" s="68">
        <f t="shared" si="6"/>
        <v>0</v>
      </c>
      <c r="BB15" s="68">
        <f t="shared" si="7"/>
        <v>0</v>
      </c>
      <c r="BC15" s="68">
        <f t="shared" si="8"/>
        <v>0</v>
      </c>
      <c r="BD15" s="68">
        <f t="shared" si="9"/>
        <v>0</v>
      </c>
      <c r="BE15" s="68">
        <f t="shared" si="10"/>
        <v>0</v>
      </c>
      <c r="BF15" s="68">
        <f t="shared" si="11"/>
        <v>0</v>
      </c>
      <c r="BG15" s="68">
        <f t="shared" si="12"/>
        <v>0</v>
      </c>
      <c r="BH15" s="68">
        <f t="shared" si="13"/>
        <v>0</v>
      </c>
      <c r="BI15" s="68">
        <f t="shared" si="14"/>
        <v>0</v>
      </c>
      <c r="BJ15" s="68">
        <f t="shared" si="15"/>
        <v>0</v>
      </c>
      <c r="BK15" s="68">
        <f t="shared" si="16"/>
        <v>0</v>
      </c>
      <c r="BL15" s="68">
        <f t="shared" si="17"/>
        <v>0</v>
      </c>
      <c r="BM15" s="68">
        <f t="shared" si="18"/>
        <v>0</v>
      </c>
      <c r="BN15" s="68">
        <f t="shared" si="19"/>
        <v>0</v>
      </c>
      <c r="BO15" s="68">
        <f t="shared" si="20"/>
        <v>0</v>
      </c>
      <c r="BP15" s="68">
        <f t="shared" si="21"/>
        <v>0</v>
      </c>
      <c r="BQ15" s="68">
        <f t="shared" si="22"/>
        <v>0</v>
      </c>
      <c r="BR15" s="68">
        <f t="shared" si="23"/>
        <v>0</v>
      </c>
      <c r="BS15" s="68">
        <f t="shared" si="24"/>
        <v>0</v>
      </c>
      <c r="BT15" s="129">
        <f t="shared" si="25"/>
        <v>1</v>
      </c>
      <c r="BU15">
        <f>+VLOOKUP(E15,LogisticsReport!AI:HB,5,FALSE)</f>
        <v>-0.09</v>
      </c>
      <c r="BV15" s="205">
        <f t="shared" si="26"/>
        <v>0</v>
      </c>
    </row>
    <row r="16" spans="1:74" ht="15.75" hidden="1" x14ac:dyDescent="0.25">
      <c r="A16" t="s">
        <v>167</v>
      </c>
      <c r="B16" t="s">
        <v>168</v>
      </c>
      <c r="C16" t="s">
        <v>258</v>
      </c>
      <c r="D16" t="s">
        <v>170</v>
      </c>
      <c r="E16" t="s">
        <v>259</v>
      </c>
      <c r="F16" t="str">
        <f>VLOOKUP(E16,LogisticsReport!AI:AI,1,FALSE)</f>
        <v>SSGP-107612-3</v>
      </c>
      <c r="G16" t="str">
        <f>INDEX(DailyNetPosition!A:A,MATCH(E16,DailyNetPosition!B:B,0))</f>
        <v>Non Hedgeable</v>
      </c>
      <c r="H16" s="133" t="s">
        <v>258</v>
      </c>
      <c r="I16" s="133" t="s">
        <v>253</v>
      </c>
      <c r="J16" s="149">
        <v>46140</v>
      </c>
      <c r="K16" s="133">
        <v>-0.12</v>
      </c>
      <c r="L16" s="133">
        <v>-4</v>
      </c>
      <c r="M16" s="133" t="s">
        <v>173</v>
      </c>
      <c r="N16" s="133" t="s">
        <v>174</v>
      </c>
      <c r="O16" s="133" t="s">
        <v>254</v>
      </c>
      <c r="P16" s="133" t="s">
        <v>219</v>
      </c>
      <c r="Q16" s="77" t="str">
        <f t="shared" si="0"/>
        <v>2026/06</v>
      </c>
      <c r="R16" s="37" t="str">
        <f t="shared" si="1"/>
        <v>06</v>
      </c>
      <c r="S16">
        <v>233.13659999999999</v>
      </c>
      <c r="T16">
        <v>233.13659999999999</v>
      </c>
      <c r="U16" t="s">
        <v>260</v>
      </c>
      <c r="V16" t="s">
        <v>186</v>
      </c>
      <c r="X16" t="s">
        <v>207</v>
      </c>
      <c r="Y16" s="54">
        <v>91</v>
      </c>
      <c r="Z16" s="67">
        <f>VLOOKUP($Y16,Blends!$D:$AA,2, FALSE)</f>
        <v>0</v>
      </c>
      <c r="AA16" s="67">
        <f>VLOOKUP($Y16,Blends!$D:$AA,3, FALSE)</f>
        <v>1</v>
      </c>
      <c r="AB16" s="67">
        <f>VLOOKUP($Y16,Blends!$D:$AA,4, FALSE)</f>
        <v>0</v>
      </c>
      <c r="AC16" s="67">
        <f>VLOOKUP($Y16,Blends!$D:$AA,5, FALSE)</f>
        <v>0</v>
      </c>
      <c r="AD16" s="67">
        <f>VLOOKUP($Y16,Blends!$D:$AA,6, FALSE)</f>
        <v>0</v>
      </c>
      <c r="AE16" s="67">
        <f>VLOOKUP($Y16,Blends!$D:$AA,7, FALSE)</f>
        <v>0</v>
      </c>
      <c r="AF16" s="67">
        <f>VLOOKUP($Y16,Blends!$D:$AA,8, FALSE)</f>
        <v>0</v>
      </c>
      <c r="AG16" s="67">
        <f>VLOOKUP($Y16,Blends!$D:$AA,9, FALSE)</f>
        <v>0</v>
      </c>
      <c r="AH16" s="67">
        <f>VLOOKUP($Y16,Blends!$D:$AA,10, FALSE)</f>
        <v>0</v>
      </c>
      <c r="AI16" s="67">
        <f>VLOOKUP($Y16,Blends!$D:$AA,11, FALSE)</f>
        <v>0</v>
      </c>
      <c r="AJ16" s="67">
        <f>VLOOKUP($Y16,Blends!$D:$AA,12, FALSE)</f>
        <v>0</v>
      </c>
      <c r="AK16" s="67">
        <f>VLOOKUP($Y16,Blends!$D:$AA,13, FALSE)</f>
        <v>0</v>
      </c>
      <c r="AL16" s="67">
        <f>VLOOKUP($Y16,Blends!$D:$AA,14, FALSE)</f>
        <v>0</v>
      </c>
      <c r="AM16" s="67">
        <f>VLOOKUP($Y16,Blends!$D:$AA,15, FALSE)</f>
        <v>0</v>
      </c>
      <c r="AN16" s="67">
        <f>VLOOKUP($Y16,Blends!$D:$AA,16, FALSE)</f>
        <v>0</v>
      </c>
      <c r="AO16" s="67">
        <f>VLOOKUP($Y16,Blends!$D:$AA,17, FALSE)</f>
        <v>0</v>
      </c>
      <c r="AP16" s="67">
        <f>VLOOKUP($Y16,Blends!$D:$AA,18, FALSE)</f>
        <v>0</v>
      </c>
      <c r="AQ16" s="67">
        <f>VLOOKUP($Y16,Blends!$D:$AA,19, FALSE)</f>
        <v>0</v>
      </c>
      <c r="AR16" s="67">
        <f>VLOOKUP($Y16,Blends!$D:$AA,20, FALSE)</f>
        <v>0</v>
      </c>
      <c r="AS16" s="67">
        <f>VLOOKUP($Y16,Blends!$D:$AA,21, FALSE)</f>
        <v>0</v>
      </c>
      <c r="AT16" s="67">
        <f>VLOOKUP($Y16,Blends!$D:$AA,22, FALSE)</f>
        <v>0</v>
      </c>
      <c r="AU16" s="67">
        <f>VLOOKUP($Y16,Blends!$D:$AA,23, FALSE)</f>
        <v>0</v>
      </c>
      <c r="AV16" s="67">
        <f>VLOOKUP($Y16,Blends!$D:$AA,24, FALSE)</f>
        <v>0</v>
      </c>
      <c r="AW16" s="68">
        <f t="shared" si="2"/>
        <v>0</v>
      </c>
      <c r="AX16" s="68">
        <f t="shared" si="3"/>
        <v>-2</v>
      </c>
      <c r="AY16" s="68">
        <f t="shared" si="4"/>
        <v>0</v>
      </c>
      <c r="AZ16" s="68">
        <f t="shared" si="5"/>
        <v>0</v>
      </c>
      <c r="BA16" s="68">
        <f t="shared" si="6"/>
        <v>0</v>
      </c>
      <c r="BB16" s="68">
        <f t="shared" si="7"/>
        <v>0</v>
      </c>
      <c r="BC16" s="68">
        <f t="shared" si="8"/>
        <v>0</v>
      </c>
      <c r="BD16" s="68">
        <f t="shared" si="9"/>
        <v>0</v>
      </c>
      <c r="BE16" s="68">
        <f t="shared" si="10"/>
        <v>0</v>
      </c>
      <c r="BF16" s="68">
        <f t="shared" si="11"/>
        <v>0</v>
      </c>
      <c r="BG16" s="68">
        <f t="shared" si="12"/>
        <v>0</v>
      </c>
      <c r="BH16" s="68">
        <f t="shared" si="13"/>
        <v>0</v>
      </c>
      <c r="BI16" s="68">
        <f t="shared" si="14"/>
        <v>0</v>
      </c>
      <c r="BJ16" s="68">
        <f t="shared" si="15"/>
        <v>0</v>
      </c>
      <c r="BK16" s="68">
        <f t="shared" si="16"/>
        <v>0</v>
      </c>
      <c r="BL16" s="68">
        <f t="shared" si="17"/>
        <v>0</v>
      </c>
      <c r="BM16" s="68">
        <f t="shared" si="18"/>
        <v>0</v>
      </c>
      <c r="BN16" s="68">
        <f t="shared" si="19"/>
        <v>0</v>
      </c>
      <c r="BO16" s="68">
        <f t="shared" si="20"/>
        <v>0</v>
      </c>
      <c r="BP16" s="68">
        <f t="shared" si="21"/>
        <v>0</v>
      </c>
      <c r="BQ16" s="68">
        <f t="shared" si="22"/>
        <v>0</v>
      </c>
      <c r="BR16" s="68">
        <f t="shared" si="23"/>
        <v>0</v>
      </c>
      <c r="BS16" s="68">
        <f t="shared" si="24"/>
        <v>0</v>
      </c>
      <c r="BT16" s="129">
        <f t="shared" si="25"/>
        <v>1</v>
      </c>
      <c r="BU16">
        <f>+VLOOKUP(E16,LogisticsReport!AI:HB,5,FALSE)</f>
        <v>-0.12</v>
      </c>
      <c r="BV16" s="205">
        <f t="shared" si="26"/>
        <v>0</v>
      </c>
    </row>
    <row r="17" spans="1:74" ht="15.75" x14ac:dyDescent="0.25">
      <c r="A17" t="s">
        <v>167</v>
      </c>
      <c r="B17" t="s">
        <v>168</v>
      </c>
      <c r="C17" t="s">
        <v>195</v>
      </c>
      <c r="D17" t="s">
        <v>170</v>
      </c>
      <c r="E17" t="s">
        <v>264</v>
      </c>
      <c r="F17" t="str">
        <f>VLOOKUP(E17,LogisticsReport!AI:AI,1,FALSE)</f>
        <v>SSKE-107744</v>
      </c>
      <c r="G17" t="str">
        <f>INDEX(DailyNetPosition!A:A,MATCH(E17,DailyNetPosition!B:B,0))</f>
        <v>Hedgeable</v>
      </c>
      <c r="H17" s="133" t="s">
        <v>195</v>
      </c>
      <c r="I17" s="133" t="s">
        <v>262</v>
      </c>
      <c r="J17" s="149">
        <v>46149</v>
      </c>
      <c r="K17" s="133">
        <f>SUMIF(AutoLogisticsReport!E:E, E17, AutoLogisticsReport!I:I)</f>
        <v>-19.2</v>
      </c>
      <c r="L17" s="133">
        <v>-320</v>
      </c>
      <c r="M17" s="133" t="s">
        <v>182</v>
      </c>
      <c r="N17" s="133" t="s">
        <v>183</v>
      </c>
      <c r="O17" s="133" t="s">
        <v>184</v>
      </c>
      <c r="P17" t="str">
        <f>VLOOKUP(Table3[[#This Row],[Sale Ctr.]],LogisticsReport!AI:AW,15,FALSE)</f>
        <v>2026/06 All - 2026/06 All</v>
      </c>
      <c r="Q17" s="77" t="str">
        <f t="shared" si="0"/>
        <v>2026/06</v>
      </c>
      <c r="R17" s="37" t="str">
        <f t="shared" si="1"/>
        <v>06</v>
      </c>
      <c r="S17">
        <v>50</v>
      </c>
      <c r="T17">
        <v>50</v>
      </c>
      <c r="U17" t="s">
        <v>240</v>
      </c>
      <c r="V17" t="s">
        <v>186</v>
      </c>
      <c r="Y17" s="54">
        <v>320425</v>
      </c>
      <c r="Z17" s="67">
        <f>VLOOKUP($Y17,Blends!$D:$AA,2, FALSE)</f>
        <v>0</v>
      </c>
      <c r="AA17" s="67">
        <f>VLOOKUP($Y17,Blends!$D:$AA,3, FALSE)</f>
        <v>0</v>
      </c>
      <c r="AB17" s="67">
        <f>VLOOKUP($Y17,Blends!$D:$AA,4, FALSE)</f>
        <v>0</v>
      </c>
      <c r="AC17" s="67">
        <f>VLOOKUP($Y17,Blends!$D:$AA,5, FALSE)</f>
        <v>0</v>
      </c>
      <c r="AD17" s="67">
        <f>VLOOKUP($Y17,Blends!$D:$AA,6, FALSE)</f>
        <v>0</v>
      </c>
      <c r="AE17" s="67">
        <f>VLOOKUP($Y17,Blends!$D:$AA,7, FALSE)</f>
        <v>0</v>
      </c>
      <c r="AF17" s="67">
        <f>VLOOKUP($Y17,Blends!$D:$AA,8, FALSE)</f>
        <v>0</v>
      </c>
      <c r="AG17" s="130">
        <f>VLOOKUP($Y17,Blends!$D:$AA,9, FALSE)</f>
        <v>0</v>
      </c>
      <c r="AH17" s="130">
        <f>VLOOKUP($Y17,Blends!$D:$AA,10, FALSE)</f>
        <v>0</v>
      </c>
      <c r="AI17" s="67">
        <f>VLOOKUP($Y17,Blends!$D:$AA,11, FALSE)</f>
        <v>0</v>
      </c>
      <c r="AJ17" s="67">
        <f>VLOOKUP($Y17,Blends!$D:$AA,12, FALSE)</f>
        <v>0</v>
      </c>
      <c r="AK17" s="130">
        <f>VLOOKUP($Y17,Blends!$D:$AA,13, FALSE)</f>
        <v>0</v>
      </c>
      <c r="AL17" s="67">
        <f>VLOOKUP($Y17,Blends!$D:$AA,14, FALSE)</f>
        <v>1</v>
      </c>
      <c r="AM17" s="67">
        <f>VLOOKUP($Y17,Blends!$D:$AA,15, FALSE)</f>
        <v>0</v>
      </c>
      <c r="AN17" s="130">
        <f>VLOOKUP($Y17,Blends!$D:$AA,16, FALSE)</f>
        <v>0</v>
      </c>
      <c r="AO17" s="130">
        <f>VLOOKUP($Y17,Blends!$D:$AA,17, FALSE)</f>
        <v>0</v>
      </c>
      <c r="AP17" s="67">
        <f>VLOOKUP($Y17,Blends!$D:$AA,18, FALSE)</f>
        <v>0</v>
      </c>
      <c r="AQ17" s="130">
        <f>VLOOKUP($Y17,Blends!$D:$AA,19, FALSE)</f>
        <v>0</v>
      </c>
      <c r="AR17" s="67">
        <f>VLOOKUP($Y17,Blends!$D:$AA,20, FALSE)</f>
        <v>0</v>
      </c>
      <c r="AS17" s="67">
        <f>VLOOKUP($Y17,Blends!$D:$AA,21, FALSE)</f>
        <v>0</v>
      </c>
      <c r="AT17" s="67">
        <f>VLOOKUP($Y17,Blends!$D:$AA,22, FALSE)</f>
        <v>0</v>
      </c>
      <c r="AU17" s="67">
        <f>VLOOKUP($Y17,Blends!$D:$AA,23, FALSE)</f>
        <v>0</v>
      </c>
      <c r="AV17" s="67">
        <f>VLOOKUP($Y17,Blends!$D:$AA,24, FALSE)</f>
        <v>0</v>
      </c>
      <c r="AW17" s="128">
        <f t="shared" si="2"/>
        <v>0</v>
      </c>
      <c r="AX17" s="128">
        <f t="shared" si="3"/>
        <v>0</v>
      </c>
      <c r="AY17" s="128">
        <f t="shared" si="4"/>
        <v>0</v>
      </c>
      <c r="AZ17" s="128">
        <f t="shared" si="5"/>
        <v>0</v>
      </c>
      <c r="BA17" s="128">
        <f t="shared" si="6"/>
        <v>0</v>
      </c>
      <c r="BB17" s="128">
        <f t="shared" si="7"/>
        <v>0</v>
      </c>
      <c r="BC17" s="128">
        <f t="shared" si="8"/>
        <v>0</v>
      </c>
      <c r="BD17" s="128">
        <f t="shared" si="9"/>
        <v>0</v>
      </c>
      <c r="BE17" s="128">
        <f t="shared" si="10"/>
        <v>0</v>
      </c>
      <c r="BF17" s="128">
        <f t="shared" si="11"/>
        <v>0</v>
      </c>
      <c r="BG17" s="128">
        <f t="shared" si="12"/>
        <v>0</v>
      </c>
      <c r="BH17" s="128">
        <f t="shared" si="13"/>
        <v>0</v>
      </c>
      <c r="BI17" s="128">
        <f t="shared" si="14"/>
        <v>-320</v>
      </c>
      <c r="BJ17" s="128">
        <f t="shared" si="15"/>
        <v>0</v>
      </c>
      <c r="BK17" s="128">
        <f t="shared" si="16"/>
        <v>0</v>
      </c>
      <c r="BL17" s="128">
        <f t="shared" si="17"/>
        <v>0</v>
      </c>
      <c r="BM17" s="128">
        <f t="shared" si="18"/>
        <v>0</v>
      </c>
      <c r="BN17" s="128">
        <f t="shared" si="19"/>
        <v>0</v>
      </c>
      <c r="BO17" s="128">
        <f t="shared" si="20"/>
        <v>0</v>
      </c>
      <c r="BP17" s="128">
        <f t="shared" si="21"/>
        <v>0</v>
      </c>
      <c r="BQ17" s="128">
        <f t="shared" si="22"/>
        <v>0</v>
      </c>
      <c r="BR17" s="128">
        <f t="shared" si="23"/>
        <v>0</v>
      </c>
      <c r="BS17" s="128">
        <f t="shared" si="24"/>
        <v>0</v>
      </c>
      <c r="BT17" s="129">
        <f t="shared" si="25"/>
        <v>1</v>
      </c>
      <c r="BU17">
        <f>+VLOOKUP(E17,LogisticsReport!AI:HB,5,FALSE)</f>
        <v>-19.2</v>
      </c>
      <c r="BV17" s="205">
        <f t="shared" si="26"/>
        <v>0</v>
      </c>
    </row>
    <row r="18" spans="1:74" ht="15.75" x14ac:dyDescent="0.25">
      <c r="A18" t="s">
        <v>167</v>
      </c>
      <c r="B18" t="s">
        <v>168</v>
      </c>
      <c r="C18" t="s">
        <v>224</v>
      </c>
      <c r="D18" t="s">
        <v>170</v>
      </c>
      <c r="E18" t="s">
        <v>265</v>
      </c>
      <c r="F18" t="str">
        <f>VLOOKUP(E18,LogisticsReport!AI:AI,1,FALSE)</f>
        <v>SSKE-104428</v>
      </c>
      <c r="G18" t="str">
        <f>INDEX(DailyNetPosition!A:A,MATCH(E18,DailyNetPosition!B:B,0))</f>
        <v>Hedgeable</v>
      </c>
      <c r="H18" s="83" t="s">
        <v>224</v>
      </c>
      <c r="I18" t="s">
        <v>248</v>
      </c>
      <c r="J18" s="38">
        <v>46013</v>
      </c>
      <c r="K18">
        <v>-50.4</v>
      </c>
      <c r="L18" s="79">
        <v>-840</v>
      </c>
      <c r="M18" t="s">
        <v>173</v>
      </c>
      <c r="N18" t="s">
        <v>174</v>
      </c>
      <c r="O18" t="s">
        <v>189</v>
      </c>
      <c r="P18" t="str">
        <f>VLOOKUP(Table3[[#This Row],[Sale Ctr.]],LogisticsReport!AI:AW,15,FALSE)</f>
        <v>2026/06 All - 2026/06 All</v>
      </c>
      <c r="Q18" s="77" t="str">
        <f t="shared" si="0"/>
        <v>2026/06</v>
      </c>
      <c r="R18" s="37" t="str">
        <f t="shared" si="1"/>
        <v>06</v>
      </c>
      <c r="S18">
        <v>4</v>
      </c>
      <c r="T18">
        <v>3.5242</v>
      </c>
      <c r="U18" t="s">
        <v>266</v>
      </c>
      <c r="V18" t="str">
        <f>VLOOKUP(Table3[[#This Row],[Sale Ctr.]],LogisticsReport!AI:DD,74,FALSE)</f>
        <v>KCN/2026</v>
      </c>
      <c r="X18" t="str">
        <f>+VLOOKUP(E18,LogisticsReport!AI:FA,8,FALSE)</f>
        <v>KEMBA</v>
      </c>
      <c r="Y18" s="54">
        <v>100</v>
      </c>
      <c r="Z18" s="67">
        <f>VLOOKUP($Y18,Blends!$D:$AA,2, FALSE)</f>
        <v>1</v>
      </c>
      <c r="AA18" s="67">
        <f>VLOOKUP($Y18,Blends!$D:$AA,3, FALSE)</f>
        <v>0</v>
      </c>
      <c r="AB18" s="67">
        <f>VLOOKUP($Y18,Blends!$D:$AA,4, FALSE)</f>
        <v>0</v>
      </c>
      <c r="AC18" s="67">
        <f>VLOOKUP($Y18,Blends!$D:$AA,5, FALSE)</f>
        <v>0</v>
      </c>
      <c r="AD18" s="67">
        <f>VLOOKUP($Y18,Blends!$D:$AA,6, FALSE)</f>
        <v>0</v>
      </c>
      <c r="AE18" s="67">
        <f>VLOOKUP($Y18,Blends!$D:$AA,7, FALSE)</f>
        <v>0</v>
      </c>
      <c r="AF18" s="67">
        <f>VLOOKUP($Y18,Blends!$D:$AA,8, FALSE)</f>
        <v>0</v>
      </c>
      <c r="AG18" s="130">
        <f>VLOOKUP($Y18,Blends!$D:$AA,9, FALSE)</f>
        <v>0</v>
      </c>
      <c r="AH18" s="130">
        <f>VLOOKUP($Y18,Blends!$D:$AA,10, FALSE)</f>
        <v>0</v>
      </c>
      <c r="AI18" s="67">
        <f>VLOOKUP($Y18,Blends!$D:$AA,11, FALSE)</f>
        <v>0</v>
      </c>
      <c r="AJ18" s="67">
        <f>VLOOKUP($Y18,Blends!$D:$AA,12, FALSE)</f>
        <v>0</v>
      </c>
      <c r="AK18" s="130">
        <f>VLOOKUP($Y18,Blends!$D:$AA,13, FALSE)</f>
        <v>0</v>
      </c>
      <c r="AL18" s="67">
        <f>VLOOKUP($Y18,Blends!$D:$AA,14, FALSE)</f>
        <v>0</v>
      </c>
      <c r="AM18" s="67">
        <f>VLOOKUP($Y18,Blends!$D:$AA,15, FALSE)</f>
        <v>0</v>
      </c>
      <c r="AN18" s="130">
        <f>VLOOKUP($Y18,Blends!$D:$AA,16, FALSE)</f>
        <v>0</v>
      </c>
      <c r="AO18" s="130">
        <f>VLOOKUP($Y18,Blends!$D:$AA,17, FALSE)</f>
        <v>0</v>
      </c>
      <c r="AP18" s="67">
        <f>VLOOKUP($Y18,Blends!$D:$AA,18, FALSE)</f>
        <v>0</v>
      </c>
      <c r="AQ18" s="130">
        <f>VLOOKUP($Y18,Blends!$D:$AA,19, FALSE)</f>
        <v>0</v>
      </c>
      <c r="AR18" s="67">
        <f>VLOOKUP($Y18,Blends!$D:$AA,20, FALSE)</f>
        <v>0</v>
      </c>
      <c r="AS18" s="67">
        <f>VLOOKUP($Y18,Blends!$D:$AA,21, FALSE)</f>
        <v>0</v>
      </c>
      <c r="AT18" s="67">
        <f>VLOOKUP($Y18,Blends!$D:$AA,22, FALSE)</f>
        <v>0</v>
      </c>
      <c r="AU18" s="67">
        <f>VLOOKUP($Y18,Blends!$D:$AA,23, FALSE)</f>
        <v>0</v>
      </c>
      <c r="AV18" s="67">
        <f>VLOOKUP($Y18,Blends!$D:$AA,24, FALSE)</f>
        <v>0</v>
      </c>
      <c r="AW18" s="128">
        <f t="shared" si="2"/>
        <v>-840</v>
      </c>
      <c r="AX18" s="128">
        <f t="shared" si="3"/>
        <v>0</v>
      </c>
      <c r="AY18" s="128">
        <f t="shared" si="4"/>
        <v>0</v>
      </c>
      <c r="AZ18" s="128">
        <f t="shared" si="5"/>
        <v>0</v>
      </c>
      <c r="BA18" s="128">
        <f t="shared" si="6"/>
        <v>0</v>
      </c>
      <c r="BB18" s="128">
        <f t="shared" si="7"/>
        <v>0</v>
      </c>
      <c r="BC18" s="128">
        <f t="shared" si="8"/>
        <v>0</v>
      </c>
      <c r="BD18" s="128">
        <f t="shared" si="9"/>
        <v>0</v>
      </c>
      <c r="BE18" s="128">
        <f t="shared" si="10"/>
        <v>0</v>
      </c>
      <c r="BF18" s="128">
        <f t="shared" si="11"/>
        <v>0</v>
      </c>
      <c r="BG18" s="128">
        <f t="shared" si="12"/>
        <v>0</v>
      </c>
      <c r="BH18" s="128">
        <f t="shared" si="13"/>
        <v>0</v>
      </c>
      <c r="BI18" s="128">
        <f t="shared" si="14"/>
        <v>0</v>
      </c>
      <c r="BJ18" s="128">
        <f t="shared" si="15"/>
        <v>0</v>
      </c>
      <c r="BK18" s="128">
        <f t="shared" si="16"/>
        <v>0</v>
      </c>
      <c r="BL18" s="128">
        <f t="shared" si="17"/>
        <v>0</v>
      </c>
      <c r="BM18" s="128">
        <f t="shared" si="18"/>
        <v>0</v>
      </c>
      <c r="BN18" s="128">
        <f t="shared" si="19"/>
        <v>0</v>
      </c>
      <c r="BO18" s="128">
        <f t="shared" si="20"/>
        <v>0</v>
      </c>
      <c r="BP18" s="128">
        <f t="shared" si="21"/>
        <v>0</v>
      </c>
      <c r="BQ18" s="128">
        <f t="shared" si="22"/>
        <v>0</v>
      </c>
      <c r="BR18" s="128">
        <f t="shared" si="23"/>
        <v>0</v>
      </c>
      <c r="BS18" s="128">
        <f t="shared" si="24"/>
        <v>0</v>
      </c>
      <c r="BT18" s="140">
        <f t="shared" si="25"/>
        <v>1</v>
      </c>
      <c r="BU18">
        <f>+VLOOKUP(E18,LogisticsReport!AI:HB,5,FALSE)</f>
        <v>-50.4</v>
      </c>
      <c r="BV18" s="205">
        <f t="shared" si="26"/>
        <v>0</v>
      </c>
    </row>
    <row r="19" spans="1:74" ht="15.75" x14ac:dyDescent="0.25">
      <c r="A19" t="s">
        <v>167</v>
      </c>
      <c r="B19" t="s">
        <v>168</v>
      </c>
      <c r="C19" t="s">
        <v>179</v>
      </c>
      <c r="D19" t="s">
        <v>170</v>
      </c>
      <c r="E19" t="s">
        <v>280</v>
      </c>
      <c r="F19" t="str">
        <f>VLOOKUP(E19,LogisticsReport!AI:AI,1,FALSE)</f>
        <v>SSKE-107943</v>
      </c>
      <c r="G19" t="str">
        <f>INDEX(DailyNetPosition!A:A,MATCH(E19,DailyNetPosition!B:B,0))</f>
        <v>Hedgeable</v>
      </c>
      <c r="H19" s="133" t="s">
        <v>179</v>
      </c>
      <c r="I19" s="133" t="s">
        <v>281</v>
      </c>
      <c r="J19" s="149">
        <v>46157</v>
      </c>
      <c r="K19" s="133">
        <v>-19.2</v>
      </c>
      <c r="L19" s="133">
        <v>-320</v>
      </c>
      <c r="M19" s="133" t="s">
        <v>182</v>
      </c>
      <c r="N19" s="133" t="s">
        <v>282</v>
      </c>
      <c r="O19" s="133" t="s">
        <v>189</v>
      </c>
      <c r="P19" t="str">
        <f>VLOOKUP(Table3[[#This Row],[Sale Ctr.]],LogisticsReport!AI:AW,15,FALSE)</f>
        <v>2026/06 All - 2026/06 All</v>
      </c>
      <c r="Q19" s="77" t="str">
        <f t="shared" si="0"/>
        <v>2026/06</v>
      </c>
      <c r="R19" s="37" t="str">
        <f t="shared" si="1"/>
        <v>06</v>
      </c>
      <c r="S19">
        <v>102.67149999999999</v>
      </c>
      <c r="T19">
        <v>99.687299999999993</v>
      </c>
      <c r="U19" t="s">
        <v>283</v>
      </c>
      <c r="V19" t="s">
        <v>186</v>
      </c>
      <c r="Y19" s="54">
        <v>18</v>
      </c>
      <c r="Z19" s="67">
        <f>VLOOKUP($Y19,Blends!$D:$AA,2, FALSE)</f>
        <v>0</v>
      </c>
      <c r="AA19" s="67">
        <f>VLOOKUP($Y19,Blends!$D:$AA,3, FALSE)</f>
        <v>0</v>
      </c>
      <c r="AB19" s="67">
        <f>VLOOKUP($Y19,Blends!$D:$AA,4, FALSE)</f>
        <v>0.5</v>
      </c>
      <c r="AC19" s="67">
        <f>VLOOKUP($Y19,Blends!$D:$AA,5, FALSE)</f>
        <v>0</v>
      </c>
      <c r="AD19" s="67">
        <f>VLOOKUP($Y19,Blends!$D:$AA,6, FALSE)</f>
        <v>0</v>
      </c>
      <c r="AE19" s="67">
        <f>VLOOKUP($Y19,Blends!$D:$AA,7, FALSE)</f>
        <v>0</v>
      </c>
      <c r="AF19" s="67">
        <f>VLOOKUP($Y19,Blends!$D:$AA,8, FALSE)</f>
        <v>0</v>
      </c>
      <c r="AG19" s="67">
        <f>VLOOKUP($Y19,Blends!$D:$AA,9, FALSE)</f>
        <v>0</v>
      </c>
      <c r="AH19" s="67">
        <f>VLOOKUP($Y19,Blends!$D:$AA,10, FALSE)</f>
        <v>0</v>
      </c>
      <c r="AI19" s="67">
        <f>VLOOKUP($Y19,Blends!$D:$AA,11, FALSE)</f>
        <v>0</v>
      </c>
      <c r="AJ19" s="67">
        <f>VLOOKUP($Y19,Blends!$D:$AA,12, FALSE)</f>
        <v>0</v>
      </c>
      <c r="AK19" s="130">
        <f>VLOOKUP($Y19,Blends!$D:$AA,13, FALSE)</f>
        <v>0.5</v>
      </c>
      <c r="AL19" s="67">
        <f>VLOOKUP($Y19,Blends!$D:$AA,14, FALSE)</f>
        <v>0</v>
      </c>
      <c r="AM19" s="67">
        <f>VLOOKUP($Y19,Blends!$D:$AA,15, FALSE)</f>
        <v>0</v>
      </c>
      <c r="AN19" s="67">
        <f>VLOOKUP($Y19,Blends!$D:$AA,16, FALSE)</f>
        <v>0</v>
      </c>
      <c r="AO19" s="67">
        <f>VLOOKUP($Y19,Blends!$D:$AA,17, FALSE)</f>
        <v>0</v>
      </c>
      <c r="AP19" s="67">
        <f>VLOOKUP($Y19,Blends!$D:$AA,18, FALSE)</f>
        <v>0</v>
      </c>
      <c r="AQ19" s="130">
        <f>VLOOKUP($Y19,Blends!$D:$AA,19, FALSE)</f>
        <v>0</v>
      </c>
      <c r="AR19" s="67">
        <f>VLOOKUP($Y19,Blends!$D:$AA,20, FALSE)</f>
        <v>0</v>
      </c>
      <c r="AS19" s="67">
        <f>VLOOKUP($Y19,Blends!$D:$AA,21, FALSE)</f>
        <v>0</v>
      </c>
      <c r="AT19" s="67">
        <f>VLOOKUP($Y19,Blends!$D:$AA,22, FALSE)</f>
        <v>0</v>
      </c>
      <c r="AU19" s="67">
        <f>VLOOKUP($Y19,Blends!$D:$AA,23, FALSE)</f>
        <v>0</v>
      </c>
      <c r="AV19" s="67">
        <f>VLOOKUP($Y19,Blends!$D:$AA,24, FALSE)</f>
        <v>0</v>
      </c>
      <c r="AW19" s="68">
        <f t="shared" si="2"/>
        <v>0</v>
      </c>
      <c r="AX19" s="68">
        <f t="shared" si="3"/>
        <v>0</v>
      </c>
      <c r="AY19" s="68">
        <f t="shared" si="4"/>
        <v>-160</v>
      </c>
      <c r="AZ19" s="68">
        <f t="shared" si="5"/>
        <v>0</v>
      </c>
      <c r="BA19" s="68">
        <f t="shared" si="6"/>
        <v>0</v>
      </c>
      <c r="BB19" s="68">
        <f t="shared" si="7"/>
        <v>0</v>
      </c>
      <c r="BC19" s="68">
        <f t="shared" si="8"/>
        <v>0</v>
      </c>
      <c r="BD19" s="68">
        <f t="shared" si="9"/>
        <v>0</v>
      </c>
      <c r="BE19" s="68">
        <f t="shared" si="10"/>
        <v>0</v>
      </c>
      <c r="BF19" s="68">
        <f t="shared" si="11"/>
        <v>0</v>
      </c>
      <c r="BG19" s="68">
        <f t="shared" si="12"/>
        <v>0</v>
      </c>
      <c r="BH19" s="68">
        <f t="shared" si="13"/>
        <v>-160</v>
      </c>
      <c r="BI19" s="68">
        <f t="shared" si="14"/>
        <v>0</v>
      </c>
      <c r="BJ19" s="68">
        <f t="shared" si="15"/>
        <v>0</v>
      </c>
      <c r="BK19" s="68">
        <f t="shared" si="16"/>
        <v>0</v>
      </c>
      <c r="BL19" s="68">
        <f t="shared" si="17"/>
        <v>0</v>
      </c>
      <c r="BM19" s="68">
        <f t="shared" si="18"/>
        <v>0</v>
      </c>
      <c r="BN19" s="68">
        <f t="shared" si="19"/>
        <v>0</v>
      </c>
      <c r="BO19" s="68">
        <f t="shared" si="20"/>
        <v>0</v>
      </c>
      <c r="BP19" s="68">
        <f t="shared" si="21"/>
        <v>0</v>
      </c>
      <c r="BQ19" s="68">
        <f t="shared" si="22"/>
        <v>0</v>
      </c>
      <c r="BR19" s="68">
        <f t="shared" si="23"/>
        <v>0</v>
      </c>
      <c r="BS19" s="68">
        <f t="shared" si="24"/>
        <v>0</v>
      </c>
      <c r="BT19" s="129">
        <f t="shared" si="25"/>
        <v>1</v>
      </c>
      <c r="BU19">
        <f>+VLOOKUP(E19,LogisticsReport!AI:HB,5,FALSE)</f>
        <v>-19.2</v>
      </c>
      <c r="BV19" s="205">
        <f t="shared" si="26"/>
        <v>0</v>
      </c>
    </row>
    <row r="20" spans="1:74" ht="15.75" hidden="1" x14ac:dyDescent="0.25">
      <c r="A20" t="s">
        <v>167</v>
      </c>
      <c r="B20" t="s">
        <v>168</v>
      </c>
      <c r="C20" t="s">
        <v>179</v>
      </c>
      <c r="D20" t="s">
        <v>170</v>
      </c>
      <c r="E20" t="s">
        <v>291</v>
      </c>
      <c r="F20" t="str">
        <f>VLOOKUP(E20,LogisticsReport!AI:AI,1,FALSE)</f>
        <v>SSGP-107959-1</v>
      </c>
      <c r="G20" t="str">
        <f>INDEX(DailyNetPosition!A:A,MATCH(E20,DailyNetPosition!B:B,0))</f>
        <v>Non Hedgeable</v>
      </c>
      <c r="H20" s="133" t="s">
        <v>179</v>
      </c>
      <c r="I20" s="133" t="s">
        <v>292</v>
      </c>
      <c r="J20" s="149">
        <v>46160</v>
      </c>
      <c r="K20" s="133">
        <v>-0.96</v>
      </c>
      <c r="L20" s="133">
        <v>-32</v>
      </c>
      <c r="M20" s="133" t="s">
        <v>286</v>
      </c>
      <c r="N20" s="133" t="s">
        <v>293</v>
      </c>
      <c r="O20" s="133" t="s">
        <v>294</v>
      </c>
      <c r="P20" s="133" t="s">
        <v>219</v>
      </c>
      <c r="Q20" s="77" t="str">
        <f t="shared" si="0"/>
        <v>2026/06</v>
      </c>
      <c r="R20" s="37" t="str">
        <f t="shared" si="1"/>
        <v>06</v>
      </c>
      <c r="S20">
        <v>197.94</v>
      </c>
      <c r="T20">
        <v>186.10239999999999</v>
      </c>
      <c r="U20" t="s">
        <v>295</v>
      </c>
      <c r="V20" t="s">
        <v>186</v>
      </c>
      <c r="X20" t="s">
        <v>207</v>
      </c>
      <c r="Y20" s="54">
        <v>100</v>
      </c>
      <c r="Z20" s="67">
        <f>VLOOKUP($Y20,Blends!$D:$AA,2, FALSE)</f>
        <v>1</v>
      </c>
      <c r="AA20" s="67">
        <f>VLOOKUP($Y20,Blends!$D:$AA,3, FALSE)</f>
        <v>0</v>
      </c>
      <c r="AB20" s="67">
        <f>VLOOKUP($Y20,Blends!$D:$AA,4, FALSE)</f>
        <v>0</v>
      </c>
      <c r="AC20" s="67">
        <f>VLOOKUP($Y20,Blends!$D:$AA,5, FALSE)</f>
        <v>0</v>
      </c>
      <c r="AD20" s="67">
        <f>VLOOKUP($Y20,Blends!$D:$AA,6, FALSE)</f>
        <v>0</v>
      </c>
      <c r="AE20" s="67">
        <f>VLOOKUP($Y20,Blends!$D:$AA,7, FALSE)</f>
        <v>0</v>
      </c>
      <c r="AF20" s="67">
        <f>VLOOKUP($Y20,Blends!$D:$AA,8, FALSE)</f>
        <v>0</v>
      </c>
      <c r="AG20" s="67">
        <f>VLOOKUP($Y20,Blends!$D:$AA,9, FALSE)</f>
        <v>0</v>
      </c>
      <c r="AH20" s="67">
        <f>VLOOKUP($Y20,Blends!$D:$AA,10, FALSE)</f>
        <v>0</v>
      </c>
      <c r="AI20" s="67">
        <f>VLOOKUP($Y20,Blends!$D:$AA,11, FALSE)</f>
        <v>0</v>
      </c>
      <c r="AJ20" s="67">
        <f>VLOOKUP($Y20,Blends!$D:$AA,12, FALSE)</f>
        <v>0</v>
      </c>
      <c r="AK20" s="130">
        <f>VLOOKUP($Y20,Blends!$D:$AA,13, FALSE)</f>
        <v>0</v>
      </c>
      <c r="AL20" s="67">
        <f>VLOOKUP($Y20,Blends!$D:$AA,14, FALSE)</f>
        <v>0</v>
      </c>
      <c r="AM20" s="67">
        <f>VLOOKUP($Y20,Blends!$D:$AA,15, FALSE)</f>
        <v>0</v>
      </c>
      <c r="AN20" s="67">
        <f>VLOOKUP($Y20,Blends!$D:$AA,16, FALSE)</f>
        <v>0</v>
      </c>
      <c r="AO20" s="67">
        <f>VLOOKUP($Y20,Blends!$D:$AA,17, FALSE)</f>
        <v>0</v>
      </c>
      <c r="AP20" s="67">
        <f>VLOOKUP($Y20,Blends!$D:$AA,18, FALSE)</f>
        <v>0</v>
      </c>
      <c r="AQ20" s="130">
        <f>VLOOKUP($Y20,Blends!$D:$AA,19, FALSE)</f>
        <v>0</v>
      </c>
      <c r="AR20" s="67">
        <f>VLOOKUP($Y20,Blends!$D:$AA,20, FALSE)</f>
        <v>0</v>
      </c>
      <c r="AS20" s="67">
        <f>VLOOKUP($Y20,Blends!$D:$AA,21, FALSE)</f>
        <v>0</v>
      </c>
      <c r="AT20" s="67">
        <f>VLOOKUP($Y20,Blends!$D:$AA,22, FALSE)</f>
        <v>0</v>
      </c>
      <c r="AU20" s="67">
        <f>VLOOKUP($Y20,Blends!$D:$AA,23, FALSE)</f>
        <v>0</v>
      </c>
      <c r="AV20" s="67">
        <f>VLOOKUP($Y20,Blends!$D:$AA,24, FALSE)</f>
        <v>0</v>
      </c>
      <c r="AW20" s="68">
        <f t="shared" si="2"/>
        <v>-16</v>
      </c>
      <c r="AX20" s="68">
        <f t="shared" si="3"/>
        <v>0</v>
      </c>
      <c r="AY20" s="68">
        <f t="shared" si="4"/>
        <v>0</v>
      </c>
      <c r="AZ20" s="68">
        <f t="shared" si="5"/>
        <v>0</v>
      </c>
      <c r="BA20" s="68">
        <f t="shared" si="6"/>
        <v>0</v>
      </c>
      <c r="BB20" s="68">
        <f t="shared" si="7"/>
        <v>0</v>
      </c>
      <c r="BC20" s="68">
        <f t="shared" si="8"/>
        <v>0</v>
      </c>
      <c r="BD20" s="68">
        <f t="shared" si="9"/>
        <v>0</v>
      </c>
      <c r="BE20" s="68">
        <f t="shared" si="10"/>
        <v>0</v>
      </c>
      <c r="BF20" s="68">
        <f t="shared" si="11"/>
        <v>0</v>
      </c>
      <c r="BG20" s="68">
        <f t="shared" si="12"/>
        <v>0</v>
      </c>
      <c r="BH20" s="68">
        <f t="shared" si="13"/>
        <v>0</v>
      </c>
      <c r="BI20" s="68">
        <f t="shared" si="14"/>
        <v>0</v>
      </c>
      <c r="BJ20" s="68">
        <f t="shared" si="15"/>
        <v>0</v>
      </c>
      <c r="BK20" s="68">
        <f t="shared" si="16"/>
        <v>0</v>
      </c>
      <c r="BL20" s="68">
        <f t="shared" si="17"/>
        <v>0</v>
      </c>
      <c r="BM20" s="68">
        <f t="shared" si="18"/>
        <v>0</v>
      </c>
      <c r="BN20" s="68">
        <f t="shared" si="19"/>
        <v>0</v>
      </c>
      <c r="BO20" s="68">
        <f t="shared" si="20"/>
        <v>0</v>
      </c>
      <c r="BP20" s="68">
        <f t="shared" si="21"/>
        <v>0</v>
      </c>
      <c r="BQ20" s="68">
        <f t="shared" si="22"/>
        <v>0</v>
      </c>
      <c r="BR20" s="68">
        <f t="shared" si="23"/>
        <v>0</v>
      </c>
      <c r="BS20" s="68">
        <f t="shared" si="24"/>
        <v>0</v>
      </c>
      <c r="BT20" s="129">
        <f t="shared" si="25"/>
        <v>1</v>
      </c>
      <c r="BU20">
        <f>+VLOOKUP(E20,LogisticsReport!AI:HB,5,FALSE)</f>
        <v>-0.96</v>
      </c>
      <c r="BV20" s="205">
        <f t="shared" si="26"/>
        <v>0</v>
      </c>
    </row>
    <row r="21" spans="1:74" ht="15.75" hidden="1" x14ac:dyDescent="0.25">
      <c r="A21" t="s">
        <v>167</v>
      </c>
      <c r="B21" t="s">
        <v>168</v>
      </c>
      <c r="C21" t="s">
        <v>179</v>
      </c>
      <c r="D21" t="s">
        <v>170</v>
      </c>
      <c r="E21" t="s">
        <v>296</v>
      </c>
      <c r="F21" t="str">
        <f>VLOOKUP(E21,LogisticsReport!AI:AI,1,FALSE)</f>
        <v>SSGP-107959-2</v>
      </c>
      <c r="G21" t="str">
        <f>INDEX(DailyNetPosition!A:A,MATCH(E21,DailyNetPosition!B:B,0))</f>
        <v>Non Hedgeable</v>
      </c>
      <c r="H21" s="133" t="s">
        <v>179</v>
      </c>
      <c r="I21" s="133" t="s">
        <v>292</v>
      </c>
      <c r="J21" s="149">
        <v>46160</v>
      </c>
      <c r="K21" s="133">
        <v>-0.96</v>
      </c>
      <c r="L21" s="133">
        <v>-32</v>
      </c>
      <c r="M21" s="133" t="s">
        <v>286</v>
      </c>
      <c r="N21" s="133" t="s">
        <v>293</v>
      </c>
      <c r="O21" s="133" t="s">
        <v>294</v>
      </c>
      <c r="P21" s="133" t="s">
        <v>219</v>
      </c>
      <c r="Q21" s="77" t="str">
        <f t="shared" si="0"/>
        <v>2026/06</v>
      </c>
      <c r="R21" s="37" t="str">
        <f t="shared" si="1"/>
        <v>06</v>
      </c>
      <c r="S21">
        <v>197.94</v>
      </c>
      <c r="T21">
        <v>186.10239999999999</v>
      </c>
      <c r="U21" t="s">
        <v>297</v>
      </c>
      <c r="V21" t="s">
        <v>186</v>
      </c>
      <c r="X21" t="s">
        <v>207</v>
      </c>
      <c r="Y21" s="54">
        <v>100</v>
      </c>
      <c r="Z21" s="67">
        <f>VLOOKUP($Y21,Blends!$D:$AA,2, FALSE)</f>
        <v>1</v>
      </c>
      <c r="AA21" s="67">
        <f>VLOOKUP($Y21,Blends!$D:$AA,3, FALSE)</f>
        <v>0</v>
      </c>
      <c r="AB21" s="67">
        <f>VLOOKUP($Y21,Blends!$D:$AA,4, FALSE)</f>
        <v>0</v>
      </c>
      <c r="AC21" s="67">
        <f>VLOOKUP($Y21,Blends!$D:$AA,5, FALSE)</f>
        <v>0</v>
      </c>
      <c r="AD21" s="67">
        <f>VLOOKUP($Y21,Blends!$D:$AA,6, FALSE)</f>
        <v>0</v>
      </c>
      <c r="AE21" s="67">
        <f>VLOOKUP($Y21,Blends!$D:$AA,7, FALSE)</f>
        <v>0</v>
      </c>
      <c r="AF21" s="67">
        <f>VLOOKUP($Y21,Blends!$D:$AA,8, FALSE)</f>
        <v>0</v>
      </c>
      <c r="AG21" s="67">
        <f>VLOOKUP($Y21,Blends!$D:$AA,9, FALSE)</f>
        <v>0</v>
      </c>
      <c r="AH21" s="67">
        <f>VLOOKUP($Y21,Blends!$D:$AA,10, FALSE)</f>
        <v>0</v>
      </c>
      <c r="AI21" s="67">
        <f>VLOOKUP($Y21,Blends!$D:$AA,11, FALSE)</f>
        <v>0</v>
      </c>
      <c r="AJ21" s="67">
        <f>VLOOKUP($Y21,Blends!$D:$AA,12, FALSE)</f>
        <v>0</v>
      </c>
      <c r="AK21" s="130">
        <f>VLOOKUP($Y21,Blends!$D:$AA,13, FALSE)</f>
        <v>0</v>
      </c>
      <c r="AL21" s="67">
        <f>VLOOKUP($Y21,Blends!$D:$AA,14, FALSE)</f>
        <v>0</v>
      </c>
      <c r="AM21" s="67">
        <f>VLOOKUP($Y21,Blends!$D:$AA,15, FALSE)</f>
        <v>0</v>
      </c>
      <c r="AN21" s="67">
        <f>VLOOKUP($Y21,Blends!$D:$AA,16, FALSE)</f>
        <v>0</v>
      </c>
      <c r="AO21" s="67">
        <f>VLOOKUP($Y21,Blends!$D:$AA,17, FALSE)</f>
        <v>0</v>
      </c>
      <c r="AP21" s="67">
        <f>VLOOKUP($Y21,Blends!$D:$AA,18, FALSE)</f>
        <v>0</v>
      </c>
      <c r="AQ21" s="130">
        <f>VLOOKUP($Y21,Blends!$D:$AA,19, FALSE)</f>
        <v>0</v>
      </c>
      <c r="AR21" s="67">
        <f>VLOOKUP($Y21,Blends!$D:$AA,20, FALSE)</f>
        <v>0</v>
      </c>
      <c r="AS21" s="67">
        <f>VLOOKUP($Y21,Blends!$D:$AA,21, FALSE)</f>
        <v>0</v>
      </c>
      <c r="AT21" s="67">
        <f>VLOOKUP($Y21,Blends!$D:$AA,22, FALSE)</f>
        <v>0</v>
      </c>
      <c r="AU21" s="67">
        <f>VLOOKUP($Y21,Blends!$D:$AA,23, FALSE)</f>
        <v>0</v>
      </c>
      <c r="AV21" s="67">
        <f>VLOOKUP($Y21,Blends!$D:$AA,24, FALSE)</f>
        <v>0</v>
      </c>
      <c r="AW21" s="68">
        <f t="shared" si="2"/>
        <v>-16</v>
      </c>
      <c r="AX21" s="68">
        <f t="shared" si="3"/>
        <v>0</v>
      </c>
      <c r="AY21" s="68">
        <f t="shared" si="4"/>
        <v>0</v>
      </c>
      <c r="AZ21" s="68">
        <f t="shared" si="5"/>
        <v>0</v>
      </c>
      <c r="BA21" s="68">
        <f t="shared" si="6"/>
        <v>0</v>
      </c>
      <c r="BB21" s="68">
        <f t="shared" si="7"/>
        <v>0</v>
      </c>
      <c r="BC21" s="68">
        <f t="shared" si="8"/>
        <v>0</v>
      </c>
      <c r="BD21" s="68">
        <f t="shared" si="9"/>
        <v>0</v>
      </c>
      <c r="BE21" s="68">
        <f t="shared" si="10"/>
        <v>0</v>
      </c>
      <c r="BF21" s="68">
        <f t="shared" si="11"/>
        <v>0</v>
      </c>
      <c r="BG21" s="68">
        <f t="shared" si="12"/>
        <v>0</v>
      </c>
      <c r="BH21" s="68">
        <f t="shared" si="13"/>
        <v>0</v>
      </c>
      <c r="BI21" s="68">
        <f t="shared" si="14"/>
        <v>0</v>
      </c>
      <c r="BJ21" s="68">
        <f t="shared" si="15"/>
        <v>0</v>
      </c>
      <c r="BK21" s="68">
        <f t="shared" si="16"/>
        <v>0</v>
      </c>
      <c r="BL21" s="68">
        <f t="shared" si="17"/>
        <v>0</v>
      </c>
      <c r="BM21" s="68">
        <f t="shared" si="18"/>
        <v>0</v>
      </c>
      <c r="BN21" s="68">
        <f t="shared" si="19"/>
        <v>0</v>
      </c>
      <c r="BO21" s="68">
        <f t="shared" si="20"/>
        <v>0</v>
      </c>
      <c r="BP21" s="68">
        <f t="shared" si="21"/>
        <v>0</v>
      </c>
      <c r="BQ21" s="68">
        <f t="shared" si="22"/>
        <v>0</v>
      </c>
      <c r="BR21" s="68">
        <f t="shared" si="23"/>
        <v>0</v>
      </c>
      <c r="BS21" s="68">
        <f t="shared" si="24"/>
        <v>0</v>
      </c>
      <c r="BT21" s="129">
        <f t="shared" si="25"/>
        <v>1</v>
      </c>
      <c r="BU21">
        <f>+VLOOKUP(E21,LogisticsReport!AI:HB,5,FALSE)</f>
        <v>-0.96</v>
      </c>
      <c r="BV21" s="205">
        <f t="shared" si="26"/>
        <v>0</v>
      </c>
    </row>
    <row r="22" spans="1:74" ht="15.75" hidden="1" x14ac:dyDescent="0.25">
      <c r="A22" t="s">
        <v>167</v>
      </c>
      <c r="B22" t="s">
        <v>168</v>
      </c>
      <c r="C22" t="s">
        <v>195</v>
      </c>
      <c r="D22" t="s">
        <v>170</v>
      </c>
      <c r="E22" t="s">
        <v>298</v>
      </c>
      <c r="F22" t="str">
        <f>VLOOKUP(E22,LogisticsReport!AI:AI,1,FALSE)</f>
        <v>SSGP-107959-5</v>
      </c>
      <c r="G22" t="str">
        <f>INDEX(DailyNetPosition!A:A,MATCH(E22,DailyNetPosition!B:B,0))</f>
        <v>Non Hedgeable</v>
      </c>
      <c r="H22" s="133" t="s">
        <v>195</v>
      </c>
      <c r="I22" s="133" t="s">
        <v>292</v>
      </c>
      <c r="J22" s="149">
        <v>46160</v>
      </c>
      <c r="K22" s="133">
        <v>-3</v>
      </c>
      <c r="L22" s="133">
        <v>-100</v>
      </c>
      <c r="M22" s="133" t="s">
        <v>286</v>
      </c>
      <c r="N22" s="133" t="s">
        <v>293</v>
      </c>
      <c r="O22" s="133" t="s">
        <v>294</v>
      </c>
      <c r="P22" s="133" t="s">
        <v>219</v>
      </c>
      <c r="Q22" s="77" t="str">
        <f t="shared" si="0"/>
        <v>2026/06</v>
      </c>
      <c r="R22" s="37" t="str">
        <f t="shared" si="1"/>
        <v>06</v>
      </c>
      <c r="S22">
        <v>97.94</v>
      </c>
      <c r="T22">
        <v>86.102400000000003</v>
      </c>
      <c r="U22" t="s">
        <v>299</v>
      </c>
      <c r="V22" t="s">
        <v>186</v>
      </c>
      <c r="X22" t="s">
        <v>207</v>
      </c>
      <c r="Y22" s="54">
        <v>91</v>
      </c>
      <c r="Z22" s="67">
        <f>VLOOKUP($Y22,Blends!$D:$AA,2, FALSE)</f>
        <v>0</v>
      </c>
      <c r="AA22" s="67">
        <f>VLOOKUP($Y22,Blends!$D:$AA,3, FALSE)</f>
        <v>1</v>
      </c>
      <c r="AB22" s="67">
        <f>VLOOKUP($Y22,Blends!$D:$AA,4, FALSE)</f>
        <v>0</v>
      </c>
      <c r="AC22" s="67">
        <f>VLOOKUP($Y22,Blends!$D:$AA,5, FALSE)</f>
        <v>0</v>
      </c>
      <c r="AD22" s="67">
        <f>VLOOKUP($Y22,Blends!$D:$AA,6, FALSE)</f>
        <v>0</v>
      </c>
      <c r="AE22" s="67">
        <f>VLOOKUP($Y22,Blends!$D:$AA,7, FALSE)</f>
        <v>0</v>
      </c>
      <c r="AF22" s="67">
        <f>VLOOKUP($Y22,Blends!$D:$AA,8, FALSE)</f>
        <v>0</v>
      </c>
      <c r="AG22" s="130">
        <f>VLOOKUP($Y22,Blends!$D:$AA,9, FALSE)</f>
        <v>0</v>
      </c>
      <c r="AH22" s="130">
        <f>VLOOKUP($Y22,Blends!$D:$AA,10, FALSE)</f>
        <v>0</v>
      </c>
      <c r="AI22" s="67">
        <f>VLOOKUP($Y22,Blends!$D:$AA,11, FALSE)</f>
        <v>0</v>
      </c>
      <c r="AJ22" s="67">
        <f>VLOOKUP($Y22,Blends!$D:$AA,12, FALSE)</f>
        <v>0</v>
      </c>
      <c r="AK22" s="130">
        <f>VLOOKUP($Y22,Blends!$D:$AA,13, FALSE)</f>
        <v>0</v>
      </c>
      <c r="AL22" s="130">
        <f>VLOOKUP($Y22,Blends!$D:$AA,14, FALSE)</f>
        <v>0</v>
      </c>
      <c r="AM22" s="130">
        <f>VLOOKUP($Y22,Blends!$D:$AA,15, FALSE)</f>
        <v>0</v>
      </c>
      <c r="AN22" s="130">
        <f>VLOOKUP($Y22,Blends!$D:$AA,16, FALSE)</f>
        <v>0</v>
      </c>
      <c r="AO22" s="130">
        <f>VLOOKUP($Y22,Blends!$D:$AA,17, FALSE)</f>
        <v>0</v>
      </c>
      <c r="AP22" s="67">
        <f>VLOOKUP($Y22,Blends!$D:$AA,18, FALSE)</f>
        <v>0</v>
      </c>
      <c r="AQ22" s="130">
        <f>VLOOKUP($Y22,Blends!$D:$AA,19, FALSE)</f>
        <v>0</v>
      </c>
      <c r="AR22" s="67">
        <f>VLOOKUP($Y22,Blends!$D:$AA,20, FALSE)</f>
        <v>0</v>
      </c>
      <c r="AS22" s="67">
        <f>VLOOKUP($Y22,Blends!$D:$AA,21, FALSE)</f>
        <v>0</v>
      </c>
      <c r="AT22" s="67">
        <f>VLOOKUP($Y22,Blends!$D:$AA,22, FALSE)</f>
        <v>0</v>
      </c>
      <c r="AU22" s="67">
        <f>VLOOKUP($Y22,Blends!$D:$AA,23, FALSE)</f>
        <v>0</v>
      </c>
      <c r="AV22" s="67">
        <f>VLOOKUP($Y22,Blends!$D:$AA,24, FALSE)</f>
        <v>0</v>
      </c>
      <c r="AW22" s="128">
        <f t="shared" si="2"/>
        <v>0</v>
      </c>
      <c r="AX22" s="128">
        <f t="shared" si="3"/>
        <v>-50</v>
      </c>
      <c r="AY22" s="128">
        <f t="shared" si="4"/>
        <v>0</v>
      </c>
      <c r="AZ22" s="128">
        <f t="shared" si="5"/>
        <v>0</v>
      </c>
      <c r="BA22" s="128">
        <f t="shared" si="6"/>
        <v>0</v>
      </c>
      <c r="BB22" s="128">
        <f t="shared" si="7"/>
        <v>0</v>
      </c>
      <c r="BC22" s="128">
        <f t="shared" si="8"/>
        <v>0</v>
      </c>
      <c r="BD22" s="128">
        <f t="shared" si="9"/>
        <v>0</v>
      </c>
      <c r="BE22" s="128">
        <f t="shared" si="10"/>
        <v>0</v>
      </c>
      <c r="BF22" s="128">
        <f t="shared" si="11"/>
        <v>0</v>
      </c>
      <c r="BG22" s="128">
        <f t="shared" si="12"/>
        <v>0</v>
      </c>
      <c r="BH22" s="128">
        <f t="shared" si="13"/>
        <v>0</v>
      </c>
      <c r="BI22" s="128">
        <f t="shared" si="14"/>
        <v>0</v>
      </c>
      <c r="BJ22" s="128">
        <f t="shared" si="15"/>
        <v>0</v>
      </c>
      <c r="BK22" s="128">
        <f t="shared" si="16"/>
        <v>0</v>
      </c>
      <c r="BL22" s="128">
        <f t="shared" si="17"/>
        <v>0</v>
      </c>
      <c r="BM22" s="128">
        <f t="shared" si="18"/>
        <v>0</v>
      </c>
      <c r="BN22" s="128">
        <f t="shared" si="19"/>
        <v>0</v>
      </c>
      <c r="BO22" s="128">
        <f t="shared" si="20"/>
        <v>0</v>
      </c>
      <c r="BP22" s="128">
        <f t="shared" si="21"/>
        <v>0</v>
      </c>
      <c r="BQ22" s="128">
        <f t="shared" si="22"/>
        <v>0</v>
      </c>
      <c r="BR22" s="128">
        <f t="shared" si="23"/>
        <v>0</v>
      </c>
      <c r="BS22" s="128">
        <f t="shared" si="24"/>
        <v>0</v>
      </c>
      <c r="BT22" s="129">
        <f t="shared" si="25"/>
        <v>1</v>
      </c>
      <c r="BU22">
        <f>+VLOOKUP(E22,LogisticsReport!AI:HB,5,FALSE)</f>
        <v>-3</v>
      </c>
      <c r="BV22" s="205">
        <f t="shared" si="26"/>
        <v>0</v>
      </c>
    </row>
    <row r="23" spans="1:74" ht="15.75" hidden="1" x14ac:dyDescent="0.25">
      <c r="A23" t="s">
        <v>167</v>
      </c>
      <c r="B23" t="s">
        <v>168</v>
      </c>
      <c r="C23" t="s">
        <v>258</v>
      </c>
      <c r="D23" t="s">
        <v>170</v>
      </c>
      <c r="E23" t="s">
        <v>300</v>
      </c>
      <c r="F23" t="str">
        <f>VLOOKUP(E23,LogisticsReport!AI:AI,1,FALSE)</f>
        <v>SSGP-107959-3</v>
      </c>
      <c r="G23" t="str">
        <f>INDEX(DailyNetPosition!A:A,MATCH(E23,DailyNetPosition!B:B,0))</f>
        <v>Non Hedgeable</v>
      </c>
      <c r="H23" s="133" t="s">
        <v>258</v>
      </c>
      <c r="I23" s="133" t="s">
        <v>292</v>
      </c>
      <c r="J23" s="149">
        <v>46160</v>
      </c>
      <c r="K23" s="133">
        <v>-0.36</v>
      </c>
      <c r="L23" s="133">
        <v>-12</v>
      </c>
      <c r="M23" s="133" t="s">
        <v>286</v>
      </c>
      <c r="N23" s="133" t="s">
        <v>293</v>
      </c>
      <c r="O23" s="133" t="s">
        <v>294</v>
      </c>
      <c r="P23" s="133" t="s">
        <v>219</v>
      </c>
      <c r="Q23" s="77" t="str">
        <f t="shared" si="0"/>
        <v>2026/06</v>
      </c>
      <c r="R23" s="37" t="str">
        <f t="shared" si="1"/>
        <v>06</v>
      </c>
      <c r="S23">
        <v>192.94</v>
      </c>
      <c r="T23">
        <v>181.10239999999999</v>
      </c>
      <c r="U23" t="s">
        <v>301</v>
      </c>
      <c r="V23" t="s">
        <v>186</v>
      </c>
      <c r="X23" t="s">
        <v>207</v>
      </c>
      <c r="Y23" s="54">
        <v>100</v>
      </c>
      <c r="Z23" s="67">
        <f>VLOOKUP($Y23,Blends!$D:$AA,2, FALSE)</f>
        <v>1</v>
      </c>
      <c r="AA23" s="67">
        <f>VLOOKUP($Y23,Blends!$D:$AA,3, FALSE)</f>
        <v>0</v>
      </c>
      <c r="AB23" s="67">
        <f>VLOOKUP($Y23,Blends!$D:$AA,4, FALSE)</f>
        <v>0</v>
      </c>
      <c r="AC23" s="67">
        <f>VLOOKUP($Y23,Blends!$D:$AA,5, FALSE)</f>
        <v>0</v>
      </c>
      <c r="AD23" s="67">
        <f>VLOOKUP($Y23,Blends!$D:$AA,6, FALSE)</f>
        <v>0</v>
      </c>
      <c r="AE23" s="67">
        <f>VLOOKUP($Y23,Blends!$D:$AA,7, FALSE)</f>
        <v>0</v>
      </c>
      <c r="AF23" s="67">
        <f>VLOOKUP($Y23,Blends!$D:$AA,8, FALSE)</f>
        <v>0</v>
      </c>
      <c r="AG23" s="130">
        <f>VLOOKUP($Y23,Blends!$D:$AA,9, FALSE)</f>
        <v>0</v>
      </c>
      <c r="AH23" s="130">
        <f>VLOOKUP($Y23,Blends!$D:$AA,10, FALSE)</f>
        <v>0</v>
      </c>
      <c r="AI23" s="67">
        <f>VLOOKUP($Y23,Blends!$D:$AA,11, FALSE)</f>
        <v>0</v>
      </c>
      <c r="AJ23" s="67">
        <f>VLOOKUP($Y23,Blends!$D:$AA,12, FALSE)</f>
        <v>0</v>
      </c>
      <c r="AK23" s="130">
        <f>VLOOKUP($Y23,Blends!$D:$AA,13, FALSE)</f>
        <v>0</v>
      </c>
      <c r="AL23" s="130">
        <f>VLOOKUP($Y23,Blends!$D:$AA,14, FALSE)</f>
        <v>0</v>
      </c>
      <c r="AM23" s="130">
        <f>VLOOKUP($Y23,Blends!$D:$AA,15, FALSE)</f>
        <v>0</v>
      </c>
      <c r="AN23" s="130">
        <f>VLOOKUP($Y23,Blends!$D:$AA,16, FALSE)</f>
        <v>0</v>
      </c>
      <c r="AO23" s="130">
        <f>VLOOKUP($Y23,Blends!$D:$AA,17, FALSE)</f>
        <v>0</v>
      </c>
      <c r="AP23" s="67">
        <f>VLOOKUP($Y23,Blends!$D:$AA,18, FALSE)</f>
        <v>0</v>
      </c>
      <c r="AQ23" s="130">
        <f>VLOOKUP($Y23,Blends!$D:$AA,19, FALSE)</f>
        <v>0</v>
      </c>
      <c r="AR23" s="67">
        <f>VLOOKUP($Y23,Blends!$D:$AA,20, FALSE)</f>
        <v>0</v>
      </c>
      <c r="AS23" s="67">
        <f>VLOOKUP($Y23,Blends!$D:$AA,21, FALSE)</f>
        <v>0</v>
      </c>
      <c r="AT23" s="67">
        <f>VLOOKUP($Y23,Blends!$D:$AA,22, FALSE)</f>
        <v>0</v>
      </c>
      <c r="AU23" s="67">
        <f>VLOOKUP($Y23,Blends!$D:$AA,23, FALSE)</f>
        <v>0</v>
      </c>
      <c r="AV23" s="67">
        <f>VLOOKUP($Y23,Blends!$D:$AA,24, FALSE)</f>
        <v>0</v>
      </c>
      <c r="AW23" s="128">
        <f t="shared" si="2"/>
        <v>-6</v>
      </c>
      <c r="AX23" s="128">
        <f t="shared" si="3"/>
        <v>0</v>
      </c>
      <c r="AY23" s="128">
        <f t="shared" si="4"/>
        <v>0</v>
      </c>
      <c r="AZ23" s="128">
        <f t="shared" si="5"/>
        <v>0</v>
      </c>
      <c r="BA23" s="128">
        <f t="shared" si="6"/>
        <v>0</v>
      </c>
      <c r="BB23" s="128">
        <f t="shared" si="7"/>
        <v>0</v>
      </c>
      <c r="BC23" s="128">
        <f t="shared" si="8"/>
        <v>0</v>
      </c>
      <c r="BD23" s="128">
        <f t="shared" si="9"/>
        <v>0</v>
      </c>
      <c r="BE23" s="128">
        <f t="shared" si="10"/>
        <v>0</v>
      </c>
      <c r="BF23" s="128">
        <f t="shared" si="11"/>
        <v>0</v>
      </c>
      <c r="BG23" s="128">
        <f t="shared" si="12"/>
        <v>0</v>
      </c>
      <c r="BH23" s="128">
        <f t="shared" si="13"/>
        <v>0</v>
      </c>
      <c r="BI23" s="128">
        <f t="shared" si="14"/>
        <v>0</v>
      </c>
      <c r="BJ23" s="128">
        <f t="shared" si="15"/>
        <v>0</v>
      </c>
      <c r="BK23" s="128">
        <f t="shared" si="16"/>
        <v>0</v>
      </c>
      <c r="BL23" s="128">
        <f t="shared" si="17"/>
        <v>0</v>
      </c>
      <c r="BM23" s="128">
        <f t="shared" si="18"/>
        <v>0</v>
      </c>
      <c r="BN23" s="128">
        <f t="shared" si="19"/>
        <v>0</v>
      </c>
      <c r="BO23" s="128">
        <f t="shared" si="20"/>
        <v>0</v>
      </c>
      <c r="BP23" s="128">
        <f t="shared" si="21"/>
        <v>0</v>
      </c>
      <c r="BQ23" s="128">
        <f t="shared" si="22"/>
        <v>0</v>
      </c>
      <c r="BR23" s="128">
        <f t="shared" si="23"/>
        <v>0</v>
      </c>
      <c r="BS23" s="128">
        <f t="shared" si="24"/>
        <v>0</v>
      </c>
      <c r="BT23" s="129">
        <f t="shared" si="25"/>
        <v>1</v>
      </c>
      <c r="BU23">
        <f>+VLOOKUP(E23,LogisticsReport!AI:HB,5,FALSE)</f>
        <v>-0.36</v>
      </c>
      <c r="BV23" s="205">
        <f t="shared" si="26"/>
        <v>0</v>
      </c>
    </row>
    <row r="24" spans="1:74" ht="15.75" hidden="1" x14ac:dyDescent="0.25">
      <c r="A24" t="s">
        <v>167</v>
      </c>
      <c r="B24" t="s">
        <v>168</v>
      </c>
      <c r="C24" t="s">
        <v>258</v>
      </c>
      <c r="D24" t="s">
        <v>170</v>
      </c>
      <c r="E24" t="s">
        <v>302</v>
      </c>
      <c r="F24" t="str">
        <f>VLOOKUP(E24,LogisticsReport!AI:AI,1,FALSE)</f>
        <v>SSGP-107959-4</v>
      </c>
      <c r="G24" t="str">
        <f>INDEX(DailyNetPosition!A:A,MATCH(E24,DailyNetPosition!B:B,0))</f>
        <v>Non Hedgeable</v>
      </c>
      <c r="H24" s="133" t="s">
        <v>258</v>
      </c>
      <c r="I24" s="133" t="s">
        <v>292</v>
      </c>
      <c r="J24" s="149">
        <v>46160</v>
      </c>
      <c r="K24" s="133">
        <v>-0.72</v>
      </c>
      <c r="L24" s="133">
        <v>-24</v>
      </c>
      <c r="M24" s="133" t="s">
        <v>286</v>
      </c>
      <c r="N24" s="133" t="s">
        <v>293</v>
      </c>
      <c r="O24" s="133" t="s">
        <v>294</v>
      </c>
      <c r="P24" s="133" t="s">
        <v>219</v>
      </c>
      <c r="Q24" s="77" t="str">
        <f t="shared" si="0"/>
        <v>2026/06</v>
      </c>
      <c r="R24" s="37" t="str">
        <f t="shared" si="1"/>
        <v>06</v>
      </c>
      <c r="S24">
        <v>192.94</v>
      </c>
      <c r="T24">
        <v>181.10239999999999</v>
      </c>
      <c r="U24" t="s">
        <v>303</v>
      </c>
      <c r="V24" t="s">
        <v>186</v>
      </c>
      <c r="X24" t="s">
        <v>207</v>
      </c>
      <c r="Y24" s="54">
        <v>100</v>
      </c>
      <c r="Z24" s="67">
        <f>VLOOKUP($Y24,Blends!$D:$AA,2, FALSE)</f>
        <v>1</v>
      </c>
      <c r="AA24" s="67">
        <f>VLOOKUP($Y24,Blends!$D:$AA,3, FALSE)</f>
        <v>0</v>
      </c>
      <c r="AB24" s="67">
        <f>VLOOKUP($Y24,Blends!$D:$AA,4, FALSE)</f>
        <v>0</v>
      </c>
      <c r="AC24" s="67">
        <f>VLOOKUP($Y24,Blends!$D:$AA,5, FALSE)</f>
        <v>0</v>
      </c>
      <c r="AD24" s="67">
        <f>VLOOKUP($Y24,Blends!$D:$AA,6, FALSE)</f>
        <v>0</v>
      </c>
      <c r="AE24" s="67">
        <f>VLOOKUP($Y24,Blends!$D:$AA,7, FALSE)</f>
        <v>0</v>
      </c>
      <c r="AF24" s="67">
        <f>VLOOKUP($Y24,Blends!$D:$AA,8, FALSE)</f>
        <v>0</v>
      </c>
      <c r="AG24" s="130">
        <f>VLOOKUP($Y24,Blends!$D:$AA,9, FALSE)</f>
        <v>0</v>
      </c>
      <c r="AH24" s="130">
        <f>VLOOKUP($Y24,Blends!$D:$AA,10, FALSE)</f>
        <v>0</v>
      </c>
      <c r="AI24" s="67">
        <f>VLOOKUP($Y24,Blends!$D:$AA,11, FALSE)</f>
        <v>0</v>
      </c>
      <c r="AJ24" s="67">
        <f>VLOOKUP($Y24,Blends!$D:$AA,12, FALSE)</f>
        <v>0</v>
      </c>
      <c r="AK24" s="130">
        <f>VLOOKUP($Y24,Blends!$D:$AA,13, FALSE)</f>
        <v>0</v>
      </c>
      <c r="AL24" s="130">
        <f>VLOOKUP($Y24,Blends!$D:$AA,14, FALSE)</f>
        <v>0</v>
      </c>
      <c r="AM24" s="130">
        <f>VLOOKUP($Y24,Blends!$D:$AA,15, FALSE)</f>
        <v>0</v>
      </c>
      <c r="AN24" s="130">
        <f>VLOOKUP($Y24,Blends!$D:$AA,16, FALSE)</f>
        <v>0</v>
      </c>
      <c r="AO24" s="130">
        <f>VLOOKUP($Y24,Blends!$D:$AA,17, FALSE)</f>
        <v>0</v>
      </c>
      <c r="AP24" s="67">
        <f>VLOOKUP($Y24,Blends!$D:$AA,18, FALSE)</f>
        <v>0</v>
      </c>
      <c r="AQ24" s="130">
        <f>VLOOKUP($Y24,Blends!$D:$AA,19, FALSE)</f>
        <v>0</v>
      </c>
      <c r="AR24" s="67">
        <f>VLOOKUP($Y24,Blends!$D:$AA,20, FALSE)</f>
        <v>0</v>
      </c>
      <c r="AS24" s="67">
        <f>VLOOKUP($Y24,Blends!$D:$AA,21, FALSE)</f>
        <v>0</v>
      </c>
      <c r="AT24" s="67">
        <f>VLOOKUP($Y24,Blends!$D:$AA,22, FALSE)</f>
        <v>0</v>
      </c>
      <c r="AU24" s="67">
        <f>VLOOKUP($Y24,Blends!$D:$AA,23, FALSE)</f>
        <v>0</v>
      </c>
      <c r="AV24" s="67">
        <f>VLOOKUP($Y24,Blends!$D:$AA,24, FALSE)</f>
        <v>0</v>
      </c>
      <c r="AW24" s="128">
        <f t="shared" si="2"/>
        <v>-12</v>
      </c>
      <c r="AX24" s="128">
        <f t="shared" si="3"/>
        <v>0</v>
      </c>
      <c r="AY24" s="128">
        <f t="shared" si="4"/>
        <v>0</v>
      </c>
      <c r="AZ24" s="128">
        <f t="shared" si="5"/>
        <v>0</v>
      </c>
      <c r="BA24" s="128">
        <f t="shared" si="6"/>
        <v>0</v>
      </c>
      <c r="BB24" s="128">
        <f t="shared" si="7"/>
        <v>0</v>
      </c>
      <c r="BC24" s="128">
        <f t="shared" si="8"/>
        <v>0</v>
      </c>
      <c r="BD24" s="128">
        <f t="shared" si="9"/>
        <v>0</v>
      </c>
      <c r="BE24" s="128">
        <f t="shared" si="10"/>
        <v>0</v>
      </c>
      <c r="BF24" s="128">
        <f t="shared" si="11"/>
        <v>0</v>
      </c>
      <c r="BG24" s="128">
        <f t="shared" si="12"/>
        <v>0</v>
      </c>
      <c r="BH24" s="128">
        <f t="shared" si="13"/>
        <v>0</v>
      </c>
      <c r="BI24" s="128">
        <f t="shared" si="14"/>
        <v>0</v>
      </c>
      <c r="BJ24" s="128">
        <f t="shared" si="15"/>
        <v>0</v>
      </c>
      <c r="BK24" s="128">
        <f t="shared" si="16"/>
        <v>0</v>
      </c>
      <c r="BL24" s="128">
        <f t="shared" si="17"/>
        <v>0</v>
      </c>
      <c r="BM24" s="128">
        <f t="shared" si="18"/>
        <v>0</v>
      </c>
      <c r="BN24" s="128">
        <f t="shared" si="19"/>
        <v>0</v>
      </c>
      <c r="BO24" s="128">
        <f t="shared" si="20"/>
        <v>0</v>
      </c>
      <c r="BP24" s="128">
        <f t="shared" si="21"/>
        <v>0</v>
      </c>
      <c r="BQ24" s="128">
        <f t="shared" si="22"/>
        <v>0</v>
      </c>
      <c r="BR24" s="128">
        <f t="shared" si="23"/>
        <v>0</v>
      </c>
      <c r="BS24" s="128">
        <f t="shared" si="24"/>
        <v>0</v>
      </c>
      <c r="BT24" s="129">
        <f t="shared" si="25"/>
        <v>1</v>
      </c>
      <c r="BU24">
        <f>+VLOOKUP(E24,LogisticsReport!AI:HB,5,FALSE)</f>
        <v>-0.72</v>
      </c>
      <c r="BV24" s="205">
        <f t="shared" si="26"/>
        <v>0</v>
      </c>
    </row>
    <row r="25" spans="1:74" ht="15.75" x14ac:dyDescent="0.25">
      <c r="A25" t="s">
        <v>167</v>
      </c>
      <c r="B25" t="s">
        <v>168</v>
      </c>
      <c r="C25" t="s">
        <v>179</v>
      </c>
      <c r="D25" t="s">
        <v>170</v>
      </c>
      <c r="E25" t="s">
        <v>304</v>
      </c>
      <c r="F25" t="str">
        <f>VLOOKUP(E25,LogisticsReport!AI:AI,1,FALSE)</f>
        <v>SSKE-108133</v>
      </c>
      <c r="G25" t="str">
        <f>INDEX(DailyNetPosition!A:A,MATCH(E25,DailyNetPosition!B:B,0))</f>
        <v>Hedgeable</v>
      </c>
      <c r="H25" s="133" t="s">
        <v>179</v>
      </c>
      <c r="I25" s="133" t="s">
        <v>305</v>
      </c>
      <c r="J25" s="149">
        <v>46163</v>
      </c>
      <c r="K25" s="133">
        <v>-19.2</v>
      </c>
      <c r="L25" s="133">
        <v>-320</v>
      </c>
      <c r="M25" s="133" t="s">
        <v>173</v>
      </c>
      <c r="N25" s="133" t="s">
        <v>174</v>
      </c>
      <c r="O25" s="133" t="s">
        <v>306</v>
      </c>
      <c r="P25" t="str">
        <f>VLOOKUP(Table3[[#This Row],[Sale Ctr.]],LogisticsReport!AI:AW,15,FALSE)</f>
        <v>2026/06 All - 2026/06 All</v>
      </c>
      <c r="Q25" s="77" t="str">
        <f t="shared" si="0"/>
        <v>2026/06</v>
      </c>
      <c r="R25" s="37" t="str">
        <f t="shared" si="1"/>
        <v>06</v>
      </c>
      <c r="S25">
        <v>95</v>
      </c>
      <c r="T25">
        <v>95</v>
      </c>
      <c r="U25" t="s">
        <v>283</v>
      </c>
      <c r="V25" t="s">
        <v>186</v>
      </c>
      <c r="X25" t="s">
        <v>207</v>
      </c>
      <c r="Y25" s="54">
        <v>18</v>
      </c>
      <c r="Z25" s="67">
        <f>VLOOKUP($Y25,Blends!$D:$AA,2, FALSE)</f>
        <v>0</v>
      </c>
      <c r="AA25" s="67">
        <f>VLOOKUP($Y25,Blends!$D:$AA,3, FALSE)</f>
        <v>0</v>
      </c>
      <c r="AB25" s="67">
        <f>VLOOKUP($Y25,Blends!$D:$AA,4, FALSE)</f>
        <v>0.5</v>
      </c>
      <c r="AC25" s="67">
        <f>VLOOKUP($Y25,Blends!$D:$AA,5, FALSE)</f>
        <v>0</v>
      </c>
      <c r="AD25" s="67">
        <f>VLOOKUP($Y25,Blends!$D:$AA,6, FALSE)</f>
        <v>0</v>
      </c>
      <c r="AE25" s="67">
        <f>VLOOKUP($Y25,Blends!$D:$AA,7, FALSE)</f>
        <v>0</v>
      </c>
      <c r="AF25" s="67">
        <f>VLOOKUP($Y25,Blends!$D:$AA,8, FALSE)</f>
        <v>0</v>
      </c>
      <c r="AG25" s="130">
        <f>VLOOKUP($Y25,Blends!$D:$AA,9, FALSE)</f>
        <v>0</v>
      </c>
      <c r="AH25" s="130">
        <f>VLOOKUP($Y25,Blends!$D:$AA,10, FALSE)</f>
        <v>0</v>
      </c>
      <c r="AI25" s="67">
        <f>VLOOKUP($Y25,Blends!$D:$AA,11, FALSE)</f>
        <v>0</v>
      </c>
      <c r="AJ25" s="67">
        <f>VLOOKUP($Y25,Blends!$D:$AA,12, FALSE)</f>
        <v>0</v>
      </c>
      <c r="AK25" s="130">
        <f>VLOOKUP($Y25,Blends!$D:$AA,13, FALSE)</f>
        <v>0.5</v>
      </c>
      <c r="AL25" s="130">
        <f>VLOOKUP($Y25,Blends!$D:$AA,14, FALSE)</f>
        <v>0</v>
      </c>
      <c r="AM25" s="130">
        <f>VLOOKUP($Y25,Blends!$D:$AA,15, FALSE)</f>
        <v>0</v>
      </c>
      <c r="AN25" s="130">
        <f>VLOOKUP($Y25,Blends!$D:$AA,16, FALSE)</f>
        <v>0</v>
      </c>
      <c r="AO25" s="130">
        <f>VLOOKUP($Y25,Blends!$D:$AA,17, FALSE)</f>
        <v>0</v>
      </c>
      <c r="AP25" s="67">
        <f>VLOOKUP($Y25,Blends!$D:$AA,18, FALSE)</f>
        <v>0</v>
      </c>
      <c r="AQ25" s="130">
        <f>VLOOKUP($Y25,Blends!$D:$AA,19, FALSE)</f>
        <v>0</v>
      </c>
      <c r="AR25" s="67">
        <f>VLOOKUP($Y25,Blends!$D:$AA,20, FALSE)</f>
        <v>0</v>
      </c>
      <c r="AS25" s="67">
        <f>VLOOKUP($Y25,Blends!$D:$AA,21, FALSE)</f>
        <v>0</v>
      </c>
      <c r="AT25" s="67">
        <f>VLOOKUP($Y25,Blends!$D:$AA,22, FALSE)</f>
        <v>0</v>
      </c>
      <c r="AU25" s="67">
        <f>VLOOKUP($Y25,Blends!$D:$AA,23, FALSE)</f>
        <v>0</v>
      </c>
      <c r="AV25" s="67">
        <f>VLOOKUP($Y25,Blends!$D:$AA,24, FALSE)</f>
        <v>0</v>
      </c>
      <c r="AW25" s="128">
        <f t="shared" si="2"/>
        <v>0</v>
      </c>
      <c r="AX25" s="128">
        <f t="shared" si="3"/>
        <v>0</v>
      </c>
      <c r="AY25" s="128">
        <f t="shared" si="4"/>
        <v>-160</v>
      </c>
      <c r="AZ25" s="128">
        <f t="shared" si="5"/>
        <v>0</v>
      </c>
      <c r="BA25" s="128">
        <f t="shared" si="6"/>
        <v>0</v>
      </c>
      <c r="BB25" s="128">
        <f t="shared" si="7"/>
        <v>0</v>
      </c>
      <c r="BC25" s="128">
        <f t="shared" si="8"/>
        <v>0</v>
      </c>
      <c r="BD25" s="128">
        <f t="shared" si="9"/>
        <v>0</v>
      </c>
      <c r="BE25" s="128">
        <f t="shared" si="10"/>
        <v>0</v>
      </c>
      <c r="BF25" s="128">
        <f t="shared" si="11"/>
        <v>0</v>
      </c>
      <c r="BG25" s="128">
        <f t="shared" si="12"/>
        <v>0</v>
      </c>
      <c r="BH25" s="128">
        <f t="shared" si="13"/>
        <v>-160</v>
      </c>
      <c r="BI25" s="128">
        <f t="shared" si="14"/>
        <v>0</v>
      </c>
      <c r="BJ25" s="128">
        <f t="shared" si="15"/>
        <v>0</v>
      </c>
      <c r="BK25" s="128">
        <f t="shared" si="16"/>
        <v>0</v>
      </c>
      <c r="BL25" s="128">
        <f t="shared" si="17"/>
        <v>0</v>
      </c>
      <c r="BM25" s="128">
        <f t="shared" si="18"/>
        <v>0</v>
      </c>
      <c r="BN25" s="128">
        <f t="shared" si="19"/>
        <v>0</v>
      </c>
      <c r="BO25" s="128">
        <f t="shared" si="20"/>
        <v>0</v>
      </c>
      <c r="BP25" s="128">
        <f t="shared" si="21"/>
        <v>0</v>
      </c>
      <c r="BQ25" s="128">
        <f t="shared" si="22"/>
        <v>0</v>
      </c>
      <c r="BR25" s="128">
        <f t="shared" si="23"/>
        <v>0</v>
      </c>
      <c r="BS25" s="128">
        <f t="shared" si="24"/>
        <v>0</v>
      </c>
      <c r="BT25" s="129">
        <f t="shared" si="25"/>
        <v>1</v>
      </c>
      <c r="BU25">
        <f>+VLOOKUP(E25,LogisticsReport!AI:HB,5,FALSE)</f>
        <v>-19.2</v>
      </c>
      <c r="BV25" s="205">
        <f t="shared" si="26"/>
        <v>0</v>
      </c>
    </row>
    <row r="26" spans="1:74" ht="15.75" hidden="1" x14ac:dyDescent="0.25">
      <c r="A26" t="s">
        <v>167</v>
      </c>
      <c r="B26" t="s">
        <v>168</v>
      </c>
      <c r="C26" t="s">
        <v>179</v>
      </c>
      <c r="D26" t="s">
        <v>170</v>
      </c>
      <c r="E26" t="s">
        <v>324</v>
      </c>
      <c r="F26" t="str">
        <f>VLOOKUP(E26,LogisticsReport!AI:AI,1,FALSE)</f>
        <v>SSKE-108500</v>
      </c>
      <c r="G26" t="str">
        <f>INDEX(DailyNetPosition!A:A,MATCH(E26,DailyNetPosition!B:B,0))</f>
        <v>Non Hedgeable</v>
      </c>
      <c r="H26" s="133" t="s">
        <v>179</v>
      </c>
      <c r="I26" s="133" t="s">
        <v>172</v>
      </c>
      <c r="J26" s="149">
        <v>46183</v>
      </c>
      <c r="K26" s="133">
        <v>-18.899999999999999</v>
      </c>
      <c r="L26" s="133">
        <v>-315</v>
      </c>
      <c r="M26" s="133" t="s">
        <v>173</v>
      </c>
      <c r="N26" s="133" t="s">
        <v>174</v>
      </c>
      <c r="O26" s="133" t="s">
        <v>175</v>
      </c>
      <c r="P26" s="133" t="s">
        <v>219</v>
      </c>
      <c r="Q26" s="77" t="str">
        <f t="shared" si="0"/>
        <v>2026/06</v>
      </c>
      <c r="R26" s="37" t="str">
        <f t="shared" si="1"/>
        <v>06</v>
      </c>
      <c r="S26">
        <v>95</v>
      </c>
      <c r="T26">
        <v>95</v>
      </c>
      <c r="U26" t="s">
        <v>283</v>
      </c>
      <c r="V26" t="s">
        <v>186</v>
      </c>
      <c r="X26" t="s">
        <v>207</v>
      </c>
      <c r="Y26" s="54">
        <v>91</v>
      </c>
      <c r="Z26" s="67">
        <f>VLOOKUP($Y26,Blends!$D:$AA,2, FALSE)</f>
        <v>0</v>
      </c>
      <c r="AA26" s="67">
        <f>VLOOKUP($Y26,Blends!$D:$AA,3, FALSE)</f>
        <v>1</v>
      </c>
      <c r="AB26" s="67">
        <f>VLOOKUP($Y26,Blends!$D:$AA,4, FALSE)</f>
        <v>0</v>
      </c>
      <c r="AC26" s="67">
        <f>VLOOKUP($Y26,Blends!$D:$AA,5, FALSE)</f>
        <v>0</v>
      </c>
      <c r="AD26" s="67">
        <f>VLOOKUP($Y26,Blends!$D:$AA,6, FALSE)</f>
        <v>0</v>
      </c>
      <c r="AE26" s="67">
        <f>VLOOKUP($Y26,Blends!$D:$AA,7, FALSE)</f>
        <v>0</v>
      </c>
      <c r="AF26" s="67">
        <f>VLOOKUP($Y26,Blends!$D:$AA,8, FALSE)</f>
        <v>0</v>
      </c>
      <c r="AG26" s="67">
        <f>VLOOKUP($Y26,Blends!$D:$AA,9, FALSE)</f>
        <v>0</v>
      </c>
      <c r="AH26" s="67">
        <f>VLOOKUP($Y26,Blends!$D:$AA,10, FALSE)</f>
        <v>0</v>
      </c>
      <c r="AI26" s="67">
        <f>VLOOKUP($Y26,Blends!$D:$AA,11, FALSE)</f>
        <v>0</v>
      </c>
      <c r="AJ26" s="67">
        <f>VLOOKUP($Y26,Blends!$D:$AA,12, FALSE)</f>
        <v>0</v>
      </c>
      <c r="AK26" s="130">
        <f>VLOOKUP($Y26,Blends!$D:$AA,13, FALSE)</f>
        <v>0</v>
      </c>
      <c r="AL26" s="67">
        <f>VLOOKUP($Y26,Blends!$D:$AA,14, FALSE)</f>
        <v>0</v>
      </c>
      <c r="AM26" s="67">
        <f>VLOOKUP($Y26,Blends!$D:$AA,15, FALSE)</f>
        <v>0</v>
      </c>
      <c r="AN26" s="67">
        <f>VLOOKUP($Y26,Blends!$D:$AA,16, FALSE)</f>
        <v>0</v>
      </c>
      <c r="AO26" s="67">
        <f>VLOOKUP($Y26,Blends!$D:$AA,17, FALSE)</f>
        <v>0</v>
      </c>
      <c r="AP26" s="67">
        <f>VLOOKUP($Y26,Blends!$D:$AA,18, FALSE)</f>
        <v>0</v>
      </c>
      <c r="AQ26" s="130">
        <f>VLOOKUP($Y26,Blends!$D:$AA,19, FALSE)</f>
        <v>0</v>
      </c>
      <c r="AR26" s="67">
        <f>VLOOKUP($Y26,Blends!$D:$AA,20, FALSE)</f>
        <v>0</v>
      </c>
      <c r="AS26" s="67">
        <f>VLOOKUP($Y26,Blends!$D:$AA,21, FALSE)</f>
        <v>0</v>
      </c>
      <c r="AT26" s="67">
        <f>VLOOKUP($Y26,Blends!$D:$AA,22, FALSE)</f>
        <v>0</v>
      </c>
      <c r="AU26" s="67">
        <f>VLOOKUP($Y26,Blends!$D:$AA,23, FALSE)</f>
        <v>0</v>
      </c>
      <c r="AV26" s="67">
        <f>VLOOKUP($Y26,Blends!$D:$AA,24, FALSE)</f>
        <v>0</v>
      </c>
      <c r="AW26" s="68">
        <f t="shared" si="2"/>
        <v>0</v>
      </c>
      <c r="AX26" s="68">
        <f t="shared" si="3"/>
        <v>-315</v>
      </c>
      <c r="AY26" s="68">
        <f t="shared" si="4"/>
        <v>0</v>
      </c>
      <c r="AZ26" s="68">
        <f t="shared" si="5"/>
        <v>0</v>
      </c>
      <c r="BA26" s="68">
        <f t="shared" si="6"/>
        <v>0</v>
      </c>
      <c r="BB26" s="68">
        <f t="shared" si="7"/>
        <v>0</v>
      </c>
      <c r="BC26" s="68">
        <f t="shared" si="8"/>
        <v>0</v>
      </c>
      <c r="BD26" s="68">
        <f t="shared" si="9"/>
        <v>0</v>
      </c>
      <c r="BE26" s="68">
        <f t="shared" si="10"/>
        <v>0</v>
      </c>
      <c r="BF26" s="68">
        <f t="shared" si="11"/>
        <v>0</v>
      </c>
      <c r="BG26" s="68">
        <f t="shared" si="12"/>
        <v>0</v>
      </c>
      <c r="BH26" s="68">
        <f t="shared" si="13"/>
        <v>0</v>
      </c>
      <c r="BI26" s="68">
        <f t="shared" si="14"/>
        <v>0</v>
      </c>
      <c r="BJ26" s="68">
        <f t="shared" si="15"/>
        <v>0</v>
      </c>
      <c r="BK26" s="68">
        <f t="shared" si="16"/>
        <v>0</v>
      </c>
      <c r="BL26" s="68">
        <f t="shared" si="17"/>
        <v>0</v>
      </c>
      <c r="BM26" s="68">
        <f t="shared" si="18"/>
        <v>0</v>
      </c>
      <c r="BN26" s="68">
        <f t="shared" si="19"/>
        <v>0</v>
      </c>
      <c r="BO26" s="68">
        <f t="shared" si="20"/>
        <v>0</v>
      </c>
      <c r="BP26" s="68">
        <f t="shared" si="21"/>
        <v>0</v>
      </c>
      <c r="BQ26" s="68">
        <f t="shared" si="22"/>
        <v>0</v>
      </c>
      <c r="BR26" s="68">
        <f t="shared" si="23"/>
        <v>0</v>
      </c>
      <c r="BS26" s="68">
        <f t="shared" si="24"/>
        <v>0</v>
      </c>
      <c r="BT26" s="129">
        <f t="shared" si="25"/>
        <v>1</v>
      </c>
      <c r="BU26">
        <f>+VLOOKUP(E26,LogisticsReport!AI:HB,5,FALSE)</f>
        <v>-18.899999999999999</v>
      </c>
      <c r="BV26" s="205">
        <f t="shared" si="26"/>
        <v>0</v>
      </c>
    </row>
    <row r="27" spans="1:74" ht="15.75" hidden="1" x14ac:dyDescent="0.25">
      <c r="A27" t="s">
        <v>167</v>
      </c>
      <c r="B27" t="s">
        <v>168</v>
      </c>
      <c r="C27" t="s">
        <v>169</v>
      </c>
      <c r="D27" t="s">
        <v>170</v>
      </c>
      <c r="E27" t="s">
        <v>325</v>
      </c>
      <c r="F27" t="str">
        <f>VLOOKUP(E27,LogisticsReport!AI:AI,1,FALSE)</f>
        <v>SSKE-108536</v>
      </c>
      <c r="G27" t="str">
        <f>INDEX(DailyNetPosition!A:A,MATCH(E27,DailyNetPosition!B:B,0))</f>
        <v>Non Hedgeable</v>
      </c>
      <c r="H27" s="133" t="s">
        <v>169</v>
      </c>
      <c r="I27" s="133" t="s">
        <v>172</v>
      </c>
      <c r="J27" s="149">
        <v>46185</v>
      </c>
      <c r="K27" s="133">
        <v>-0.21</v>
      </c>
      <c r="L27" s="133">
        <v>-7</v>
      </c>
      <c r="M27" s="133" t="s">
        <v>173</v>
      </c>
      <c r="N27" s="133" t="s">
        <v>174</v>
      </c>
      <c r="O27" s="133" t="s">
        <v>175</v>
      </c>
      <c r="P27" s="133" t="s">
        <v>219</v>
      </c>
      <c r="Q27" s="77" t="str">
        <f t="shared" si="0"/>
        <v>2026/06</v>
      </c>
      <c r="R27" s="37" t="str">
        <f t="shared" si="1"/>
        <v>06</v>
      </c>
      <c r="S27">
        <v>498</v>
      </c>
      <c r="T27">
        <v>498</v>
      </c>
      <c r="U27" t="s">
        <v>326</v>
      </c>
      <c r="V27" t="s">
        <v>186</v>
      </c>
      <c r="X27" t="s">
        <v>178</v>
      </c>
      <c r="Y27" s="54">
        <v>100</v>
      </c>
      <c r="Z27" s="67">
        <f>VLOOKUP($Y27,Blends!$D:$AA,2, FALSE)</f>
        <v>1</v>
      </c>
      <c r="AA27" s="67">
        <f>VLOOKUP($Y27,Blends!$D:$AA,3, FALSE)</f>
        <v>0</v>
      </c>
      <c r="AB27" s="67">
        <f>VLOOKUP($Y27,Blends!$D:$AA,4, FALSE)</f>
        <v>0</v>
      </c>
      <c r="AC27" s="67">
        <f>VLOOKUP($Y27,Blends!$D:$AA,5, FALSE)</f>
        <v>0</v>
      </c>
      <c r="AD27" s="67">
        <f>VLOOKUP($Y27,Blends!$D:$AA,6, FALSE)</f>
        <v>0</v>
      </c>
      <c r="AE27" s="67">
        <f>VLOOKUP($Y27,Blends!$D:$AA,7, FALSE)</f>
        <v>0</v>
      </c>
      <c r="AF27" s="67">
        <f>VLOOKUP($Y27,Blends!$D:$AA,8, FALSE)</f>
        <v>0</v>
      </c>
      <c r="AG27" s="67">
        <f>VLOOKUP($Y27,Blends!$D:$AA,9, FALSE)</f>
        <v>0</v>
      </c>
      <c r="AH27" s="67">
        <f>VLOOKUP($Y27,Blends!$D:$AA,10, FALSE)</f>
        <v>0</v>
      </c>
      <c r="AI27" s="67">
        <f>VLOOKUP($Y27,Blends!$D:$AA,11, FALSE)</f>
        <v>0</v>
      </c>
      <c r="AJ27" s="67">
        <f>VLOOKUP($Y27,Blends!$D:$AA,12, FALSE)</f>
        <v>0</v>
      </c>
      <c r="AK27" s="130">
        <f>VLOOKUP($Y27,Blends!$D:$AA,13, FALSE)</f>
        <v>0</v>
      </c>
      <c r="AL27" s="67">
        <f>VLOOKUP($Y27,Blends!$D:$AA,14, FALSE)</f>
        <v>0</v>
      </c>
      <c r="AM27" s="67">
        <f>VLOOKUP($Y27,Blends!$D:$AA,15, FALSE)</f>
        <v>0</v>
      </c>
      <c r="AN27" s="67">
        <f>VLOOKUP($Y27,Blends!$D:$AA,16, FALSE)</f>
        <v>0</v>
      </c>
      <c r="AO27" s="67">
        <f>VLOOKUP($Y27,Blends!$D:$AA,17, FALSE)</f>
        <v>0</v>
      </c>
      <c r="AP27" s="67">
        <f>VLOOKUP($Y27,Blends!$D:$AA,18, FALSE)</f>
        <v>0</v>
      </c>
      <c r="AQ27" s="130">
        <f>VLOOKUP($Y27,Blends!$D:$AA,19, FALSE)</f>
        <v>0</v>
      </c>
      <c r="AR27" s="67">
        <f>VLOOKUP($Y27,Blends!$D:$AA,20, FALSE)</f>
        <v>0</v>
      </c>
      <c r="AS27" s="67">
        <f>VLOOKUP($Y27,Blends!$D:$AA,21, FALSE)</f>
        <v>0</v>
      </c>
      <c r="AT27" s="67">
        <f>VLOOKUP($Y27,Blends!$D:$AA,22, FALSE)</f>
        <v>0</v>
      </c>
      <c r="AU27" s="67">
        <f>VLOOKUP($Y27,Blends!$D:$AA,23, FALSE)</f>
        <v>0</v>
      </c>
      <c r="AV27" s="67">
        <f>VLOOKUP($Y27,Blends!$D:$AA,24, FALSE)</f>
        <v>0</v>
      </c>
      <c r="AW27" s="68">
        <f t="shared" si="2"/>
        <v>-3.5</v>
      </c>
      <c r="AX27" s="68">
        <f t="shared" si="3"/>
        <v>0</v>
      </c>
      <c r="AY27" s="68">
        <f t="shared" si="4"/>
        <v>0</v>
      </c>
      <c r="AZ27" s="68">
        <f t="shared" si="5"/>
        <v>0</v>
      </c>
      <c r="BA27" s="68">
        <f t="shared" si="6"/>
        <v>0</v>
      </c>
      <c r="BB27" s="68">
        <f t="shared" si="7"/>
        <v>0</v>
      </c>
      <c r="BC27" s="68">
        <f t="shared" si="8"/>
        <v>0</v>
      </c>
      <c r="BD27" s="68">
        <f t="shared" si="9"/>
        <v>0</v>
      </c>
      <c r="BE27" s="68">
        <f t="shared" si="10"/>
        <v>0</v>
      </c>
      <c r="BF27" s="68">
        <f t="shared" si="11"/>
        <v>0</v>
      </c>
      <c r="BG27" s="68">
        <f t="shared" si="12"/>
        <v>0</v>
      </c>
      <c r="BH27" s="68">
        <f t="shared" si="13"/>
        <v>0</v>
      </c>
      <c r="BI27" s="68">
        <f t="shared" si="14"/>
        <v>0</v>
      </c>
      <c r="BJ27" s="68">
        <f t="shared" si="15"/>
        <v>0</v>
      </c>
      <c r="BK27" s="68">
        <f t="shared" si="16"/>
        <v>0</v>
      </c>
      <c r="BL27" s="68">
        <f t="shared" si="17"/>
        <v>0</v>
      </c>
      <c r="BM27" s="68">
        <f t="shared" si="18"/>
        <v>0</v>
      </c>
      <c r="BN27" s="68">
        <f t="shared" si="19"/>
        <v>0</v>
      </c>
      <c r="BO27" s="68">
        <f t="shared" si="20"/>
        <v>0</v>
      </c>
      <c r="BP27" s="68">
        <f t="shared" si="21"/>
        <v>0</v>
      </c>
      <c r="BQ27" s="68">
        <f t="shared" si="22"/>
        <v>0</v>
      </c>
      <c r="BR27" s="68">
        <f t="shared" si="23"/>
        <v>0</v>
      </c>
      <c r="BS27" s="68">
        <f t="shared" si="24"/>
        <v>0</v>
      </c>
      <c r="BT27" s="129">
        <f t="shared" si="25"/>
        <v>1</v>
      </c>
      <c r="BU27">
        <f>+VLOOKUP(E27,LogisticsReport!AI:HB,5,FALSE)</f>
        <v>-0.21</v>
      </c>
      <c r="BV27" s="205">
        <f t="shared" si="26"/>
        <v>0</v>
      </c>
    </row>
    <row r="28" spans="1:74" ht="15.75" x14ac:dyDescent="0.25">
      <c r="A28" t="s">
        <v>167</v>
      </c>
      <c r="B28" t="s">
        <v>168</v>
      </c>
      <c r="C28" t="s">
        <v>179</v>
      </c>
      <c r="D28" t="s">
        <v>170</v>
      </c>
      <c r="E28" t="s">
        <v>192</v>
      </c>
      <c r="F28" t="str">
        <f>VLOOKUP(E28,LogisticsReport!AI:AI,1,FALSE)</f>
        <v>SSKE-103503</v>
      </c>
      <c r="G28" t="str">
        <f>INDEX(DailyNetPosition!A:A,MATCH(E28,DailyNetPosition!B:B,0))</f>
        <v>Hedgeable</v>
      </c>
      <c r="H28" t="s">
        <v>179</v>
      </c>
      <c r="I28" t="s">
        <v>188</v>
      </c>
      <c r="J28" s="38">
        <v>45971</v>
      </c>
      <c r="K28">
        <v>-134.4</v>
      </c>
      <c r="L28" s="79">
        <v>-2240</v>
      </c>
      <c r="M28" t="s">
        <v>173</v>
      </c>
      <c r="N28" t="s">
        <v>174</v>
      </c>
      <c r="O28" t="s">
        <v>189</v>
      </c>
      <c r="P28" t="str">
        <f>VLOOKUP(Table3[[#This Row],[Sale Ctr.]],LogisticsReport!AI:AW,15,FALSE)</f>
        <v>2026/07 All - 2026/07 All</v>
      </c>
      <c r="Q28" s="77" t="str">
        <f t="shared" si="0"/>
        <v>2026/07</v>
      </c>
      <c r="R28" s="37" t="str">
        <f t="shared" si="1"/>
        <v>07</v>
      </c>
      <c r="S28">
        <v>175</v>
      </c>
      <c r="T28">
        <v>161.00290000000001</v>
      </c>
      <c r="U28" t="s">
        <v>190</v>
      </c>
      <c r="V28" t="str">
        <f>VLOOKUP(Table3[[#This Row],[Sale Ctr.]],LogisticsReport!AI:DD,74,FALSE)</f>
        <v>KCU/2026</v>
      </c>
      <c r="X28" t="str">
        <f>+VLOOKUP(E28,LogisticsReport!AI:FA,8,FALSE)</f>
        <v>KEMBA</v>
      </c>
      <c r="Y28" s="54">
        <v>625</v>
      </c>
      <c r="Z28" s="67">
        <f>VLOOKUP($Y28,Blends!$D:$AA,2, FALSE)</f>
        <v>0</v>
      </c>
      <c r="AA28" s="67">
        <f>VLOOKUP($Y28,Blends!$D:$AA,3, FALSE)</f>
        <v>0</v>
      </c>
      <c r="AB28" s="67">
        <f>VLOOKUP($Y28,Blends!$D:$AA,4, FALSE)</f>
        <v>0.25</v>
      </c>
      <c r="AC28" s="67">
        <f>VLOOKUP($Y28,Blends!$D:$AA,5, FALSE)</f>
        <v>0</v>
      </c>
      <c r="AD28" s="67">
        <f>VLOOKUP($Y28,Blends!$D:$AA,6, FALSE)</f>
        <v>0</v>
      </c>
      <c r="AE28" s="67">
        <f>VLOOKUP($Y28,Blends!$D:$AA,7, FALSE)</f>
        <v>0</v>
      </c>
      <c r="AF28" s="67">
        <f>VLOOKUP($Y28,Blends!$D:$AA,8, FALSE)</f>
        <v>0.35</v>
      </c>
      <c r="AG28" s="67">
        <f>VLOOKUP($Y28,Blends!$D:$AA,9, FALSE)</f>
        <v>0</v>
      </c>
      <c r="AH28" s="67">
        <f>VLOOKUP($Y28,Blends!$D:$AA,10, FALSE)</f>
        <v>0</v>
      </c>
      <c r="AI28" s="67">
        <f>VLOOKUP($Y28,Blends!$D:$AA,11, FALSE)</f>
        <v>0</v>
      </c>
      <c r="AJ28" s="67">
        <f>VLOOKUP($Y28,Blends!$D:$AA,12, FALSE)</f>
        <v>0</v>
      </c>
      <c r="AK28" s="130">
        <f>VLOOKUP($Y28,Blends!$D:$AA,13, FALSE)</f>
        <v>0.4</v>
      </c>
      <c r="AL28" s="67">
        <f>VLOOKUP($Y28,Blends!$D:$AA,14, FALSE)</f>
        <v>0</v>
      </c>
      <c r="AM28" s="67">
        <f>VLOOKUP($Y28,Blends!$D:$AA,15, FALSE)</f>
        <v>0</v>
      </c>
      <c r="AN28" s="67">
        <f>VLOOKUP($Y28,Blends!$D:$AA,16, FALSE)</f>
        <v>0</v>
      </c>
      <c r="AO28" s="67">
        <f>VLOOKUP($Y28,Blends!$D:$AA,17, FALSE)</f>
        <v>0</v>
      </c>
      <c r="AP28" s="67">
        <f>VLOOKUP($Y28,Blends!$D:$AA,18, FALSE)</f>
        <v>0</v>
      </c>
      <c r="AQ28" s="130">
        <f>VLOOKUP($Y28,Blends!$D:$AA,19, FALSE)</f>
        <v>0</v>
      </c>
      <c r="AR28" s="67">
        <f>VLOOKUP($Y28,Blends!$D:$AA,20, FALSE)</f>
        <v>0</v>
      </c>
      <c r="AS28" s="67">
        <f>VLOOKUP($Y28,Blends!$D:$AA,21, FALSE)</f>
        <v>0</v>
      </c>
      <c r="AT28" s="67">
        <f>VLOOKUP($Y28,Blends!$D:$AA,22, FALSE)</f>
        <v>0</v>
      </c>
      <c r="AU28" s="67">
        <f>VLOOKUP($Y28,Blends!$D:$AA,23, FALSE)</f>
        <v>0</v>
      </c>
      <c r="AV28" s="67">
        <f>VLOOKUP($Y28,Blends!$D:$AA,24, FALSE)</f>
        <v>0</v>
      </c>
      <c r="AW28" s="68">
        <f t="shared" si="2"/>
        <v>0</v>
      </c>
      <c r="AX28" s="68">
        <f t="shared" si="3"/>
        <v>0</v>
      </c>
      <c r="AY28" s="68">
        <f t="shared" si="4"/>
        <v>-560</v>
      </c>
      <c r="AZ28" s="68">
        <f t="shared" si="5"/>
        <v>0</v>
      </c>
      <c r="BA28" s="68">
        <f t="shared" si="6"/>
        <v>0</v>
      </c>
      <c r="BB28" s="68">
        <f t="shared" si="7"/>
        <v>0</v>
      </c>
      <c r="BC28" s="68">
        <f t="shared" si="8"/>
        <v>-784</v>
      </c>
      <c r="BD28" s="68">
        <f t="shared" si="9"/>
        <v>0</v>
      </c>
      <c r="BE28" s="68">
        <f t="shared" si="10"/>
        <v>0</v>
      </c>
      <c r="BF28" s="68">
        <f t="shared" si="11"/>
        <v>0</v>
      </c>
      <c r="BG28" s="68">
        <f t="shared" si="12"/>
        <v>0</v>
      </c>
      <c r="BH28" s="68">
        <f t="shared" si="13"/>
        <v>-896.00000000000011</v>
      </c>
      <c r="BI28" s="68">
        <f t="shared" si="14"/>
        <v>0</v>
      </c>
      <c r="BJ28" s="68">
        <f t="shared" si="15"/>
        <v>0</v>
      </c>
      <c r="BK28" s="68">
        <f t="shared" si="16"/>
        <v>0</v>
      </c>
      <c r="BL28" s="68">
        <f t="shared" si="17"/>
        <v>0</v>
      </c>
      <c r="BM28" s="68">
        <f t="shared" si="18"/>
        <v>0</v>
      </c>
      <c r="BN28" s="68">
        <f t="shared" si="19"/>
        <v>0</v>
      </c>
      <c r="BO28" s="68">
        <f t="shared" si="20"/>
        <v>0</v>
      </c>
      <c r="BP28" s="68">
        <f t="shared" si="21"/>
        <v>0</v>
      </c>
      <c r="BQ28" s="68">
        <f t="shared" si="22"/>
        <v>0</v>
      </c>
      <c r="BR28" s="68">
        <f t="shared" si="23"/>
        <v>0</v>
      </c>
      <c r="BS28" s="68">
        <f t="shared" si="24"/>
        <v>0</v>
      </c>
      <c r="BT28" s="140">
        <f t="shared" si="25"/>
        <v>1</v>
      </c>
      <c r="BU28">
        <f>+VLOOKUP(E28,LogisticsReport!AI:HB,5,FALSE)</f>
        <v>-134.4</v>
      </c>
      <c r="BV28" s="205">
        <f t="shared" si="26"/>
        <v>0</v>
      </c>
    </row>
    <row r="29" spans="1:74" ht="15.75" x14ac:dyDescent="0.25">
      <c r="A29" t="s">
        <v>167</v>
      </c>
      <c r="B29" t="s">
        <v>168</v>
      </c>
      <c r="C29" t="s">
        <v>195</v>
      </c>
      <c r="D29" t="s">
        <v>170</v>
      </c>
      <c r="E29" t="s">
        <v>202</v>
      </c>
      <c r="F29" t="str">
        <f>VLOOKUP(E29,LogisticsReport!AI:AI,1,FALSE)</f>
        <v>SSKE-104927</v>
      </c>
      <c r="G29" t="str">
        <f>INDEX(DailyNetPosition!A:A,MATCH(E29,DailyNetPosition!B:B,0))</f>
        <v>Hedgeable</v>
      </c>
      <c r="H29" s="83" t="s">
        <v>195</v>
      </c>
      <c r="I29" t="s">
        <v>197</v>
      </c>
      <c r="J29" s="38">
        <v>46042</v>
      </c>
      <c r="K29">
        <v>-64.8</v>
      </c>
      <c r="L29" s="79">
        <v>-1080</v>
      </c>
      <c r="M29" t="s">
        <v>173</v>
      </c>
      <c r="N29" t="s">
        <v>174</v>
      </c>
      <c r="O29" t="s">
        <v>189</v>
      </c>
      <c r="P29" t="str">
        <f>VLOOKUP(Table3[[#This Row],[Sale Ctr.]],LogisticsReport!AI:AW,15,FALSE)</f>
        <v>2026/07 All - 2026/07 All</v>
      </c>
      <c r="Q29" s="77" t="str">
        <f t="shared" si="0"/>
        <v>2026/07</v>
      </c>
      <c r="R29" s="37" t="str">
        <f t="shared" si="1"/>
        <v>07</v>
      </c>
      <c r="S29">
        <v>123</v>
      </c>
      <c r="T29">
        <v>111.0001</v>
      </c>
      <c r="U29" t="s">
        <v>198</v>
      </c>
      <c r="V29" t="str">
        <f>VLOOKUP(Table3[[#This Row],[Sale Ctr.]],LogisticsReport!AI:DD,74,FALSE)</f>
        <v>KCZ/2026</v>
      </c>
      <c r="X29" t="str">
        <f>+VLOOKUP(E29,LogisticsReport!AI:FA,8,FALSE)</f>
        <v>KEMBA</v>
      </c>
      <c r="Y29" s="54">
        <v>34</v>
      </c>
      <c r="Z29" s="67">
        <f>VLOOKUP($Y29,Blends!$D:$AA,2, FALSE)</f>
        <v>0</v>
      </c>
      <c r="AA29" s="67">
        <f>VLOOKUP($Y29,Blends!$D:$AA,3, FALSE)</f>
        <v>0</v>
      </c>
      <c r="AB29" s="67">
        <f>VLOOKUP($Y29,Blends!$D:$AA,4, FALSE)</f>
        <v>0</v>
      </c>
      <c r="AC29" s="67">
        <f>VLOOKUP($Y29,Blends!$D:$AA,5, FALSE)</f>
        <v>0.33</v>
      </c>
      <c r="AD29" s="67">
        <f>VLOOKUP($Y29,Blends!$D:$AA,6, FALSE)</f>
        <v>0</v>
      </c>
      <c r="AE29" s="67">
        <f>VLOOKUP($Y29,Blends!$D:$AA,7, FALSE)</f>
        <v>0</v>
      </c>
      <c r="AF29" s="67">
        <f>VLOOKUP($Y29,Blends!$D:$AA,8, FALSE)</f>
        <v>7.0000000000000007E-2</v>
      </c>
      <c r="AG29" s="67">
        <f>VLOOKUP($Y29,Blends!$D:$AA,9, FALSE)</f>
        <v>0.2</v>
      </c>
      <c r="AH29" s="67">
        <f>VLOOKUP($Y29,Blends!$D:$AA,10, FALSE)</f>
        <v>0</v>
      </c>
      <c r="AI29" s="67">
        <f>VLOOKUP($Y29,Blends!$D:$AA,11, FALSE)</f>
        <v>0.15</v>
      </c>
      <c r="AJ29" s="67">
        <f>VLOOKUP($Y29,Blends!$D:$AA,12, FALSE)</f>
        <v>0.02</v>
      </c>
      <c r="AK29" s="130">
        <f>VLOOKUP($Y29,Blends!$D:$AA,13, FALSE)</f>
        <v>0</v>
      </c>
      <c r="AL29" s="67">
        <f>VLOOKUP($Y29,Blends!$D:$AA,14, FALSE)</f>
        <v>0.2</v>
      </c>
      <c r="AM29" s="67">
        <f>VLOOKUP($Y29,Blends!$D:$AA,15, FALSE)</f>
        <v>0</v>
      </c>
      <c r="AN29" s="67">
        <f>VLOOKUP($Y29,Blends!$D:$AA,16, FALSE)</f>
        <v>0</v>
      </c>
      <c r="AO29" s="67">
        <f>VLOOKUP($Y29,Blends!$D:$AA,17, FALSE)</f>
        <v>0.03</v>
      </c>
      <c r="AP29" s="67">
        <f>VLOOKUP($Y29,Blends!$D:$AA,18, FALSE)</f>
        <v>0</v>
      </c>
      <c r="AQ29" s="130">
        <f>VLOOKUP($Y29,Blends!$D:$AA,19, FALSE)</f>
        <v>0</v>
      </c>
      <c r="AR29" s="67">
        <f>VLOOKUP($Y29,Blends!$D:$AA,20, FALSE)</f>
        <v>0</v>
      </c>
      <c r="AS29" s="67">
        <f>VLOOKUP($Y29,Blends!$D:$AA,21, FALSE)</f>
        <v>0</v>
      </c>
      <c r="AT29" s="67">
        <f>VLOOKUP($Y29,Blends!$D:$AA,22, FALSE)</f>
        <v>0</v>
      </c>
      <c r="AU29" s="67">
        <f>VLOOKUP($Y29,Blends!$D:$AA,23, FALSE)</f>
        <v>0</v>
      </c>
      <c r="AV29" s="67">
        <f>VLOOKUP($Y29,Blends!$D:$AA,24, FALSE)</f>
        <v>0</v>
      </c>
      <c r="AW29" s="68">
        <f t="shared" si="2"/>
        <v>0</v>
      </c>
      <c r="AX29" s="68">
        <f t="shared" si="3"/>
        <v>0</v>
      </c>
      <c r="AY29" s="68">
        <f t="shared" si="4"/>
        <v>0</v>
      </c>
      <c r="AZ29" s="68">
        <f t="shared" si="5"/>
        <v>-356.4</v>
      </c>
      <c r="BA29" s="68">
        <f t="shared" si="6"/>
        <v>0</v>
      </c>
      <c r="BB29" s="68">
        <f t="shared" si="7"/>
        <v>0</v>
      </c>
      <c r="BC29" s="68">
        <f t="shared" si="8"/>
        <v>-75.600000000000009</v>
      </c>
      <c r="BD29" s="68">
        <f t="shared" si="9"/>
        <v>-216</v>
      </c>
      <c r="BE29" s="68">
        <f t="shared" si="10"/>
        <v>0</v>
      </c>
      <c r="BF29" s="68">
        <f t="shared" si="11"/>
        <v>-161.99999999999997</v>
      </c>
      <c r="BG29" s="68">
        <f t="shared" si="12"/>
        <v>-21.6</v>
      </c>
      <c r="BH29" s="68">
        <f t="shared" si="13"/>
        <v>0</v>
      </c>
      <c r="BI29" s="68">
        <f t="shared" si="14"/>
        <v>-216</v>
      </c>
      <c r="BJ29" s="68">
        <f t="shared" si="15"/>
        <v>0</v>
      </c>
      <c r="BK29" s="68">
        <f t="shared" si="16"/>
        <v>0</v>
      </c>
      <c r="BL29" s="68">
        <f t="shared" si="17"/>
        <v>-32.4</v>
      </c>
      <c r="BM29" s="68">
        <f t="shared" si="18"/>
        <v>0</v>
      </c>
      <c r="BN29" s="68">
        <f t="shared" si="19"/>
        <v>0</v>
      </c>
      <c r="BO29" s="68">
        <f t="shared" si="20"/>
        <v>0</v>
      </c>
      <c r="BP29" s="68">
        <f t="shared" si="21"/>
        <v>0</v>
      </c>
      <c r="BQ29" s="68">
        <f t="shared" si="22"/>
        <v>0</v>
      </c>
      <c r="BR29" s="68">
        <f t="shared" si="23"/>
        <v>0</v>
      </c>
      <c r="BS29" s="68">
        <f t="shared" si="24"/>
        <v>0</v>
      </c>
      <c r="BT29" s="140">
        <f t="shared" si="25"/>
        <v>1.0000000000000002</v>
      </c>
      <c r="BU29">
        <f>+VLOOKUP(E29,LogisticsReport!AI:HB,5,FALSE)</f>
        <v>-64.8</v>
      </c>
      <c r="BV29" s="205">
        <f t="shared" si="26"/>
        <v>0</v>
      </c>
    </row>
    <row r="30" spans="1:74" ht="15.75" x14ac:dyDescent="0.25">
      <c r="A30" t="s">
        <v>167</v>
      </c>
      <c r="B30" t="s">
        <v>168</v>
      </c>
      <c r="C30" t="s">
        <v>195</v>
      </c>
      <c r="D30" t="s">
        <v>170</v>
      </c>
      <c r="E30" t="s">
        <v>208</v>
      </c>
      <c r="F30" t="str">
        <f>VLOOKUP(E30,LogisticsReport!AI:AI,1,FALSE)</f>
        <v>SSKE-104936</v>
      </c>
      <c r="G30" t="str">
        <f>INDEX(DailyNetPosition!A:A,MATCH(E30,DailyNetPosition!B:B,0))</f>
        <v>Hedgeable</v>
      </c>
      <c r="H30" s="83" t="s">
        <v>195</v>
      </c>
      <c r="I30" t="s">
        <v>197</v>
      </c>
      <c r="J30" s="38">
        <v>46042</v>
      </c>
      <c r="K30">
        <v>-43.2</v>
      </c>
      <c r="L30" s="79">
        <v>-720</v>
      </c>
      <c r="M30" t="s">
        <v>173</v>
      </c>
      <c r="N30" t="s">
        <v>174</v>
      </c>
      <c r="O30" t="s">
        <v>189</v>
      </c>
      <c r="P30" t="str">
        <f>VLOOKUP(Table3[[#This Row],[Sale Ctr.]],LogisticsReport!AI:AW,15,FALSE)</f>
        <v>2026/07 All - 2026/07 All</v>
      </c>
      <c r="Q30" s="77" t="str">
        <f t="shared" si="0"/>
        <v>2026/07</v>
      </c>
      <c r="R30" s="37" t="str">
        <f t="shared" si="1"/>
        <v>07</v>
      </c>
      <c r="S30">
        <v>113</v>
      </c>
      <c r="T30">
        <v>101.0001</v>
      </c>
      <c r="U30" t="s">
        <v>200</v>
      </c>
      <c r="V30" t="str">
        <f>VLOOKUP(Table3[[#This Row],[Sale Ctr.]],LogisticsReport!AI:DD,74,FALSE)</f>
        <v>KCZ/2026</v>
      </c>
      <c r="X30" t="str">
        <f>+VLOOKUP(E30,LogisticsReport!AI:FA,8,FALSE)</f>
        <v>KEMBA</v>
      </c>
      <c r="Y30" s="54">
        <v>34</v>
      </c>
      <c r="Z30" s="67">
        <f>VLOOKUP($Y30,Blends!$D:$AA,2, FALSE)</f>
        <v>0</v>
      </c>
      <c r="AA30" s="67">
        <f>VLOOKUP($Y30,Blends!$D:$AA,3, FALSE)</f>
        <v>0</v>
      </c>
      <c r="AB30" s="67">
        <f>VLOOKUP($Y30,Blends!$D:$AA,4, FALSE)</f>
        <v>0</v>
      </c>
      <c r="AC30" s="67">
        <f>VLOOKUP($Y30,Blends!$D:$AA,5, FALSE)</f>
        <v>0.33</v>
      </c>
      <c r="AD30" s="67">
        <f>VLOOKUP($Y30,Blends!$D:$AA,6, FALSE)</f>
        <v>0</v>
      </c>
      <c r="AE30" s="67">
        <f>VLOOKUP($Y30,Blends!$D:$AA,7, FALSE)</f>
        <v>0</v>
      </c>
      <c r="AF30" s="67">
        <f>VLOOKUP($Y30,Blends!$D:$AA,8, FALSE)</f>
        <v>7.0000000000000007E-2</v>
      </c>
      <c r="AG30" s="67">
        <f>VLOOKUP($Y30,Blends!$D:$AA,9, FALSE)</f>
        <v>0.2</v>
      </c>
      <c r="AH30" s="67">
        <f>VLOOKUP($Y30,Blends!$D:$AA,10, FALSE)</f>
        <v>0</v>
      </c>
      <c r="AI30" s="67">
        <f>VLOOKUP($Y30,Blends!$D:$AA,11, FALSE)</f>
        <v>0.15</v>
      </c>
      <c r="AJ30" s="67">
        <f>VLOOKUP($Y30,Blends!$D:$AA,12, FALSE)</f>
        <v>0.02</v>
      </c>
      <c r="AK30" s="130">
        <f>VLOOKUP($Y30,Blends!$D:$AA,13, FALSE)</f>
        <v>0</v>
      </c>
      <c r="AL30" s="67">
        <f>VLOOKUP($Y30,Blends!$D:$AA,14, FALSE)</f>
        <v>0.2</v>
      </c>
      <c r="AM30" s="67">
        <f>VLOOKUP($Y30,Blends!$D:$AA,15, FALSE)</f>
        <v>0</v>
      </c>
      <c r="AN30" s="67">
        <f>VLOOKUP($Y30,Blends!$D:$AA,16, FALSE)</f>
        <v>0</v>
      </c>
      <c r="AO30" s="67">
        <f>VLOOKUP($Y30,Blends!$D:$AA,17, FALSE)</f>
        <v>0.03</v>
      </c>
      <c r="AP30" s="67">
        <f>VLOOKUP($Y30,Blends!$D:$AA,18, FALSE)</f>
        <v>0</v>
      </c>
      <c r="AQ30" s="130">
        <f>VLOOKUP($Y30,Blends!$D:$AA,19, FALSE)</f>
        <v>0</v>
      </c>
      <c r="AR30" s="67">
        <f>VLOOKUP($Y30,Blends!$D:$AA,20, FALSE)</f>
        <v>0</v>
      </c>
      <c r="AS30" s="67">
        <f>VLOOKUP($Y30,Blends!$D:$AA,21, FALSE)</f>
        <v>0</v>
      </c>
      <c r="AT30" s="67">
        <f>VLOOKUP($Y30,Blends!$D:$AA,22, FALSE)</f>
        <v>0</v>
      </c>
      <c r="AU30" s="67">
        <f>VLOOKUP($Y30,Blends!$D:$AA,23, FALSE)</f>
        <v>0</v>
      </c>
      <c r="AV30" s="67">
        <f>VLOOKUP($Y30,Blends!$D:$AA,24, FALSE)</f>
        <v>0</v>
      </c>
      <c r="AW30" s="68">
        <f t="shared" si="2"/>
        <v>0</v>
      </c>
      <c r="AX30" s="68">
        <f t="shared" si="3"/>
        <v>0</v>
      </c>
      <c r="AY30" s="68">
        <f t="shared" si="4"/>
        <v>0</v>
      </c>
      <c r="AZ30" s="68">
        <f t="shared" si="5"/>
        <v>-237.60000000000002</v>
      </c>
      <c r="BA30" s="68">
        <f t="shared" si="6"/>
        <v>0</v>
      </c>
      <c r="BB30" s="68">
        <f t="shared" si="7"/>
        <v>0</v>
      </c>
      <c r="BC30" s="68">
        <f t="shared" si="8"/>
        <v>-50.400000000000006</v>
      </c>
      <c r="BD30" s="68">
        <f t="shared" si="9"/>
        <v>-144</v>
      </c>
      <c r="BE30" s="68">
        <f t="shared" si="10"/>
        <v>0</v>
      </c>
      <c r="BF30" s="68">
        <f t="shared" si="11"/>
        <v>-108</v>
      </c>
      <c r="BG30" s="68">
        <f t="shared" si="12"/>
        <v>-14.400000000000002</v>
      </c>
      <c r="BH30" s="68">
        <f t="shared" si="13"/>
        <v>0</v>
      </c>
      <c r="BI30" s="68">
        <f t="shared" si="14"/>
        <v>-144</v>
      </c>
      <c r="BJ30" s="68">
        <f t="shared" si="15"/>
        <v>0</v>
      </c>
      <c r="BK30" s="68">
        <f t="shared" si="16"/>
        <v>0</v>
      </c>
      <c r="BL30" s="68">
        <f t="shared" si="17"/>
        <v>-21.6</v>
      </c>
      <c r="BM30" s="68">
        <f t="shared" si="18"/>
        <v>0</v>
      </c>
      <c r="BN30" s="68">
        <f t="shared" si="19"/>
        <v>0</v>
      </c>
      <c r="BO30" s="68">
        <f t="shared" si="20"/>
        <v>0</v>
      </c>
      <c r="BP30" s="68">
        <f t="shared" si="21"/>
        <v>0</v>
      </c>
      <c r="BQ30" s="68">
        <f t="shared" si="22"/>
        <v>0</v>
      </c>
      <c r="BR30" s="68">
        <f t="shared" si="23"/>
        <v>0</v>
      </c>
      <c r="BS30" s="68">
        <f t="shared" si="24"/>
        <v>0</v>
      </c>
      <c r="BT30" s="140">
        <f t="shared" si="25"/>
        <v>1.0000000000000002</v>
      </c>
      <c r="BU30">
        <f>+VLOOKUP(E30,LogisticsReport!AI:HB,5,FALSE)</f>
        <v>-43.2</v>
      </c>
      <c r="BV30" s="205">
        <f t="shared" si="26"/>
        <v>0</v>
      </c>
    </row>
    <row r="31" spans="1:74" ht="15.75" x14ac:dyDescent="0.25">
      <c r="A31" t="s">
        <v>167</v>
      </c>
      <c r="B31" t="s">
        <v>168</v>
      </c>
      <c r="C31" t="s">
        <v>179</v>
      </c>
      <c r="D31" t="s">
        <v>170</v>
      </c>
      <c r="E31" t="s">
        <v>230</v>
      </c>
      <c r="F31" t="str">
        <f>VLOOKUP(E31,LogisticsReport!AI:AI,1,FALSE)</f>
        <v>SSKE-107775</v>
      </c>
      <c r="G31" t="str">
        <f>INDEX(DailyNetPosition!A:A,MATCH(E31,DailyNetPosition!B:B,0))</f>
        <v>Hedgeable</v>
      </c>
      <c r="H31" s="133" t="s">
        <v>179</v>
      </c>
      <c r="I31" s="133" t="s">
        <v>227</v>
      </c>
      <c r="J31" s="149">
        <v>46150</v>
      </c>
      <c r="K31" s="133">
        <v>-19.2</v>
      </c>
      <c r="L31" s="133">
        <v>-320</v>
      </c>
      <c r="M31" s="133" t="s">
        <v>173</v>
      </c>
      <c r="N31" s="133" t="s">
        <v>174</v>
      </c>
      <c r="O31" s="133" t="s">
        <v>205</v>
      </c>
      <c r="P31" t="str">
        <f>VLOOKUP(Table3[[#This Row],[Sale Ctr.]],LogisticsReport!AI:AW,15,FALSE)</f>
        <v>2026/07 All - 2026/07 All</v>
      </c>
      <c r="Q31" s="77" t="str">
        <f t="shared" si="0"/>
        <v>2026/07</v>
      </c>
      <c r="R31" s="37" t="str">
        <f t="shared" si="1"/>
        <v>07</v>
      </c>
      <c r="S31">
        <v>70</v>
      </c>
      <c r="T31">
        <v>65.200900000000004</v>
      </c>
      <c r="U31" t="s">
        <v>48</v>
      </c>
      <c r="V31" t="s">
        <v>232</v>
      </c>
      <c r="W31" t="s">
        <v>228</v>
      </c>
      <c r="Y31" s="54">
        <v>23</v>
      </c>
      <c r="Z31" s="67">
        <f>VLOOKUP($Y31,Blends!$D:$AA,2, FALSE)</f>
        <v>0</v>
      </c>
      <c r="AA31" s="67">
        <f>VLOOKUP($Y31,Blends!$D:$AA,3, FALSE)</f>
        <v>0</v>
      </c>
      <c r="AB31" s="67">
        <f>VLOOKUP($Y31,Blends!$D:$AA,4, FALSE)</f>
        <v>0</v>
      </c>
      <c r="AC31" s="67">
        <f>VLOOKUP($Y31,Blends!$D:$AA,5, FALSE)</f>
        <v>0</v>
      </c>
      <c r="AD31" s="67">
        <f>VLOOKUP($Y31,Blends!$D:$AA,6, FALSE)</f>
        <v>0</v>
      </c>
      <c r="AE31" s="67">
        <f>VLOOKUP($Y31,Blends!$D:$AA,7, FALSE)</f>
        <v>0</v>
      </c>
      <c r="AF31" s="67">
        <f>VLOOKUP($Y31,Blends!$D:$AA,8, FALSE)</f>
        <v>0</v>
      </c>
      <c r="AG31" s="130">
        <f>VLOOKUP($Y31,Blends!$D:$AA,9, FALSE)</f>
        <v>0</v>
      </c>
      <c r="AH31" s="130">
        <f>VLOOKUP($Y31,Blends!$D:$AA,10, FALSE)</f>
        <v>0</v>
      </c>
      <c r="AI31" s="67">
        <f>VLOOKUP($Y31,Blends!$D:$AA,11, FALSE)</f>
        <v>0</v>
      </c>
      <c r="AJ31" s="67">
        <f>VLOOKUP($Y31,Blends!$D:$AA,12, FALSE)</f>
        <v>0</v>
      </c>
      <c r="AK31" s="130">
        <f>VLOOKUP($Y31,Blends!$D:$AA,13, FALSE)</f>
        <v>1</v>
      </c>
      <c r="AL31" s="130">
        <f>VLOOKUP($Y31,Blends!$D:$AA,14, FALSE)</f>
        <v>0</v>
      </c>
      <c r="AM31" s="130">
        <f>VLOOKUP($Y31,Blends!$D:$AA,15, FALSE)</f>
        <v>0</v>
      </c>
      <c r="AN31" s="130">
        <f>VLOOKUP($Y31,Blends!$D:$AA,16, FALSE)</f>
        <v>0</v>
      </c>
      <c r="AO31" s="130">
        <f>VLOOKUP($Y31,Blends!$D:$AA,17, FALSE)</f>
        <v>0</v>
      </c>
      <c r="AP31" s="67">
        <f>VLOOKUP($Y31,Blends!$D:$AA,18, FALSE)</f>
        <v>0</v>
      </c>
      <c r="AQ31" s="130">
        <f>VLOOKUP($Y31,Blends!$D:$AA,19, FALSE)</f>
        <v>0</v>
      </c>
      <c r="AR31" s="67">
        <f>VLOOKUP($Y31,Blends!$D:$AA,20, FALSE)</f>
        <v>0</v>
      </c>
      <c r="AS31" s="67">
        <f>VLOOKUP($Y31,Blends!$D:$AA,21, FALSE)</f>
        <v>0</v>
      </c>
      <c r="AT31" s="67">
        <f>VLOOKUP($Y31,Blends!$D:$AA,22, FALSE)</f>
        <v>0</v>
      </c>
      <c r="AU31" s="67">
        <f>VLOOKUP($Y31,Blends!$D:$AA,23, FALSE)</f>
        <v>0</v>
      </c>
      <c r="AV31" s="67">
        <f>VLOOKUP($Y31,Blends!$D:$AA,24, FALSE)</f>
        <v>0</v>
      </c>
      <c r="AW31" s="128">
        <f t="shared" si="2"/>
        <v>0</v>
      </c>
      <c r="AX31" s="128">
        <f t="shared" si="3"/>
        <v>0</v>
      </c>
      <c r="AY31" s="128">
        <f t="shared" si="4"/>
        <v>0</v>
      </c>
      <c r="AZ31" s="128">
        <f t="shared" si="5"/>
        <v>0</v>
      </c>
      <c r="BA31" s="128">
        <f t="shared" si="6"/>
        <v>0</v>
      </c>
      <c r="BB31" s="128">
        <f t="shared" si="7"/>
        <v>0</v>
      </c>
      <c r="BC31" s="128">
        <f t="shared" si="8"/>
        <v>0</v>
      </c>
      <c r="BD31" s="128">
        <f t="shared" si="9"/>
        <v>0</v>
      </c>
      <c r="BE31" s="128">
        <f t="shared" si="10"/>
        <v>0</v>
      </c>
      <c r="BF31" s="128">
        <f t="shared" si="11"/>
        <v>0</v>
      </c>
      <c r="BG31" s="128">
        <f t="shared" si="12"/>
        <v>0</v>
      </c>
      <c r="BH31" s="128">
        <f t="shared" si="13"/>
        <v>-320</v>
      </c>
      <c r="BI31" s="128">
        <f t="shared" si="14"/>
        <v>0</v>
      </c>
      <c r="BJ31" s="128">
        <f t="shared" si="15"/>
        <v>0</v>
      </c>
      <c r="BK31" s="128">
        <f t="shared" si="16"/>
        <v>0</v>
      </c>
      <c r="BL31" s="128">
        <f t="shared" si="17"/>
        <v>0</v>
      </c>
      <c r="BM31" s="128">
        <f t="shared" si="18"/>
        <v>0</v>
      </c>
      <c r="BN31" s="128">
        <f t="shared" si="19"/>
        <v>0</v>
      </c>
      <c r="BO31" s="128">
        <f t="shared" si="20"/>
        <v>0</v>
      </c>
      <c r="BP31" s="128">
        <f t="shared" si="21"/>
        <v>0</v>
      </c>
      <c r="BQ31" s="128">
        <f t="shared" si="22"/>
        <v>0</v>
      </c>
      <c r="BR31" s="128">
        <f t="shared" si="23"/>
        <v>0</v>
      </c>
      <c r="BS31" s="128">
        <f t="shared" si="24"/>
        <v>0</v>
      </c>
      <c r="BT31" s="129">
        <f t="shared" si="25"/>
        <v>1</v>
      </c>
      <c r="BU31">
        <f>+VLOOKUP(E31,LogisticsReport!AI:HB,5,FALSE)</f>
        <v>-19.2</v>
      </c>
      <c r="BV31" s="205">
        <f t="shared" si="26"/>
        <v>0</v>
      </c>
    </row>
    <row r="32" spans="1:74" ht="15.75" x14ac:dyDescent="0.25">
      <c r="A32" t="s">
        <v>167</v>
      </c>
      <c r="B32" t="s">
        <v>168</v>
      </c>
      <c r="C32" t="s">
        <v>195</v>
      </c>
      <c r="D32" t="s">
        <v>170</v>
      </c>
      <c r="E32" t="s">
        <v>243</v>
      </c>
      <c r="F32" t="str">
        <f>VLOOKUP(E32,LogisticsReport!AI:AI,1,FALSE)</f>
        <v>SSKE-107245</v>
      </c>
      <c r="G32" t="str">
        <f>INDEX(DailyNetPosition!A:A,MATCH(E32,DailyNetPosition!B:B,0))</f>
        <v>Hedgeable</v>
      </c>
      <c r="H32" s="133" t="s">
        <v>195</v>
      </c>
      <c r="I32" s="133" t="s">
        <v>227</v>
      </c>
      <c r="J32" s="149">
        <v>46125</v>
      </c>
      <c r="K32" s="133">
        <v>-19.2</v>
      </c>
      <c r="L32" s="133">
        <v>-320</v>
      </c>
      <c r="M32" s="133" t="s">
        <v>173</v>
      </c>
      <c r="N32" s="133" t="s">
        <v>174</v>
      </c>
      <c r="O32" s="133" t="s">
        <v>205</v>
      </c>
      <c r="P32" t="str">
        <f>VLOOKUP(Table3[[#This Row],[Sale Ctr.]],LogisticsReport!AI:AW,15,FALSE)</f>
        <v>2026/07 All - 2026/07 All</v>
      </c>
      <c r="Q32" s="77" t="str">
        <f t="shared" si="0"/>
        <v>2026/07</v>
      </c>
      <c r="R32" s="37" t="str">
        <f t="shared" si="1"/>
        <v>07</v>
      </c>
      <c r="S32">
        <v>35</v>
      </c>
      <c r="T32">
        <v>30.196400000000001</v>
      </c>
      <c r="U32" t="s">
        <v>51</v>
      </c>
      <c r="V32" t="s">
        <v>232</v>
      </c>
      <c r="W32" t="s">
        <v>228</v>
      </c>
      <c r="Y32" s="54">
        <v>320425</v>
      </c>
      <c r="Z32" s="67">
        <f>VLOOKUP($Y32,Blends!$D:$AA,2, FALSE)</f>
        <v>0</v>
      </c>
      <c r="AA32" s="67">
        <f>VLOOKUP($Y32,Blends!$D:$AA,3, FALSE)</f>
        <v>0</v>
      </c>
      <c r="AB32" s="67">
        <f>VLOOKUP($Y32,Blends!$D:$AA,4, FALSE)</f>
        <v>0</v>
      </c>
      <c r="AC32" s="67">
        <f>VLOOKUP($Y32,Blends!$D:$AA,5, FALSE)</f>
        <v>0</v>
      </c>
      <c r="AD32" s="67">
        <f>VLOOKUP($Y32,Blends!$D:$AA,6, FALSE)</f>
        <v>0</v>
      </c>
      <c r="AE32" s="67">
        <f>VLOOKUP($Y32,Blends!$D:$AA,7, FALSE)</f>
        <v>0</v>
      </c>
      <c r="AF32" s="67">
        <f>VLOOKUP($Y32,Blends!$D:$AA,8, FALSE)</f>
        <v>0</v>
      </c>
      <c r="AG32" s="67">
        <f>VLOOKUP($Y32,Blends!$D:$AA,9, FALSE)</f>
        <v>0</v>
      </c>
      <c r="AH32" s="67">
        <f>VLOOKUP($Y32,Blends!$D:$AA,10, FALSE)</f>
        <v>0</v>
      </c>
      <c r="AI32" s="67">
        <f>VLOOKUP($Y32,Blends!$D:$AA,11, FALSE)</f>
        <v>0</v>
      </c>
      <c r="AJ32" s="67">
        <f>VLOOKUP($Y32,Blends!$D:$AA,12, FALSE)</f>
        <v>0</v>
      </c>
      <c r="AK32" s="130">
        <f>VLOOKUP($Y32,Blends!$D:$AA,13, FALSE)</f>
        <v>0</v>
      </c>
      <c r="AL32" s="67">
        <f>VLOOKUP($Y32,Blends!$D:$AA,14, FALSE)</f>
        <v>1</v>
      </c>
      <c r="AM32" s="67">
        <f>VLOOKUP($Y32,Blends!$D:$AA,15, FALSE)</f>
        <v>0</v>
      </c>
      <c r="AN32" s="67">
        <f>VLOOKUP($Y32,Blends!$D:$AA,16, FALSE)</f>
        <v>0</v>
      </c>
      <c r="AO32" s="67">
        <f>VLOOKUP($Y32,Blends!$D:$AA,17, FALSE)</f>
        <v>0</v>
      </c>
      <c r="AP32" s="67">
        <f>VLOOKUP($Y32,Blends!$D:$AA,18, FALSE)</f>
        <v>0</v>
      </c>
      <c r="AQ32" s="130">
        <f>VLOOKUP($Y32,Blends!$D:$AA,19, FALSE)</f>
        <v>0</v>
      </c>
      <c r="AR32" s="67">
        <f>VLOOKUP($Y32,Blends!$D:$AA,20, FALSE)</f>
        <v>0</v>
      </c>
      <c r="AS32" s="67">
        <f>VLOOKUP($Y32,Blends!$D:$AA,21, FALSE)</f>
        <v>0</v>
      </c>
      <c r="AT32" s="67">
        <f>VLOOKUP($Y32,Blends!$D:$AA,22, FALSE)</f>
        <v>0</v>
      </c>
      <c r="AU32" s="67">
        <f>VLOOKUP($Y32,Blends!$D:$AA,23, FALSE)</f>
        <v>0</v>
      </c>
      <c r="AV32" s="67">
        <f>VLOOKUP($Y32,Blends!$D:$AA,24, FALSE)</f>
        <v>0</v>
      </c>
      <c r="AW32" s="68">
        <f t="shared" si="2"/>
        <v>0</v>
      </c>
      <c r="AX32" s="68">
        <f t="shared" si="3"/>
        <v>0</v>
      </c>
      <c r="AY32" s="68">
        <f t="shared" si="4"/>
        <v>0</v>
      </c>
      <c r="AZ32" s="68">
        <f t="shared" si="5"/>
        <v>0</v>
      </c>
      <c r="BA32" s="68">
        <f t="shared" si="6"/>
        <v>0</v>
      </c>
      <c r="BB32" s="68">
        <f t="shared" si="7"/>
        <v>0</v>
      </c>
      <c r="BC32" s="68">
        <f t="shared" si="8"/>
        <v>0</v>
      </c>
      <c r="BD32" s="68">
        <f t="shared" si="9"/>
        <v>0</v>
      </c>
      <c r="BE32" s="68">
        <f t="shared" si="10"/>
        <v>0</v>
      </c>
      <c r="BF32" s="68">
        <f t="shared" si="11"/>
        <v>0</v>
      </c>
      <c r="BG32" s="68">
        <f t="shared" si="12"/>
        <v>0</v>
      </c>
      <c r="BH32" s="68">
        <f t="shared" si="13"/>
        <v>0</v>
      </c>
      <c r="BI32" s="68">
        <f t="shared" si="14"/>
        <v>-320</v>
      </c>
      <c r="BJ32" s="68">
        <f t="shared" si="15"/>
        <v>0</v>
      </c>
      <c r="BK32" s="68">
        <f t="shared" si="16"/>
        <v>0</v>
      </c>
      <c r="BL32" s="68">
        <f t="shared" si="17"/>
        <v>0</v>
      </c>
      <c r="BM32" s="68">
        <f t="shared" si="18"/>
        <v>0</v>
      </c>
      <c r="BN32" s="68">
        <f t="shared" si="19"/>
        <v>0</v>
      </c>
      <c r="BO32" s="68">
        <f t="shared" si="20"/>
        <v>0</v>
      </c>
      <c r="BP32" s="68">
        <f t="shared" si="21"/>
        <v>0</v>
      </c>
      <c r="BQ32" s="68">
        <f t="shared" si="22"/>
        <v>0</v>
      </c>
      <c r="BR32" s="68">
        <f t="shared" si="23"/>
        <v>0</v>
      </c>
      <c r="BS32" s="68">
        <f t="shared" si="24"/>
        <v>0</v>
      </c>
      <c r="BT32" s="129">
        <f t="shared" si="25"/>
        <v>1</v>
      </c>
      <c r="BU32">
        <f>+VLOOKUP(E32,LogisticsReport!AI:HB,5,FALSE)</f>
        <v>-19.2</v>
      </c>
      <c r="BV32" s="205">
        <f t="shared" si="26"/>
        <v>0</v>
      </c>
    </row>
    <row r="33" spans="1:74" ht="15.75" x14ac:dyDescent="0.25">
      <c r="A33" t="s">
        <v>167</v>
      </c>
      <c r="B33" t="s">
        <v>168</v>
      </c>
      <c r="C33" t="s">
        <v>179</v>
      </c>
      <c r="D33" t="s">
        <v>170</v>
      </c>
      <c r="E33" t="s">
        <v>284</v>
      </c>
      <c r="F33" t="str">
        <f>VLOOKUP(E33,LogisticsReport!AI:AI,1,FALSE)</f>
        <v>SSKE-107937</v>
      </c>
      <c r="G33" t="str">
        <f>INDEX(DailyNetPosition!A:A,MATCH(E33,DailyNetPosition!B:B,0))</f>
        <v>Hedgeable</v>
      </c>
      <c r="H33" s="133" t="s">
        <v>179</v>
      </c>
      <c r="I33" s="133" t="s">
        <v>285</v>
      </c>
      <c r="J33" s="149">
        <v>46157</v>
      </c>
      <c r="K33" s="133">
        <v>-19.2</v>
      </c>
      <c r="L33" s="133">
        <v>-320</v>
      </c>
      <c r="M33" s="133" t="s">
        <v>286</v>
      </c>
      <c r="N33" s="133" t="s">
        <v>183</v>
      </c>
      <c r="O33" s="133" t="s">
        <v>277</v>
      </c>
      <c r="P33" t="str">
        <f>VLOOKUP(Table3[[#This Row],[Sale Ctr.]],LogisticsReport!AI:AW,15,FALSE)</f>
        <v>2026/07 All - 2026/07 All</v>
      </c>
      <c r="Q33" s="77" t="str">
        <f t="shared" si="0"/>
        <v>2026/07</v>
      </c>
      <c r="R33" s="37" t="str">
        <f t="shared" si="1"/>
        <v>07</v>
      </c>
      <c r="S33">
        <v>125</v>
      </c>
      <c r="T33">
        <v>95.179100000000005</v>
      </c>
      <c r="U33" t="s">
        <v>287</v>
      </c>
      <c r="V33" t="s">
        <v>186</v>
      </c>
      <c r="Y33" s="54">
        <v>100</v>
      </c>
      <c r="Z33" s="67">
        <f>VLOOKUP($Y33,Blends!$D:$AA,2, FALSE)</f>
        <v>1</v>
      </c>
      <c r="AA33" s="67">
        <f>VLOOKUP($Y33,Blends!$D:$AA,3, FALSE)</f>
        <v>0</v>
      </c>
      <c r="AB33" s="67">
        <f>VLOOKUP($Y33,Blends!$D:$AA,4, FALSE)</f>
        <v>0</v>
      </c>
      <c r="AC33" s="67">
        <f>VLOOKUP($Y33,Blends!$D:$AA,5, FALSE)</f>
        <v>0</v>
      </c>
      <c r="AD33" s="67">
        <f>VLOOKUP($Y33,Blends!$D:$AA,6, FALSE)</f>
        <v>0</v>
      </c>
      <c r="AE33" s="67">
        <f>VLOOKUP($Y33,Blends!$D:$AA,7, FALSE)</f>
        <v>0</v>
      </c>
      <c r="AF33" s="67">
        <f>VLOOKUP($Y33,Blends!$D:$AA,8, FALSE)</f>
        <v>0</v>
      </c>
      <c r="AG33" s="67">
        <f>VLOOKUP($Y33,Blends!$D:$AA,9, FALSE)</f>
        <v>0</v>
      </c>
      <c r="AH33" s="67">
        <f>VLOOKUP($Y33,Blends!$D:$AA,10, FALSE)</f>
        <v>0</v>
      </c>
      <c r="AI33" s="67">
        <f>VLOOKUP($Y33,Blends!$D:$AA,11, FALSE)</f>
        <v>0</v>
      </c>
      <c r="AJ33" s="67">
        <f>VLOOKUP($Y33,Blends!$D:$AA,12, FALSE)</f>
        <v>0</v>
      </c>
      <c r="AK33" s="130">
        <f>VLOOKUP($Y33,Blends!$D:$AA,13, FALSE)</f>
        <v>0</v>
      </c>
      <c r="AL33" s="67">
        <f>VLOOKUP($Y33,Blends!$D:$AA,14, FALSE)</f>
        <v>0</v>
      </c>
      <c r="AM33" s="67">
        <f>VLOOKUP($Y33,Blends!$D:$AA,15, FALSE)</f>
        <v>0</v>
      </c>
      <c r="AN33" s="67">
        <f>VLOOKUP($Y33,Blends!$D:$AA,16, FALSE)</f>
        <v>0</v>
      </c>
      <c r="AO33" s="67">
        <f>VLOOKUP($Y33,Blends!$D:$AA,17, FALSE)</f>
        <v>0</v>
      </c>
      <c r="AP33" s="67">
        <f>VLOOKUP($Y33,Blends!$D:$AA,18, FALSE)</f>
        <v>0</v>
      </c>
      <c r="AQ33" s="130">
        <f>VLOOKUP($Y33,Blends!$D:$AA,19, FALSE)</f>
        <v>0</v>
      </c>
      <c r="AR33" s="67">
        <f>VLOOKUP($Y33,Blends!$D:$AA,20, FALSE)</f>
        <v>0</v>
      </c>
      <c r="AS33" s="67">
        <f>VLOOKUP($Y33,Blends!$D:$AA,21, FALSE)</f>
        <v>0</v>
      </c>
      <c r="AT33" s="67">
        <f>VLOOKUP($Y33,Blends!$D:$AA,22, FALSE)</f>
        <v>0</v>
      </c>
      <c r="AU33" s="67">
        <f>VLOOKUP($Y33,Blends!$D:$AA,23, FALSE)</f>
        <v>0</v>
      </c>
      <c r="AV33" s="67">
        <f>VLOOKUP($Y33,Blends!$D:$AA,24, FALSE)</f>
        <v>0</v>
      </c>
      <c r="AW33" s="68">
        <f t="shared" si="2"/>
        <v>-320</v>
      </c>
      <c r="AX33" s="68">
        <f t="shared" si="3"/>
        <v>0</v>
      </c>
      <c r="AY33" s="68">
        <f t="shared" si="4"/>
        <v>0</v>
      </c>
      <c r="AZ33" s="68">
        <f t="shared" si="5"/>
        <v>0</v>
      </c>
      <c r="BA33" s="68">
        <f t="shared" si="6"/>
        <v>0</v>
      </c>
      <c r="BB33" s="68">
        <f t="shared" si="7"/>
        <v>0</v>
      </c>
      <c r="BC33" s="68">
        <f t="shared" si="8"/>
        <v>0</v>
      </c>
      <c r="BD33" s="68">
        <f t="shared" si="9"/>
        <v>0</v>
      </c>
      <c r="BE33" s="68">
        <f t="shared" si="10"/>
        <v>0</v>
      </c>
      <c r="BF33" s="68">
        <f t="shared" si="11"/>
        <v>0</v>
      </c>
      <c r="BG33" s="68">
        <f t="shared" si="12"/>
        <v>0</v>
      </c>
      <c r="BH33" s="68">
        <f t="shared" si="13"/>
        <v>0</v>
      </c>
      <c r="BI33" s="68">
        <f t="shared" si="14"/>
        <v>0</v>
      </c>
      <c r="BJ33" s="68">
        <f t="shared" si="15"/>
        <v>0</v>
      </c>
      <c r="BK33" s="68">
        <f t="shared" si="16"/>
        <v>0</v>
      </c>
      <c r="BL33" s="68">
        <f t="shared" si="17"/>
        <v>0</v>
      </c>
      <c r="BM33" s="68">
        <f t="shared" si="18"/>
        <v>0</v>
      </c>
      <c r="BN33" s="68">
        <f t="shared" si="19"/>
        <v>0</v>
      </c>
      <c r="BO33" s="68">
        <f t="shared" si="20"/>
        <v>0</v>
      </c>
      <c r="BP33" s="68">
        <f t="shared" si="21"/>
        <v>0</v>
      </c>
      <c r="BQ33" s="68">
        <f t="shared" si="22"/>
        <v>0</v>
      </c>
      <c r="BR33" s="68">
        <f t="shared" si="23"/>
        <v>0</v>
      </c>
      <c r="BS33" s="68">
        <f t="shared" si="24"/>
        <v>0</v>
      </c>
      <c r="BT33" s="129">
        <f t="shared" si="25"/>
        <v>1</v>
      </c>
      <c r="BU33">
        <f>+VLOOKUP(E33,LogisticsReport!AI:HB,5,FALSE)</f>
        <v>-19.2</v>
      </c>
      <c r="BV33" s="205">
        <f t="shared" si="26"/>
        <v>0</v>
      </c>
    </row>
    <row r="34" spans="1:74" ht="15.75" x14ac:dyDescent="0.25">
      <c r="A34" t="s">
        <v>167</v>
      </c>
      <c r="B34" t="s">
        <v>168</v>
      </c>
      <c r="C34" t="s">
        <v>224</v>
      </c>
      <c r="D34" t="s">
        <v>170</v>
      </c>
      <c r="E34" t="s">
        <v>307</v>
      </c>
      <c r="F34" t="str">
        <f>VLOOKUP(E34,LogisticsReport!AI:AI,1,FALSE)</f>
        <v>SSKE-108289</v>
      </c>
      <c r="G34" t="str">
        <f>INDEX(DailyNetPosition!A:A,MATCH(E34,DailyNetPosition!B:B,0))</f>
        <v>Hedgeable</v>
      </c>
      <c r="H34" s="133" t="s">
        <v>224</v>
      </c>
      <c r="I34" s="133" t="s">
        <v>308</v>
      </c>
      <c r="J34" s="149">
        <v>46171</v>
      </c>
      <c r="K34" s="133">
        <v>-21.6</v>
      </c>
      <c r="L34" s="133">
        <v>-360</v>
      </c>
      <c r="M34" s="133" t="s">
        <v>173</v>
      </c>
      <c r="N34" s="133" t="s">
        <v>174</v>
      </c>
      <c r="O34" s="133" t="s">
        <v>189</v>
      </c>
      <c r="P34" t="str">
        <f>VLOOKUP(Table3[[#This Row],[Sale Ctr.]],LogisticsReport!AI:AW,15,FALSE)</f>
        <v>2026/07 First - 2026/07 First</v>
      </c>
      <c r="Q34" s="77" t="str">
        <f t="shared" ref="Q34:Q65" si="27">+LEFT(P34,7)</f>
        <v>2026/07</v>
      </c>
      <c r="R34" s="37" t="str">
        <f t="shared" ref="R34:R65" si="28">+RIGHT(Q34,2)</f>
        <v>07</v>
      </c>
      <c r="S34">
        <v>50</v>
      </c>
      <c r="T34">
        <v>47.997399999999999</v>
      </c>
      <c r="U34" t="s">
        <v>309</v>
      </c>
      <c r="V34" t="s">
        <v>232</v>
      </c>
      <c r="Y34" s="54">
        <v>55</v>
      </c>
      <c r="Z34" s="67">
        <f>VLOOKUP($Y34,Blends!$D:$AA,2, FALSE)</f>
        <v>0</v>
      </c>
      <c r="AA34" s="67">
        <f>VLOOKUP($Y34,Blends!$D:$AA,3, FALSE)</f>
        <v>0</v>
      </c>
      <c r="AB34" s="67">
        <f>VLOOKUP($Y34,Blends!$D:$AA,4, FALSE)</f>
        <v>0</v>
      </c>
      <c r="AC34" s="67">
        <f>VLOOKUP($Y34,Blends!$D:$AA,5, FALSE)</f>
        <v>0</v>
      </c>
      <c r="AD34" s="67">
        <f>VLOOKUP($Y34,Blends!$D:$AA,6, FALSE)</f>
        <v>0</v>
      </c>
      <c r="AE34" s="67">
        <f>VLOOKUP($Y34,Blends!$D:$AA,7, FALSE)</f>
        <v>0</v>
      </c>
      <c r="AF34" s="67">
        <f>VLOOKUP($Y34,Blends!$D:$AA,8, FALSE)</f>
        <v>0</v>
      </c>
      <c r="AG34" s="67">
        <f>VLOOKUP($Y34,Blends!$D:$AA,9, FALSE)</f>
        <v>0</v>
      </c>
      <c r="AH34" s="67">
        <f>VLOOKUP($Y34,Blends!$D:$AA,10, FALSE)</f>
        <v>0</v>
      </c>
      <c r="AI34" s="67">
        <f>VLOOKUP($Y34,Blends!$D:$AA,11, FALSE)</f>
        <v>0</v>
      </c>
      <c r="AJ34" s="67">
        <f>VLOOKUP($Y34,Blends!$D:$AA,12, FALSE)</f>
        <v>0</v>
      </c>
      <c r="AK34" s="130">
        <f>VLOOKUP($Y34,Blends!$D:$AA,13, FALSE)</f>
        <v>0</v>
      </c>
      <c r="AL34" s="67">
        <f>VLOOKUP($Y34,Blends!$D:$AA,14, FALSE)</f>
        <v>0</v>
      </c>
      <c r="AM34" s="67">
        <f>VLOOKUP($Y34,Blends!$D:$AA,15, FALSE)</f>
        <v>0</v>
      </c>
      <c r="AN34" s="67">
        <f>VLOOKUP($Y34,Blends!$D:$AA,16, FALSE)</f>
        <v>0.5</v>
      </c>
      <c r="AO34" s="67">
        <f>VLOOKUP($Y34,Blends!$D:$AA,17, FALSE)</f>
        <v>0</v>
      </c>
      <c r="AP34" s="67">
        <f>VLOOKUP($Y34,Blends!$D:$AA,18, FALSE)</f>
        <v>0</v>
      </c>
      <c r="AQ34" s="130">
        <f>VLOOKUP($Y34,Blends!$D:$AA,19, FALSE)</f>
        <v>0.5</v>
      </c>
      <c r="AR34" s="67">
        <f>VLOOKUP($Y34,Blends!$D:$AA,20, FALSE)</f>
        <v>0</v>
      </c>
      <c r="AS34" s="67">
        <f>VLOOKUP($Y34,Blends!$D:$AA,21, FALSE)</f>
        <v>0</v>
      </c>
      <c r="AT34" s="67">
        <f>VLOOKUP($Y34,Blends!$D:$AA,22, FALSE)</f>
        <v>0</v>
      </c>
      <c r="AU34" s="67">
        <f>VLOOKUP($Y34,Blends!$D:$AA,23, FALSE)</f>
        <v>0</v>
      </c>
      <c r="AV34" s="67">
        <f>VLOOKUP($Y34,Blends!$D:$AA,24, FALSE)</f>
        <v>0</v>
      </c>
      <c r="AW34" s="68">
        <f t="shared" ref="AW34:AW61" si="29">+($K34*Z34)*1000/60</f>
        <v>0</v>
      </c>
      <c r="AX34" s="68">
        <f t="shared" ref="AX34:AX61" si="30">+($K34*AA34)*1000/60</f>
        <v>0</v>
      </c>
      <c r="AY34" s="68">
        <f t="shared" ref="AY34:AY61" si="31">+($K34*AB34)*1000/60</f>
        <v>0</v>
      </c>
      <c r="AZ34" s="68">
        <f t="shared" ref="AZ34:AZ61" si="32">+($K34*AC34)*1000/60</f>
        <v>0</v>
      </c>
      <c r="BA34" s="68">
        <f t="shared" ref="BA34:BA61" si="33">+($K34*AD34)*1000/60</f>
        <v>0</v>
      </c>
      <c r="BB34" s="68">
        <f t="shared" ref="BB34:BB61" si="34">+($K34*AE34)*1000/60</f>
        <v>0</v>
      </c>
      <c r="BC34" s="68">
        <f t="shared" ref="BC34:BC61" si="35">+($K34*AF34)*1000/60</f>
        <v>0</v>
      </c>
      <c r="BD34" s="68">
        <f t="shared" ref="BD34:BD61" si="36">+($K34*AG34)*1000/60</f>
        <v>0</v>
      </c>
      <c r="BE34" s="68">
        <f t="shared" ref="BE34:BE61" si="37">+($K34*AH34)*1000/60</f>
        <v>0</v>
      </c>
      <c r="BF34" s="68">
        <f t="shared" ref="BF34:BF61" si="38">+($K34*AI34)*1000/60</f>
        <v>0</v>
      </c>
      <c r="BG34" s="68">
        <f t="shared" ref="BG34:BG61" si="39">+($K34*AJ34)*1000/60</f>
        <v>0</v>
      </c>
      <c r="BH34" s="68">
        <f t="shared" ref="BH34:BH61" si="40">+($K34*AK34)*1000/60</f>
        <v>0</v>
      </c>
      <c r="BI34" s="68">
        <f t="shared" ref="BI34:BI61" si="41">+($K34*AL34)*1000/60</f>
        <v>0</v>
      </c>
      <c r="BJ34" s="68">
        <f t="shared" ref="BJ34:BJ61" si="42">+($K34*AM34)*1000/60</f>
        <v>0</v>
      </c>
      <c r="BK34" s="68">
        <f t="shared" ref="BK34:BK61" si="43">+($K34*AN34)*1000/60</f>
        <v>-180</v>
      </c>
      <c r="BL34" s="68">
        <f t="shared" ref="BL34:BL61" si="44">+($K34*AO34)*1000/60</f>
        <v>0</v>
      </c>
      <c r="BM34" s="68">
        <f t="shared" ref="BM34:BM61" si="45">+($K34*AP34)*1000/60</f>
        <v>0</v>
      </c>
      <c r="BN34" s="68">
        <f t="shared" ref="BN34:BN61" si="46">+($K34*AQ34)*1000/60</f>
        <v>-180</v>
      </c>
      <c r="BO34" s="68">
        <f t="shared" ref="BO34:BO61" si="47">+($K34*AR34)*1000/60</f>
        <v>0</v>
      </c>
      <c r="BP34" s="68">
        <f t="shared" ref="BP34:BP61" si="48">+($K34*AS34)*1000/60</f>
        <v>0</v>
      </c>
      <c r="BQ34" s="68">
        <f t="shared" ref="BQ34:BQ61" si="49">+($K34*AT34)*1000/60</f>
        <v>0</v>
      </c>
      <c r="BR34" s="68">
        <f t="shared" ref="BR34:BR61" si="50">+($K34*AU34)*1000/60</f>
        <v>0</v>
      </c>
      <c r="BS34" s="68">
        <f t="shared" ref="BS34:BS61" si="51">+($K34*AV34)*1000/60</f>
        <v>0</v>
      </c>
      <c r="BT34" s="129">
        <f t="shared" ref="BT34:BT61" si="52">+SUM(Z34:AV34)</f>
        <v>1</v>
      </c>
      <c r="BU34">
        <f>+VLOOKUP(E34,LogisticsReport!AI:HB,5,FALSE)</f>
        <v>-21.6</v>
      </c>
      <c r="BV34" s="205">
        <f t="shared" ref="BV34:BV65" si="53">+BU34-K34</f>
        <v>0</v>
      </c>
    </row>
    <row r="35" spans="1:74" ht="15.75" x14ac:dyDescent="0.25">
      <c r="A35" t="s">
        <v>167</v>
      </c>
      <c r="B35" t="s">
        <v>168</v>
      </c>
      <c r="C35" t="s">
        <v>179</v>
      </c>
      <c r="D35" t="s">
        <v>170</v>
      </c>
      <c r="E35" t="s">
        <v>322</v>
      </c>
      <c r="F35" t="str">
        <f>VLOOKUP(E35,LogisticsReport!AI:AI,1,FALSE)</f>
        <v>SSKE-103498</v>
      </c>
      <c r="G35" t="str">
        <f>INDEX(DailyNetPosition!A:A,MATCH(E35,DailyNetPosition!B:B,0))</f>
        <v>Hedgeable</v>
      </c>
      <c r="H35" s="133" t="s">
        <v>179</v>
      </c>
      <c r="I35" s="133" t="s">
        <v>188</v>
      </c>
      <c r="J35" s="149">
        <v>45971</v>
      </c>
      <c r="K35" s="133">
        <v>-172.8</v>
      </c>
      <c r="L35" s="133">
        <v>-2880</v>
      </c>
      <c r="M35" s="133" t="s">
        <v>173</v>
      </c>
      <c r="N35" s="133" t="s">
        <v>174</v>
      </c>
      <c r="O35" s="133" t="s">
        <v>189</v>
      </c>
      <c r="P35" t="str">
        <f>VLOOKUP(Table3[[#This Row],[Sale Ctr.]],LogisticsReport!AI:AW,15,FALSE)</f>
        <v>2026/07 All - 2026/07 All</v>
      </c>
      <c r="Q35" s="77" t="str">
        <f t="shared" si="27"/>
        <v>2026/07</v>
      </c>
      <c r="R35" s="37" t="str">
        <f t="shared" si="28"/>
        <v>07</v>
      </c>
      <c r="S35">
        <v>175</v>
      </c>
      <c r="T35">
        <v>161.00290000000001</v>
      </c>
      <c r="U35" t="s">
        <v>194</v>
      </c>
      <c r="V35" t="s">
        <v>232</v>
      </c>
      <c r="W35" t="s">
        <v>206</v>
      </c>
      <c r="X35" t="s">
        <v>323</v>
      </c>
      <c r="Y35" s="54">
        <v>91</v>
      </c>
      <c r="Z35" s="67">
        <f>VLOOKUP($Y35,Blends!$D:$AA,2, FALSE)</f>
        <v>0</v>
      </c>
      <c r="AA35" s="67">
        <f>VLOOKUP($Y35,Blends!$D:$AA,3, FALSE)</f>
        <v>1</v>
      </c>
      <c r="AB35" s="67">
        <f>VLOOKUP($Y35,Blends!$D:$AA,4, FALSE)</f>
        <v>0</v>
      </c>
      <c r="AC35" s="67">
        <f>VLOOKUP($Y35,Blends!$D:$AA,5, FALSE)</f>
        <v>0</v>
      </c>
      <c r="AD35" s="67">
        <f>VLOOKUP($Y35,Blends!$D:$AA,6, FALSE)</f>
        <v>0</v>
      </c>
      <c r="AE35" s="67">
        <f>VLOOKUP($Y35,Blends!$D:$AA,7, FALSE)</f>
        <v>0</v>
      </c>
      <c r="AF35" s="67">
        <f>VLOOKUP($Y35,Blends!$D:$AA,8, FALSE)</f>
        <v>0</v>
      </c>
      <c r="AG35" s="67">
        <f>VLOOKUP($Y35,Blends!$D:$AA,9, FALSE)</f>
        <v>0</v>
      </c>
      <c r="AH35" s="67">
        <f>VLOOKUP($Y35,Blends!$D:$AA,10, FALSE)</f>
        <v>0</v>
      </c>
      <c r="AI35" s="67">
        <f>VLOOKUP($Y35,Blends!$D:$AA,11, FALSE)</f>
        <v>0</v>
      </c>
      <c r="AJ35" s="67">
        <f>VLOOKUP($Y35,Blends!$D:$AA,12, FALSE)</f>
        <v>0</v>
      </c>
      <c r="AK35" s="130">
        <f>VLOOKUP($Y35,Blends!$D:$AA,13, FALSE)</f>
        <v>0</v>
      </c>
      <c r="AL35" s="67">
        <f>VLOOKUP($Y35,Blends!$D:$AA,14, FALSE)</f>
        <v>0</v>
      </c>
      <c r="AM35" s="67">
        <f>VLOOKUP($Y35,Blends!$D:$AA,15, FALSE)</f>
        <v>0</v>
      </c>
      <c r="AN35" s="67">
        <f>VLOOKUP($Y35,Blends!$D:$AA,16, FALSE)</f>
        <v>0</v>
      </c>
      <c r="AO35" s="67">
        <f>VLOOKUP($Y35,Blends!$D:$AA,17, FALSE)</f>
        <v>0</v>
      </c>
      <c r="AP35" s="67">
        <f>VLOOKUP($Y35,Blends!$D:$AA,18, FALSE)</f>
        <v>0</v>
      </c>
      <c r="AQ35" s="130">
        <f>VLOOKUP($Y35,Blends!$D:$AA,19, FALSE)</f>
        <v>0</v>
      </c>
      <c r="AR35" s="67">
        <f>VLOOKUP($Y35,Blends!$D:$AA,20, FALSE)</f>
        <v>0</v>
      </c>
      <c r="AS35" s="67">
        <f>VLOOKUP($Y35,Blends!$D:$AA,21, FALSE)</f>
        <v>0</v>
      </c>
      <c r="AT35" s="67">
        <f>VLOOKUP($Y35,Blends!$D:$AA,22, FALSE)</f>
        <v>0</v>
      </c>
      <c r="AU35" s="67">
        <f>VLOOKUP($Y35,Blends!$D:$AA,23, FALSE)</f>
        <v>0</v>
      </c>
      <c r="AV35" s="67">
        <f>VLOOKUP($Y35,Blends!$D:$AA,24, FALSE)</f>
        <v>0</v>
      </c>
      <c r="AW35" s="68">
        <f t="shared" si="29"/>
        <v>0</v>
      </c>
      <c r="AX35" s="68">
        <f t="shared" si="30"/>
        <v>-2880</v>
      </c>
      <c r="AY35" s="68">
        <f t="shared" si="31"/>
        <v>0</v>
      </c>
      <c r="AZ35" s="68">
        <f t="shared" si="32"/>
        <v>0</v>
      </c>
      <c r="BA35" s="68">
        <f t="shared" si="33"/>
        <v>0</v>
      </c>
      <c r="BB35" s="68">
        <f t="shared" si="34"/>
        <v>0</v>
      </c>
      <c r="BC35" s="68">
        <f t="shared" si="35"/>
        <v>0</v>
      </c>
      <c r="BD35" s="68">
        <f t="shared" si="36"/>
        <v>0</v>
      </c>
      <c r="BE35" s="68">
        <f t="shared" si="37"/>
        <v>0</v>
      </c>
      <c r="BF35" s="68">
        <f t="shared" si="38"/>
        <v>0</v>
      </c>
      <c r="BG35" s="68">
        <f t="shared" si="39"/>
        <v>0</v>
      </c>
      <c r="BH35" s="68">
        <f t="shared" si="40"/>
        <v>0</v>
      </c>
      <c r="BI35" s="68">
        <f t="shared" si="41"/>
        <v>0</v>
      </c>
      <c r="BJ35" s="68">
        <f t="shared" si="42"/>
        <v>0</v>
      </c>
      <c r="BK35" s="68">
        <f t="shared" si="43"/>
        <v>0</v>
      </c>
      <c r="BL35" s="68">
        <f t="shared" si="44"/>
        <v>0</v>
      </c>
      <c r="BM35" s="68">
        <f t="shared" si="45"/>
        <v>0</v>
      </c>
      <c r="BN35" s="68">
        <f t="shared" si="46"/>
        <v>0</v>
      </c>
      <c r="BO35" s="68">
        <f t="shared" si="47"/>
        <v>0</v>
      </c>
      <c r="BP35" s="68">
        <f t="shared" si="48"/>
        <v>0</v>
      </c>
      <c r="BQ35" s="68">
        <f t="shared" si="49"/>
        <v>0</v>
      </c>
      <c r="BR35" s="68">
        <f t="shared" si="50"/>
        <v>0</v>
      </c>
      <c r="BS35" s="68">
        <f t="shared" si="51"/>
        <v>0</v>
      </c>
      <c r="BT35" s="129">
        <f t="shared" si="52"/>
        <v>1</v>
      </c>
      <c r="BU35">
        <f>+VLOOKUP(E35,LogisticsReport!AI:HB,5,FALSE)</f>
        <v>-172.8</v>
      </c>
      <c r="BV35" s="205">
        <f t="shared" si="53"/>
        <v>0</v>
      </c>
    </row>
    <row r="36" spans="1:74" ht="15.75" x14ac:dyDescent="0.25">
      <c r="A36" t="s">
        <v>167</v>
      </c>
      <c r="B36" t="s">
        <v>168</v>
      </c>
      <c r="C36" t="s">
        <v>195</v>
      </c>
      <c r="D36" t="s">
        <v>170</v>
      </c>
      <c r="E36" t="s">
        <v>310</v>
      </c>
      <c r="F36" t="str">
        <f>VLOOKUP(E36,LogisticsReport!AI:AI,1,FALSE)</f>
        <v>SSKE-108297</v>
      </c>
      <c r="G36" t="str">
        <f>INDEX(DailyNetPosition!A:A,MATCH(E36,DailyNetPosition!B:B,0))</f>
        <v>Hedgeable</v>
      </c>
      <c r="H36" s="133" t="s">
        <v>195</v>
      </c>
      <c r="I36" s="133" t="s">
        <v>285</v>
      </c>
      <c r="J36" s="149">
        <v>46174</v>
      </c>
      <c r="K36" s="133">
        <v>-19.2</v>
      </c>
      <c r="L36" s="133">
        <v>-320</v>
      </c>
      <c r="M36" s="133" t="s">
        <v>286</v>
      </c>
      <c r="N36" s="133" t="s">
        <v>183</v>
      </c>
      <c r="O36" s="133" t="s">
        <v>311</v>
      </c>
      <c r="P36" t="str">
        <f>VLOOKUP(Table3[[#This Row],[Sale Ctr.]],LogisticsReport!AI:AW,15,FALSE)</f>
        <v>2026/07 All - 2026/07 All</v>
      </c>
      <c r="Q36" s="77" t="str">
        <f t="shared" si="27"/>
        <v>2026/07</v>
      </c>
      <c r="R36" s="37" t="str">
        <f t="shared" si="28"/>
        <v>07</v>
      </c>
      <c r="S36">
        <v>70</v>
      </c>
      <c r="T36">
        <v>35.295099999999998</v>
      </c>
      <c r="U36" t="s">
        <v>240</v>
      </c>
      <c r="V36" t="s">
        <v>232</v>
      </c>
      <c r="Y36" s="54">
        <v>31</v>
      </c>
      <c r="Z36" s="67">
        <f>VLOOKUP($Y36,Blends!$D:$AA,2, FALSE)</f>
        <v>0</v>
      </c>
      <c r="AA36" s="67">
        <f>VLOOKUP($Y36,Blends!$D:$AA,3, FALSE)</f>
        <v>0</v>
      </c>
      <c r="AB36" s="67">
        <f>VLOOKUP($Y36,Blends!$D:$AA,4, FALSE)</f>
        <v>0</v>
      </c>
      <c r="AC36" s="67">
        <f>VLOOKUP($Y36,Blends!$D:$AA,5, FALSE)</f>
        <v>0</v>
      </c>
      <c r="AD36" s="67">
        <f>VLOOKUP($Y36,Blends!$D:$AA,6, FALSE)</f>
        <v>0</v>
      </c>
      <c r="AE36" s="67">
        <f>VLOOKUP($Y36,Blends!$D:$AA,7, FALSE)</f>
        <v>0</v>
      </c>
      <c r="AF36" s="67">
        <f>VLOOKUP($Y36,Blends!$D:$AA,8, FALSE)</f>
        <v>0</v>
      </c>
      <c r="AG36" s="67">
        <f>VLOOKUP($Y36,Blends!$D:$AA,9, FALSE)</f>
        <v>0</v>
      </c>
      <c r="AH36" s="67">
        <f>VLOOKUP($Y36,Blends!$D:$AA,10, FALSE)</f>
        <v>0</v>
      </c>
      <c r="AI36" s="67">
        <f>VLOOKUP($Y36,Blends!$D:$AA,11, FALSE)</f>
        <v>0</v>
      </c>
      <c r="AJ36" s="67">
        <f>VLOOKUP($Y36,Blends!$D:$AA,12, FALSE)</f>
        <v>0</v>
      </c>
      <c r="AK36" s="130">
        <f>VLOOKUP($Y36,Blends!$D:$AA,13, FALSE)</f>
        <v>0</v>
      </c>
      <c r="AL36" s="67">
        <f>VLOOKUP($Y36,Blends!$D:$AA,14, FALSE)</f>
        <v>1</v>
      </c>
      <c r="AM36" s="67">
        <f>VLOOKUP($Y36,Blends!$D:$AA,15, FALSE)</f>
        <v>0</v>
      </c>
      <c r="AN36" s="67">
        <f>VLOOKUP($Y36,Blends!$D:$AA,16, FALSE)</f>
        <v>0</v>
      </c>
      <c r="AO36" s="67">
        <f>VLOOKUP($Y36,Blends!$D:$AA,17, FALSE)</f>
        <v>0</v>
      </c>
      <c r="AP36" s="67">
        <f>VLOOKUP($Y36,Blends!$D:$AA,18, FALSE)</f>
        <v>0</v>
      </c>
      <c r="AQ36" s="130">
        <f>VLOOKUP($Y36,Blends!$D:$AA,19, FALSE)</f>
        <v>0</v>
      </c>
      <c r="AR36" s="67">
        <f>VLOOKUP($Y36,Blends!$D:$AA,20, FALSE)</f>
        <v>0</v>
      </c>
      <c r="AS36" s="67">
        <f>VLOOKUP($Y36,Blends!$D:$AA,21, FALSE)</f>
        <v>0</v>
      </c>
      <c r="AT36" s="67">
        <f>VLOOKUP($Y36,Blends!$D:$AA,22, FALSE)</f>
        <v>0</v>
      </c>
      <c r="AU36" s="67">
        <f>VLOOKUP($Y36,Blends!$D:$AA,23, FALSE)</f>
        <v>0</v>
      </c>
      <c r="AV36" s="67">
        <f>VLOOKUP($Y36,Blends!$D:$AA,24, FALSE)</f>
        <v>0</v>
      </c>
      <c r="AW36" s="68">
        <f t="shared" si="29"/>
        <v>0</v>
      </c>
      <c r="AX36" s="68">
        <f t="shared" si="30"/>
        <v>0</v>
      </c>
      <c r="AY36" s="68">
        <f t="shared" si="31"/>
        <v>0</v>
      </c>
      <c r="AZ36" s="68">
        <f t="shared" si="32"/>
        <v>0</v>
      </c>
      <c r="BA36" s="68">
        <f t="shared" si="33"/>
        <v>0</v>
      </c>
      <c r="BB36" s="68">
        <f t="shared" si="34"/>
        <v>0</v>
      </c>
      <c r="BC36" s="68">
        <f t="shared" si="35"/>
        <v>0</v>
      </c>
      <c r="BD36" s="68">
        <f t="shared" si="36"/>
        <v>0</v>
      </c>
      <c r="BE36" s="68">
        <f t="shared" si="37"/>
        <v>0</v>
      </c>
      <c r="BF36" s="68">
        <f t="shared" si="38"/>
        <v>0</v>
      </c>
      <c r="BG36" s="68">
        <f t="shared" si="39"/>
        <v>0</v>
      </c>
      <c r="BH36" s="68">
        <f t="shared" si="40"/>
        <v>0</v>
      </c>
      <c r="BI36" s="68">
        <f t="shared" si="41"/>
        <v>-320</v>
      </c>
      <c r="BJ36" s="68">
        <f t="shared" si="42"/>
        <v>0</v>
      </c>
      <c r="BK36" s="68">
        <f t="shared" si="43"/>
        <v>0</v>
      </c>
      <c r="BL36" s="68">
        <f t="shared" si="44"/>
        <v>0</v>
      </c>
      <c r="BM36" s="68">
        <f t="shared" si="45"/>
        <v>0</v>
      </c>
      <c r="BN36" s="68">
        <f t="shared" si="46"/>
        <v>0</v>
      </c>
      <c r="BO36" s="68">
        <f t="shared" si="47"/>
        <v>0</v>
      </c>
      <c r="BP36" s="68">
        <f t="shared" si="48"/>
        <v>0</v>
      </c>
      <c r="BQ36" s="68">
        <f t="shared" si="49"/>
        <v>0</v>
      </c>
      <c r="BR36" s="68">
        <f t="shared" si="50"/>
        <v>0</v>
      </c>
      <c r="BS36" s="68">
        <f t="shared" si="51"/>
        <v>0</v>
      </c>
      <c r="BT36" s="129">
        <f t="shared" si="52"/>
        <v>1</v>
      </c>
      <c r="BU36">
        <f>+VLOOKUP(E36,LogisticsReport!AI:HB,5,FALSE)</f>
        <v>-19.2</v>
      </c>
      <c r="BV36" s="205">
        <f t="shared" si="53"/>
        <v>0</v>
      </c>
    </row>
    <row r="37" spans="1:74" ht="15.75" x14ac:dyDescent="0.25">
      <c r="A37" t="s">
        <v>167</v>
      </c>
      <c r="B37" t="s">
        <v>168</v>
      </c>
      <c r="C37" t="s">
        <v>179</v>
      </c>
      <c r="D37" t="s">
        <v>170</v>
      </c>
      <c r="E37" t="s">
        <v>193</v>
      </c>
      <c r="F37" t="str">
        <f>VLOOKUP(E37,LogisticsReport!AI:AI,1,FALSE)</f>
        <v>SSKE-103499</v>
      </c>
      <c r="G37" t="str">
        <f>INDEX(DailyNetPosition!A:A,MATCH(E37,DailyNetPosition!B:B,0))</f>
        <v>Hedgeable</v>
      </c>
      <c r="H37" t="s">
        <v>179</v>
      </c>
      <c r="I37" t="s">
        <v>188</v>
      </c>
      <c r="J37" s="38">
        <v>45971</v>
      </c>
      <c r="K37">
        <v>-134.4</v>
      </c>
      <c r="L37" s="79">
        <v>-2240</v>
      </c>
      <c r="M37" t="s">
        <v>173</v>
      </c>
      <c r="N37" t="s">
        <v>174</v>
      </c>
      <c r="O37" t="s">
        <v>189</v>
      </c>
      <c r="P37" t="str">
        <f>VLOOKUP(Table3[[#This Row],[Sale Ctr.]],LogisticsReport!AI:AW,15,FALSE)</f>
        <v>2026/08 All - 2026/08 All</v>
      </c>
      <c r="Q37" s="77" t="str">
        <f t="shared" si="27"/>
        <v>2026/08</v>
      </c>
      <c r="R37" s="37" t="str">
        <f t="shared" si="28"/>
        <v>08</v>
      </c>
      <c r="S37">
        <v>175</v>
      </c>
      <c r="T37">
        <v>161.00290000000001</v>
      </c>
      <c r="U37" t="s">
        <v>194</v>
      </c>
      <c r="V37" t="str">
        <f>VLOOKUP(Table3[[#This Row],[Sale Ctr.]],LogisticsReport!AI:DD,74,FALSE)</f>
        <v>KCU/2026</v>
      </c>
      <c r="X37" t="str">
        <f>+VLOOKUP(E37,LogisticsReport!AI:FA,8,FALSE)</f>
        <v>KEMBA</v>
      </c>
      <c r="Y37" s="54">
        <v>625</v>
      </c>
      <c r="Z37" s="67">
        <f>VLOOKUP($Y37,Blends!$D:$AA,2, FALSE)</f>
        <v>0</v>
      </c>
      <c r="AA37" s="67">
        <f>VLOOKUP($Y37,Blends!$D:$AA,3, FALSE)</f>
        <v>0</v>
      </c>
      <c r="AB37" s="67">
        <f>VLOOKUP($Y37,Blends!$D:$AA,4, FALSE)</f>
        <v>0.25</v>
      </c>
      <c r="AC37" s="67">
        <f>VLOOKUP($Y37,Blends!$D:$AA,5, FALSE)</f>
        <v>0</v>
      </c>
      <c r="AD37" s="67">
        <f>VLOOKUP($Y37,Blends!$D:$AA,6, FALSE)</f>
        <v>0</v>
      </c>
      <c r="AE37" s="67">
        <f>VLOOKUP($Y37,Blends!$D:$AA,7, FALSE)</f>
        <v>0</v>
      </c>
      <c r="AF37" s="67">
        <f>VLOOKUP($Y37,Blends!$D:$AA,8, FALSE)</f>
        <v>0.35</v>
      </c>
      <c r="AG37" s="67">
        <f>VLOOKUP($Y37,Blends!$D:$AA,9, FALSE)</f>
        <v>0</v>
      </c>
      <c r="AH37" s="67">
        <f>VLOOKUP($Y37,Blends!$D:$AA,10, FALSE)</f>
        <v>0</v>
      </c>
      <c r="AI37" s="67">
        <f>VLOOKUP($Y37,Blends!$D:$AA,11, FALSE)</f>
        <v>0</v>
      </c>
      <c r="AJ37" s="67">
        <f>VLOOKUP($Y37,Blends!$D:$AA,12, FALSE)</f>
        <v>0</v>
      </c>
      <c r="AK37" s="130">
        <f>VLOOKUP($Y37,Blends!$D:$AA,13, FALSE)</f>
        <v>0.4</v>
      </c>
      <c r="AL37" s="67">
        <f>VLOOKUP($Y37,Blends!$D:$AA,14, FALSE)</f>
        <v>0</v>
      </c>
      <c r="AM37" s="67">
        <f>VLOOKUP($Y37,Blends!$D:$AA,15, FALSE)</f>
        <v>0</v>
      </c>
      <c r="AN37" s="67">
        <f>VLOOKUP($Y37,Blends!$D:$AA,16, FALSE)</f>
        <v>0</v>
      </c>
      <c r="AO37" s="67">
        <f>VLOOKUP($Y37,Blends!$D:$AA,17, FALSE)</f>
        <v>0</v>
      </c>
      <c r="AP37" s="67">
        <f>VLOOKUP($Y37,Blends!$D:$AA,18, FALSE)</f>
        <v>0</v>
      </c>
      <c r="AQ37" s="130">
        <f>VLOOKUP($Y37,Blends!$D:$AA,19, FALSE)</f>
        <v>0</v>
      </c>
      <c r="AR37" s="67">
        <f>VLOOKUP($Y37,Blends!$D:$AA,20, FALSE)</f>
        <v>0</v>
      </c>
      <c r="AS37" s="67">
        <f>VLOOKUP($Y37,Blends!$D:$AA,21, FALSE)</f>
        <v>0</v>
      </c>
      <c r="AT37" s="67">
        <f>VLOOKUP($Y37,Blends!$D:$AA,22, FALSE)</f>
        <v>0</v>
      </c>
      <c r="AU37" s="67">
        <f>VLOOKUP($Y37,Blends!$D:$AA,23, FALSE)</f>
        <v>0</v>
      </c>
      <c r="AV37" s="67">
        <f>VLOOKUP($Y37,Blends!$D:$AA,24, FALSE)</f>
        <v>0</v>
      </c>
      <c r="AW37" s="68">
        <f t="shared" si="29"/>
        <v>0</v>
      </c>
      <c r="AX37" s="68">
        <f t="shared" si="30"/>
        <v>0</v>
      </c>
      <c r="AY37" s="68">
        <f t="shared" si="31"/>
        <v>-560</v>
      </c>
      <c r="AZ37" s="68">
        <f t="shared" si="32"/>
        <v>0</v>
      </c>
      <c r="BA37" s="68">
        <f t="shared" si="33"/>
        <v>0</v>
      </c>
      <c r="BB37" s="68">
        <f t="shared" si="34"/>
        <v>0</v>
      </c>
      <c r="BC37" s="68">
        <f t="shared" si="35"/>
        <v>-784</v>
      </c>
      <c r="BD37" s="68">
        <f t="shared" si="36"/>
        <v>0</v>
      </c>
      <c r="BE37" s="68">
        <f t="shared" si="37"/>
        <v>0</v>
      </c>
      <c r="BF37" s="68">
        <f t="shared" si="38"/>
        <v>0</v>
      </c>
      <c r="BG37" s="68">
        <f t="shared" si="39"/>
        <v>0</v>
      </c>
      <c r="BH37" s="68">
        <f t="shared" si="40"/>
        <v>-896.00000000000011</v>
      </c>
      <c r="BI37" s="68">
        <f t="shared" si="41"/>
        <v>0</v>
      </c>
      <c r="BJ37" s="68">
        <f t="shared" si="42"/>
        <v>0</v>
      </c>
      <c r="BK37" s="68">
        <f t="shared" si="43"/>
        <v>0</v>
      </c>
      <c r="BL37" s="68">
        <f t="shared" si="44"/>
        <v>0</v>
      </c>
      <c r="BM37" s="68">
        <f t="shared" si="45"/>
        <v>0</v>
      </c>
      <c r="BN37" s="68">
        <f t="shared" si="46"/>
        <v>0</v>
      </c>
      <c r="BO37" s="68">
        <f t="shared" si="47"/>
        <v>0</v>
      </c>
      <c r="BP37" s="68">
        <f t="shared" si="48"/>
        <v>0</v>
      </c>
      <c r="BQ37" s="68">
        <f t="shared" si="49"/>
        <v>0</v>
      </c>
      <c r="BR37" s="68">
        <f t="shared" si="50"/>
        <v>0</v>
      </c>
      <c r="BS37" s="68">
        <f t="shared" si="51"/>
        <v>0</v>
      </c>
      <c r="BT37" s="140">
        <f t="shared" si="52"/>
        <v>1</v>
      </c>
      <c r="BU37">
        <f>+VLOOKUP(E37,LogisticsReport!AI:HB,5,FALSE)</f>
        <v>-134.4</v>
      </c>
      <c r="BV37" s="205">
        <f t="shared" si="53"/>
        <v>0</v>
      </c>
    </row>
    <row r="38" spans="1:74" ht="15.75" x14ac:dyDescent="0.25">
      <c r="A38" t="s">
        <v>167</v>
      </c>
      <c r="B38" t="s">
        <v>168</v>
      </c>
      <c r="C38" t="s">
        <v>179</v>
      </c>
      <c r="D38" t="s">
        <v>170</v>
      </c>
      <c r="E38" t="s">
        <v>201</v>
      </c>
      <c r="F38" t="str">
        <f>VLOOKUP(E38,LogisticsReport!AI:AI,1,FALSE)</f>
        <v>SSKE-103504</v>
      </c>
      <c r="G38" t="str">
        <f>INDEX(DailyNetPosition!A:A,MATCH(E38,DailyNetPosition!B:B,0))</f>
        <v>Hedgeable</v>
      </c>
      <c r="H38" t="s">
        <v>179</v>
      </c>
      <c r="I38" t="s">
        <v>188</v>
      </c>
      <c r="J38" s="38">
        <v>45971</v>
      </c>
      <c r="K38">
        <v>-153.6</v>
      </c>
      <c r="L38" s="79">
        <v>-2560</v>
      </c>
      <c r="M38" t="s">
        <v>173</v>
      </c>
      <c r="N38" t="s">
        <v>174</v>
      </c>
      <c r="O38" t="s">
        <v>189</v>
      </c>
      <c r="P38" t="str">
        <f>VLOOKUP(Table3[[#This Row],[Sale Ctr.]],LogisticsReport!AI:AW,15,FALSE)</f>
        <v>2026/08 All - 2026/08 All</v>
      </c>
      <c r="Q38" s="77" t="str">
        <f t="shared" si="27"/>
        <v>2026/08</v>
      </c>
      <c r="R38" s="37" t="str">
        <f t="shared" si="28"/>
        <v>08</v>
      </c>
      <c r="S38">
        <v>175</v>
      </c>
      <c r="T38">
        <v>161.00290000000001</v>
      </c>
      <c r="U38" t="s">
        <v>190</v>
      </c>
      <c r="V38" t="str">
        <f>VLOOKUP(Table3[[#This Row],[Sale Ctr.]],LogisticsReport!AI:DD,74,FALSE)</f>
        <v>KCU/2026</v>
      </c>
      <c r="X38" t="str">
        <f>+VLOOKUP(E38,LogisticsReport!AI:FA,8,FALSE)</f>
        <v>KEMBA</v>
      </c>
      <c r="Y38" s="54">
        <v>625</v>
      </c>
      <c r="Z38" s="67">
        <f>VLOOKUP($Y38,Blends!$D:$AA,2, FALSE)</f>
        <v>0</v>
      </c>
      <c r="AA38" s="67">
        <f>VLOOKUP($Y38,Blends!$D:$AA,3, FALSE)</f>
        <v>0</v>
      </c>
      <c r="AB38" s="67">
        <f>VLOOKUP($Y38,Blends!$D:$AA,4, FALSE)</f>
        <v>0.25</v>
      </c>
      <c r="AC38" s="67">
        <f>VLOOKUP($Y38,Blends!$D:$AA,5, FALSE)</f>
        <v>0</v>
      </c>
      <c r="AD38" s="67">
        <f>VLOOKUP($Y38,Blends!$D:$AA,6, FALSE)</f>
        <v>0</v>
      </c>
      <c r="AE38" s="67">
        <f>VLOOKUP($Y38,Blends!$D:$AA,7, FALSE)</f>
        <v>0</v>
      </c>
      <c r="AF38" s="67">
        <f>VLOOKUP($Y38,Blends!$D:$AA,8, FALSE)</f>
        <v>0.35</v>
      </c>
      <c r="AG38" s="67">
        <f>VLOOKUP($Y38,Blends!$D:$AA,9, FALSE)</f>
        <v>0</v>
      </c>
      <c r="AH38" s="67">
        <f>VLOOKUP($Y38,Blends!$D:$AA,10, FALSE)</f>
        <v>0</v>
      </c>
      <c r="AI38" s="67">
        <f>VLOOKUP($Y38,Blends!$D:$AA,11, FALSE)</f>
        <v>0</v>
      </c>
      <c r="AJ38" s="67">
        <f>VLOOKUP($Y38,Blends!$D:$AA,12, FALSE)</f>
        <v>0</v>
      </c>
      <c r="AK38" s="130">
        <f>VLOOKUP($Y38,Blends!$D:$AA,13, FALSE)</f>
        <v>0.4</v>
      </c>
      <c r="AL38" s="67">
        <f>VLOOKUP($Y38,Blends!$D:$AA,14, FALSE)</f>
        <v>0</v>
      </c>
      <c r="AM38" s="67">
        <f>VLOOKUP($Y38,Blends!$D:$AA,15, FALSE)</f>
        <v>0</v>
      </c>
      <c r="AN38" s="67">
        <f>VLOOKUP($Y38,Blends!$D:$AA,16, FALSE)</f>
        <v>0</v>
      </c>
      <c r="AO38" s="67">
        <f>VLOOKUP($Y38,Blends!$D:$AA,17, FALSE)</f>
        <v>0</v>
      </c>
      <c r="AP38" s="67">
        <f>VLOOKUP($Y38,Blends!$D:$AA,18, FALSE)</f>
        <v>0</v>
      </c>
      <c r="AQ38" s="130">
        <f>VLOOKUP($Y38,Blends!$D:$AA,19, FALSE)</f>
        <v>0</v>
      </c>
      <c r="AR38" s="67">
        <f>VLOOKUP($Y38,Blends!$D:$AA,20, FALSE)</f>
        <v>0</v>
      </c>
      <c r="AS38" s="67">
        <f>VLOOKUP($Y38,Blends!$D:$AA,21, FALSE)</f>
        <v>0</v>
      </c>
      <c r="AT38" s="67">
        <f>VLOOKUP($Y38,Blends!$D:$AA,22, FALSE)</f>
        <v>0</v>
      </c>
      <c r="AU38" s="67">
        <f>VLOOKUP($Y38,Blends!$D:$AA,23, FALSE)</f>
        <v>0</v>
      </c>
      <c r="AV38" s="67">
        <f>VLOOKUP($Y38,Blends!$D:$AA,24, FALSE)</f>
        <v>0</v>
      </c>
      <c r="AW38" s="68">
        <f t="shared" si="29"/>
        <v>0</v>
      </c>
      <c r="AX38" s="68">
        <f t="shared" si="30"/>
        <v>0</v>
      </c>
      <c r="AY38" s="68">
        <f t="shared" si="31"/>
        <v>-640</v>
      </c>
      <c r="AZ38" s="68">
        <f t="shared" si="32"/>
        <v>0</v>
      </c>
      <c r="BA38" s="68">
        <f t="shared" si="33"/>
        <v>0</v>
      </c>
      <c r="BB38" s="68">
        <f t="shared" si="34"/>
        <v>0</v>
      </c>
      <c r="BC38" s="68">
        <f t="shared" si="35"/>
        <v>-896</v>
      </c>
      <c r="BD38" s="68">
        <f t="shared" si="36"/>
        <v>0</v>
      </c>
      <c r="BE38" s="68">
        <f t="shared" si="37"/>
        <v>0</v>
      </c>
      <c r="BF38" s="68">
        <f t="shared" si="38"/>
        <v>0</v>
      </c>
      <c r="BG38" s="68">
        <f t="shared" si="39"/>
        <v>0</v>
      </c>
      <c r="BH38" s="68">
        <f t="shared" si="40"/>
        <v>-1024</v>
      </c>
      <c r="BI38" s="68">
        <f t="shared" si="41"/>
        <v>0</v>
      </c>
      <c r="BJ38" s="68">
        <f t="shared" si="42"/>
        <v>0</v>
      </c>
      <c r="BK38" s="68">
        <f t="shared" si="43"/>
        <v>0</v>
      </c>
      <c r="BL38" s="68">
        <f t="shared" si="44"/>
        <v>0</v>
      </c>
      <c r="BM38" s="68">
        <f t="shared" si="45"/>
        <v>0</v>
      </c>
      <c r="BN38" s="68">
        <f t="shared" si="46"/>
        <v>0</v>
      </c>
      <c r="BO38" s="68">
        <f t="shared" si="47"/>
        <v>0</v>
      </c>
      <c r="BP38" s="68">
        <f t="shared" si="48"/>
        <v>0</v>
      </c>
      <c r="BQ38" s="68">
        <f t="shared" si="49"/>
        <v>0</v>
      </c>
      <c r="BR38" s="68">
        <f t="shared" si="50"/>
        <v>0</v>
      </c>
      <c r="BS38" s="68">
        <f t="shared" si="51"/>
        <v>0</v>
      </c>
      <c r="BT38" s="140">
        <f t="shared" si="52"/>
        <v>1</v>
      </c>
      <c r="BU38">
        <f>+VLOOKUP(E38,LogisticsReport!AI:HB,5,FALSE)</f>
        <v>-153.6</v>
      </c>
      <c r="BV38" s="205">
        <f t="shared" si="53"/>
        <v>0</v>
      </c>
    </row>
    <row r="39" spans="1:74" ht="15.75" x14ac:dyDescent="0.25">
      <c r="A39" t="s">
        <v>167</v>
      </c>
      <c r="B39" t="s">
        <v>168</v>
      </c>
      <c r="C39" t="s">
        <v>195</v>
      </c>
      <c r="D39" t="s">
        <v>170</v>
      </c>
      <c r="E39" t="s">
        <v>209</v>
      </c>
      <c r="F39" t="str">
        <f>VLOOKUP(E39,LogisticsReport!AI:AI,1,FALSE)</f>
        <v>SSKE-104928</v>
      </c>
      <c r="G39" t="str">
        <f>INDEX(DailyNetPosition!A:A,MATCH(E39,DailyNetPosition!B:B,0))</f>
        <v>Hedgeable</v>
      </c>
      <c r="H39" s="83" t="s">
        <v>195</v>
      </c>
      <c r="I39" t="s">
        <v>197</v>
      </c>
      <c r="J39" s="38">
        <v>46042</v>
      </c>
      <c r="K39">
        <v>-64.8</v>
      </c>
      <c r="L39" s="79">
        <v>-1080</v>
      </c>
      <c r="M39" t="s">
        <v>173</v>
      </c>
      <c r="N39" t="s">
        <v>174</v>
      </c>
      <c r="O39" t="s">
        <v>189</v>
      </c>
      <c r="P39" t="str">
        <f>VLOOKUP(Table3[[#This Row],[Sale Ctr.]],LogisticsReport!AI:AW,15,FALSE)</f>
        <v>2026/08 All - 2026/08 All</v>
      </c>
      <c r="Q39" s="77" t="str">
        <f t="shared" si="27"/>
        <v>2026/08</v>
      </c>
      <c r="R39" s="37" t="str">
        <f t="shared" si="28"/>
        <v>08</v>
      </c>
      <c r="S39">
        <v>123</v>
      </c>
      <c r="T39">
        <v>111.0001</v>
      </c>
      <c r="U39" t="s">
        <v>198</v>
      </c>
      <c r="V39" t="str">
        <f>VLOOKUP(Table3[[#This Row],[Sale Ctr.]],LogisticsReport!AI:DD,74,FALSE)</f>
        <v>KCZ/2026</v>
      </c>
      <c r="X39" t="str">
        <f>+VLOOKUP(E39,LogisticsReport!AI:FA,8,FALSE)</f>
        <v>KEMBA</v>
      </c>
      <c r="Y39" s="54">
        <v>34</v>
      </c>
      <c r="Z39" s="67">
        <f>VLOOKUP($Y39,Blends!$D:$AA,2, FALSE)</f>
        <v>0</v>
      </c>
      <c r="AA39" s="67">
        <f>VLOOKUP($Y39,Blends!$D:$AA,3, FALSE)</f>
        <v>0</v>
      </c>
      <c r="AB39" s="67">
        <f>VLOOKUP($Y39,Blends!$D:$AA,4, FALSE)</f>
        <v>0</v>
      </c>
      <c r="AC39" s="67">
        <f>VLOOKUP($Y39,Blends!$D:$AA,5, FALSE)</f>
        <v>0.33</v>
      </c>
      <c r="AD39" s="67">
        <f>VLOOKUP($Y39,Blends!$D:$AA,6, FALSE)</f>
        <v>0</v>
      </c>
      <c r="AE39" s="67">
        <f>VLOOKUP($Y39,Blends!$D:$AA,7, FALSE)</f>
        <v>0</v>
      </c>
      <c r="AF39" s="67">
        <f>VLOOKUP($Y39,Blends!$D:$AA,8, FALSE)</f>
        <v>7.0000000000000007E-2</v>
      </c>
      <c r="AG39" s="67">
        <f>VLOOKUP($Y39,Blends!$D:$AA,9, FALSE)</f>
        <v>0.2</v>
      </c>
      <c r="AH39" s="67">
        <f>VLOOKUP($Y39,Blends!$D:$AA,10, FALSE)</f>
        <v>0</v>
      </c>
      <c r="AI39" s="67">
        <f>VLOOKUP($Y39,Blends!$D:$AA,11, FALSE)</f>
        <v>0.15</v>
      </c>
      <c r="AJ39" s="67">
        <f>VLOOKUP($Y39,Blends!$D:$AA,12, FALSE)</f>
        <v>0.02</v>
      </c>
      <c r="AK39" s="130">
        <f>VLOOKUP($Y39,Blends!$D:$AA,13, FALSE)</f>
        <v>0</v>
      </c>
      <c r="AL39" s="67">
        <f>VLOOKUP($Y39,Blends!$D:$AA,14, FALSE)</f>
        <v>0.2</v>
      </c>
      <c r="AM39" s="67">
        <f>VLOOKUP($Y39,Blends!$D:$AA,15, FALSE)</f>
        <v>0</v>
      </c>
      <c r="AN39" s="67">
        <f>VLOOKUP($Y39,Blends!$D:$AA,16, FALSE)</f>
        <v>0</v>
      </c>
      <c r="AO39" s="67">
        <f>VLOOKUP($Y39,Blends!$D:$AA,17, FALSE)</f>
        <v>0.03</v>
      </c>
      <c r="AP39" s="67">
        <f>VLOOKUP($Y39,Blends!$D:$AA,18, FALSE)</f>
        <v>0</v>
      </c>
      <c r="AQ39" s="130">
        <f>VLOOKUP($Y39,Blends!$D:$AA,19, FALSE)</f>
        <v>0</v>
      </c>
      <c r="AR39" s="67">
        <f>VLOOKUP($Y39,Blends!$D:$AA,20, FALSE)</f>
        <v>0</v>
      </c>
      <c r="AS39" s="67">
        <f>VLOOKUP($Y39,Blends!$D:$AA,21, FALSE)</f>
        <v>0</v>
      </c>
      <c r="AT39" s="67">
        <f>VLOOKUP($Y39,Blends!$D:$AA,22, FALSE)</f>
        <v>0</v>
      </c>
      <c r="AU39" s="67">
        <f>VLOOKUP($Y39,Blends!$D:$AA,23, FALSE)</f>
        <v>0</v>
      </c>
      <c r="AV39" s="67">
        <f>VLOOKUP($Y39,Blends!$D:$AA,24, FALSE)</f>
        <v>0</v>
      </c>
      <c r="AW39" s="68">
        <f t="shared" si="29"/>
        <v>0</v>
      </c>
      <c r="AX39" s="68">
        <f t="shared" si="30"/>
        <v>0</v>
      </c>
      <c r="AY39" s="68">
        <f t="shared" si="31"/>
        <v>0</v>
      </c>
      <c r="AZ39" s="68">
        <f t="shared" si="32"/>
        <v>-356.4</v>
      </c>
      <c r="BA39" s="68">
        <f t="shared" si="33"/>
        <v>0</v>
      </c>
      <c r="BB39" s="68">
        <f t="shared" si="34"/>
        <v>0</v>
      </c>
      <c r="BC39" s="68">
        <f t="shared" si="35"/>
        <v>-75.600000000000009</v>
      </c>
      <c r="BD39" s="68">
        <f t="shared" si="36"/>
        <v>-216</v>
      </c>
      <c r="BE39" s="68">
        <f t="shared" si="37"/>
        <v>0</v>
      </c>
      <c r="BF39" s="68">
        <f t="shared" si="38"/>
        <v>-161.99999999999997</v>
      </c>
      <c r="BG39" s="68">
        <f t="shared" si="39"/>
        <v>-21.6</v>
      </c>
      <c r="BH39" s="68">
        <f t="shared" si="40"/>
        <v>0</v>
      </c>
      <c r="BI39" s="68">
        <f t="shared" si="41"/>
        <v>-216</v>
      </c>
      <c r="BJ39" s="68">
        <f t="shared" si="42"/>
        <v>0</v>
      </c>
      <c r="BK39" s="68">
        <f t="shared" si="43"/>
        <v>0</v>
      </c>
      <c r="BL39" s="68">
        <f t="shared" si="44"/>
        <v>-32.4</v>
      </c>
      <c r="BM39" s="68">
        <f t="shared" si="45"/>
        <v>0</v>
      </c>
      <c r="BN39" s="68">
        <f t="shared" si="46"/>
        <v>0</v>
      </c>
      <c r="BO39" s="68">
        <f t="shared" si="47"/>
        <v>0</v>
      </c>
      <c r="BP39" s="68">
        <f t="shared" si="48"/>
        <v>0</v>
      </c>
      <c r="BQ39" s="68">
        <f t="shared" si="49"/>
        <v>0</v>
      </c>
      <c r="BR39" s="68">
        <f t="shared" si="50"/>
        <v>0</v>
      </c>
      <c r="BS39" s="68">
        <f t="shared" si="51"/>
        <v>0</v>
      </c>
      <c r="BT39" s="140">
        <f t="shared" si="52"/>
        <v>1.0000000000000002</v>
      </c>
      <c r="BU39">
        <f>+VLOOKUP(E39,LogisticsReport!AI:HB,5,FALSE)</f>
        <v>-64.8</v>
      </c>
      <c r="BV39" s="205">
        <f t="shared" si="53"/>
        <v>0</v>
      </c>
    </row>
    <row r="40" spans="1:74" ht="15.75" x14ac:dyDescent="0.25">
      <c r="A40" t="s">
        <v>167</v>
      </c>
      <c r="B40" t="s">
        <v>168</v>
      </c>
      <c r="C40" t="s">
        <v>195</v>
      </c>
      <c r="D40" t="s">
        <v>170</v>
      </c>
      <c r="E40" t="s">
        <v>210</v>
      </c>
      <c r="F40" t="str">
        <f>VLOOKUP(E40,LogisticsReport!AI:AI,1,FALSE)</f>
        <v>SSKE-104937</v>
      </c>
      <c r="G40" t="str">
        <f>INDEX(DailyNetPosition!A:A,MATCH(E40,DailyNetPosition!B:B,0))</f>
        <v>Hedgeable</v>
      </c>
      <c r="H40" s="83" t="s">
        <v>195</v>
      </c>
      <c r="I40" t="s">
        <v>197</v>
      </c>
      <c r="J40" s="38">
        <v>46042</v>
      </c>
      <c r="K40">
        <v>-64.8</v>
      </c>
      <c r="L40" s="79">
        <v>-1080</v>
      </c>
      <c r="M40" t="s">
        <v>173</v>
      </c>
      <c r="N40" t="s">
        <v>174</v>
      </c>
      <c r="O40" t="s">
        <v>189</v>
      </c>
      <c r="P40" t="str">
        <f>VLOOKUP(Table3[[#This Row],[Sale Ctr.]],LogisticsReport!AI:AW,15,FALSE)</f>
        <v>2026/08 All - 2026/08 All</v>
      </c>
      <c r="Q40" s="77" t="str">
        <f t="shared" si="27"/>
        <v>2026/08</v>
      </c>
      <c r="R40" s="37" t="str">
        <f t="shared" si="28"/>
        <v>08</v>
      </c>
      <c r="S40">
        <v>113</v>
      </c>
      <c r="T40">
        <v>101.0001</v>
      </c>
      <c r="U40" t="s">
        <v>200</v>
      </c>
      <c r="V40" t="str">
        <f>VLOOKUP(Table3[[#This Row],[Sale Ctr.]],LogisticsReport!AI:DD,74,FALSE)</f>
        <v>KCZ/2026</v>
      </c>
      <c r="X40" t="str">
        <f>+VLOOKUP(E40,LogisticsReport!AI:FA,8,FALSE)</f>
        <v>KEMBA</v>
      </c>
      <c r="Y40" s="54">
        <v>34</v>
      </c>
      <c r="Z40" s="67">
        <f>VLOOKUP($Y40,Blends!$D:$AA,2, FALSE)</f>
        <v>0</v>
      </c>
      <c r="AA40" s="67">
        <f>VLOOKUP($Y40,Blends!$D:$AA,3, FALSE)</f>
        <v>0</v>
      </c>
      <c r="AB40" s="67">
        <f>VLOOKUP($Y40,Blends!$D:$AA,4, FALSE)</f>
        <v>0</v>
      </c>
      <c r="AC40" s="67">
        <f>VLOOKUP($Y40,Blends!$D:$AA,5, FALSE)</f>
        <v>0.33</v>
      </c>
      <c r="AD40" s="67">
        <f>VLOOKUP($Y40,Blends!$D:$AA,6, FALSE)</f>
        <v>0</v>
      </c>
      <c r="AE40" s="67">
        <f>VLOOKUP($Y40,Blends!$D:$AA,7, FALSE)</f>
        <v>0</v>
      </c>
      <c r="AF40" s="67">
        <f>VLOOKUP($Y40,Blends!$D:$AA,8, FALSE)</f>
        <v>7.0000000000000007E-2</v>
      </c>
      <c r="AG40" s="67">
        <f>VLOOKUP($Y40,Blends!$D:$AA,9, FALSE)</f>
        <v>0.2</v>
      </c>
      <c r="AH40" s="67">
        <f>VLOOKUP($Y40,Blends!$D:$AA,10, FALSE)</f>
        <v>0</v>
      </c>
      <c r="AI40" s="67">
        <f>VLOOKUP($Y40,Blends!$D:$AA,11, FALSE)</f>
        <v>0.15</v>
      </c>
      <c r="AJ40" s="67">
        <f>VLOOKUP($Y40,Blends!$D:$AA,12, FALSE)</f>
        <v>0.02</v>
      </c>
      <c r="AK40" s="130">
        <f>VLOOKUP($Y40,Blends!$D:$AA,13, FALSE)</f>
        <v>0</v>
      </c>
      <c r="AL40" s="67">
        <f>VLOOKUP($Y40,Blends!$D:$AA,14, FALSE)</f>
        <v>0.2</v>
      </c>
      <c r="AM40" s="67">
        <f>VLOOKUP($Y40,Blends!$D:$AA,15, FALSE)</f>
        <v>0</v>
      </c>
      <c r="AN40" s="67">
        <f>VLOOKUP($Y40,Blends!$D:$AA,16, FALSE)</f>
        <v>0</v>
      </c>
      <c r="AO40" s="67">
        <f>VLOOKUP($Y40,Blends!$D:$AA,17, FALSE)</f>
        <v>0.03</v>
      </c>
      <c r="AP40" s="67">
        <f>VLOOKUP($Y40,Blends!$D:$AA,18, FALSE)</f>
        <v>0</v>
      </c>
      <c r="AQ40" s="130">
        <f>VLOOKUP($Y40,Blends!$D:$AA,19, FALSE)</f>
        <v>0</v>
      </c>
      <c r="AR40" s="67">
        <f>VLOOKUP($Y40,Blends!$D:$AA,20, FALSE)</f>
        <v>0</v>
      </c>
      <c r="AS40" s="67">
        <f>VLOOKUP($Y40,Blends!$D:$AA,21, FALSE)</f>
        <v>0</v>
      </c>
      <c r="AT40" s="67">
        <f>VLOOKUP($Y40,Blends!$D:$AA,22, FALSE)</f>
        <v>0</v>
      </c>
      <c r="AU40" s="67">
        <f>VLOOKUP($Y40,Blends!$D:$AA,23, FALSE)</f>
        <v>0</v>
      </c>
      <c r="AV40" s="67">
        <f>VLOOKUP($Y40,Blends!$D:$AA,24, FALSE)</f>
        <v>0</v>
      </c>
      <c r="AW40" s="68">
        <f t="shared" si="29"/>
        <v>0</v>
      </c>
      <c r="AX40" s="68">
        <f t="shared" si="30"/>
        <v>0</v>
      </c>
      <c r="AY40" s="68">
        <f t="shared" si="31"/>
        <v>0</v>
      </c>
      <c r="AZ40" s="68">
        <f t="shared" si="32"/>
        <v>-356.4</v>
      </c>
      <c r="BA40" s="68">
        <f t="shared" si="33"/>
        <v>0</v>
      </c>
      <c r="BB40" s="68">
        <f t="shared" si="34"/>
        <v>0</v>
      </c>
      <c r="BC40" s="68">
        <f t="shared" si="35"/>
        <v>-75.600000000000009</v>
      </c>
      <c r="BD40" s="68">
        <f t="shared" si="36"/>
        <v>-216</v>
      </c>
      <c r="BE40" s="68">
        <f t="shared" si="37"/>
        <v>0</v>
      </c>
      <c r="BF40" s="68">
        <f t="shared" si="38"/>
        <v>-161.99999999999997</v>
      </c>
      <c r="BG40" s="68">
        <f t="shared" si="39"/>
        <v>-21.6</v>
      </c>
      <c r="BH40" s="68">
        <f t="shared" si="40"/>
        <v>0</v>
      </c>
      <c r="BI40" s="68">
        <f t="shared" si="41"/>
        <v>-216</v>
      </c>
      <c r="BJ40" s="68">
        <f t="shared" si="42"/>
        <v>0</v>
      </c>
      <c r="BK40" s="68">
        <f t="shared" si="43"/>
        <v>0</v>
      </c>
      <c r="BL40" s="68">
        <f t="shared" si="44"/>
        <v>-32.4</v>
      </c>
      <c r="BM40" s="68">
        <f t="shared" si="45"/>
        <v>0</v>
      </c>
      <c r="BN40" s="68">
        <f t="shared" si="46"/>
        <v>0</v>
      </c>
      <c r="BO40" s="68">
        <f t="shared" si="47"/>
        <v>0</v>
      </c>
      <c r="BP40" s="68">
        <f t="shared" si="48"/>
        <v>0</v>
      </c>
      <c r="BQ40" s="68">
        <f t="shared" si="49"/>
        <v>0</v>
      </c>
      <c r="BR40" s="68">
        <f t="shared" si="50"/>
        <v>0</v>
      </c>
      <c r="BS40" s="68">
        <f t="shared" si="51"/>
        <v>0</v>
      </c>
      <c r="BT40" s="140">
        <f t="shared" si="52"/>
        <v>1.0000000000000002</v>
      </c>
      <c r="BU40">
        <f>+VLOOKUP(E40,LogisticsReport!AI:HB,5,FALSE)</f>
        <v>-64.8</v>
      </c>
      <c r="BV40" s="205">
        <f t="shared" si="53"/>
        <v>0</v>
      </c>
    </row>
    <row r="41" spans="1:74" ht="15.75" x14ac:dyDescent="0.25">
      <c r="A41" t="s">
        <v>167</v>
      </c>
      <c r="B41" t="s">
        <v>168</v>
      </c>
      <c r="C41" t="s">
        <v>179</v>
      </c>
      <c r="D41" t="s">
        <v>170</v>
      </c>
      <c r="E41" t="s">
        <v>244</v>
      </c>
      <c r="F41" t="str">
        <f>VLOOKUP(E41,LogisticsReport!AI:AI,1,FALSE)</f>
        <v>SSKE-105761</v>
      </c>
      <c r="G41" t="str">
        <f>INDEX(DailyNetPosition!A:A,MATCH(E41,DailyNetPosition!B:B,0))</f>
        <v>Hedgeable</v>
      </c>
      <c r="H41" s="83" t="s">
        <v>179</v>
      </c>
      <c r="I41" t="s">
        <v>245</v>
      </c>
      <c r="J41" s="38">
        <v>46067</v>
      </c>
      <c r="K41">
        <v>-19.2</v>
      </c>
      <c r="L41" s="79">
        <v>-320</v>
      </c>
      <c r="M41" t="s">
        <v>173</v>
      </c>
      <c r="N41" t="s">
        <v>174</v>
      </c>
      <c r="O41" t="s">
        <v>205</v>
      </c>
      <c r="P41" t="str">
        <f>VLOOKUP(Table3[[#This Row],[Sale Ctr.]],LogisticsReport!AI:AW,15,FALSE)</f>
        <v>2026/08 All - 2026/08 All</v>
      </c>
      <c r="Q41" s="77" t="str">
        <f t="shared" si="27"/>
        <v>2026/08</v>
      </c>
      <c r="R41" s="37" t="str">
        <f t="shared" si="28"/>
        <v>08</v>
      </c>
      <c r="S41">
        <v>65</v>
      </c>
      <c r="T41">
        <v>64.296000000000006</v>
      </c>
      <c r="U41" t="s">
        <v>246</v>
      </c>
      <c r="V41" t="s">
        <v>232</v>
      </c>
      <c r="W41" t="s">
        <v>228</v>
      </c>
      <c r="Y41" s="54">
        <v>23</v>
      </c>
      <c r="Z41" s="67">
        <f>VLOOKUP($Y41,Blends!$D:$AA,2, FALSE)</f>
        <v>0</v>
      </c>
      <c r="AA41" s="67">
        <f>VLOOKUP($Y41,Blends!$D:$AA,3, FALSE)</f>
        <v>0</v>
      </c>
      <c r="AB41" s="67">
        <f>VLOOKUP($Y41,Blends!$D:$AA,4, FALSE)</f>
        <v>0</v>
      </c>
      <c r="AC41" s="67">
        <f>VLOOKUP($Y41,Blends!$D:$AA,5, FALSE)</f>
        <v>0</v>
      </c>
      <c r="AD41" s="67">
        <f>VLOOKUP($Y41,Blends!$D:$AA,6, FALSE)</f>
        <v>0</v>
      </c>
      <c r="AE41" s="67">
        <f>VLOOKUP($Y41,Blends!$D:$AA,7, FALSE)</f>
        <v>0</v>
      </c>
      <c r="AF41" s="67">
        <f>VLOOKUP($Y41,Blends!$D:$AA,8, FALSE)</f>
        <v>0</v>
      </c>
      <c r="AG41" s="67">
        <f>VLOOKUP($Y41,Blends!$D:$AA,9, FALSE)</f>
        <v>0</v>
      </c>
      <c r="AH41" s="67">
        <f>VLOOKUP($Y41,Blends!$D:$AA,10, FALSE)</f>
        <v>0</v>
      </c>
      <c r="AI41" s="67">
        <f>VLOOKUP($Y41,Blends!$D:$AA,11, FALSE)</f>
        <v>0</v>
      </c>
      <c r="AJ41" s="67">
        <f>VLOOKUP($Y41,Blends!$D:$AA,12, FALSE)</f>
        <v>0</v>
      </c>
      <c r="AK41" s="130">
        <f>VLOOKUP($Y41,Blends!$D:$AA,13, FALSE)</f>
        <v>1</v>
      </c>
      <c r="AL41" s="67">
        <f>VLOOKUP($Y41,Blends!$D:$AA,14, FALSE)</f>
        <v>0</v>
      </c>
      <c r="AM41" s="67">
        <f>VLOOKUP($Y41,Blends!$D:$AA,15, FALSE)</f>
        <v>0</v>
      </c>
      <c r="AN41" s="67">
        <f>VLOOKUP($Y41,Blends!$D:$AA,16, FALSE)</f>
        <v>0</v>
      </c>
      <c r="AO41" s="67">
        <f>VLOOKUP($Y41,Blends!$D:$AA,17, FALSE)</f>
        <v>0</v>
      </c>
      <c r="AP41" s="67">
        <f>VLOOKUP($Y41,Blends!$D:$AA,18, FALSE)</f>
        <v>0</v>
      </c>
      <c r="AQ41" s="130">
        <f>VLOOKUP($Y41,Blends!$D:$AA,19, FALSE)</f>
        <v>0</v>
      </c>
      <c r="AR41" s="67">
        <f>VLOOKUP($Y41,Blends!$D:$AA,20, FALSE)</f>
        <v>0</v>
      </c>
      <c r="AS41" s="67">
        <f>VLOOKUP($Y41,Blends!$D:$AA,21, FALSE)</f>
        <v>0</v>
      </c>
      <c r="AT41" s="67">
        <f>VLOOKUP($Y41,Blends!$D:$AA,22, FALSE)</f>
        <v>0</v>
      </c>
      <c r="AU41" s="67">
        <f>VLOOKUP($Y41,Blends!$D:$AA,23, FALSE)</f>
        <v>0</v>
      </c>
      <c r="AV41" s="67">
        <f>VLOOKUP($Y41,Blends!$D:$AA,24, FALSE)</f>
        <v>0</v>
      </c>
      <c r="AW41" s="68">
        <f t="shared" si="29"/>
        <v>0</v>
      </c>
      <c r="AX41" s="68">
        <f t="shared" si="30"/>
        <v>0</v>
      </c>
      <c r="AY41" s="68">
        <f t="shared" si="31"/>
        <v>0</v>
      </c>
      <c r="AZ41" s="68">
        <f t="shared" si="32"/>
        <v>0</v>
      </c>
      <c r="BA41" s="68">
        <f t="shared" si="33"/>
        <v>0</v>
      </c>
      <c r="BB41" s="68">
        <f t="shared" si="34"/>
        <v>0</v>
      </c>
      <c r="BC41" s="68">
        <f t="shared" si="35"/>
        <v>0</v>
      </c>
      <c r="BD41" s="68">
        <f t="shared" si="36"/>
        <v>0</v>
      </c>
      <c r="BE41" s="68">
        <f t="shared" si="37"/>
        <v>0</v>
      </c>
      <c r="BF41" s="68">
        <f t="shared" si="38"/>
        <v>0</v>
      </c>
      <c r="BG41" s="68">
        <f t="shared" si="39"/>
        <v>0</v>
      </c>
      <c r="BH41" s="68">
        <f t="shared" si="40"/>
        <v>-320</v>
      </c>
      <c r="BI41" s="68">
        <f t="shared" si="41"/>
        <v>0</v>
      </c>
      <c r="BJ41" s="68">
        <f t="shared" si="42"/>
        <v>0</v>
      </c>
      <c r="BK41" s="68">
        <f t="shared" si="43"/>
        <v>0</v>
      </c>
      <c r="BL41" s="68">
        <f t="shared" si="44"/>
        <v>0</v>
      </c>
      <c r="BM41" s="68">
        <f t="shared" si="45"/>
        <v>0</v>
      </c>
      <c r="BN41" s="68">
        <f t="shared" si="46"/>
        <v>0</v>
      </c>
      <c r="BO41" s="68">
        <f t="shared" si="47"/>
        <v>0</v>
      </c>
      <c r="BP41" s="68">
        <f t="shared" si="48"/>
        <v>0</v>
      </c>
      <c r="BQ41" s="68">
        <f t="shared" si="49"/>
        <v>0</v>
      </c>
      <c r="BR41" s="68">
        <f t="shared" si="50"/>
        <v>0</v>
      </c>
      <c r="BS41" s="68">
        <f t="shared" si="51"/>
        <v>0</v>
      </c>
      <c r="BT41" s="129">
        <f t="shared" si="52"/>
        <v>1</v>
      </c>
      <c r="BU41">
        <f>+VLOOKUP(E41,LogisticsReport!AI:HB,5,FALSE)</f>
        <v>-19.2</v>
      </c>
      <c r="BV41" s="205">
        <f t="shared" si="53"/>
        <v>0</v>
      </c>
    </row>
    <row r="42" spans="1:74" ht="15.75" x14ac:dyDescent="0.25">
      <c r="A42" t="s">
        <v>167</v>
      </c>
      <c r="B42" t="s">
        <v>168</v>
      </c>
      <c r="C42" t="s">
        <v>272</v>
      </c>
      <c r="D42" t="s">
        <v>170</v>
      </c>
      <c r="E42" t="s">
        <v>273</v>
      </c>
      <c r="F42" t="str">
        <f>VLOOKUP(E42,LogisticsReport!AI:AI,1,FALSE)</f>
        <v>SSKE-107620</v>
      </c>
      <c r="G42" t="str">
        <f>INDEX(DailyNetPosition!A:A,MATCH(E42,DailyNetPosition!B:B,0))</f>
        <v>Hedgeable</v>
      </c>
      <c r="H42" s="133" t="s">
        <v>272</v>
      </c>
      <c r="I42" s="133" t="s">
        <v>274</v>
      </c>
      <c r="J42" s="149">
        <v>46140</v>
      </c>
      <c r="K42" s="165">
        <v>-38.4</v>
      </c>
      <c r="L42" s="133">
        <v>-640</v>
      </c>
      <c r="M42" s="133" t="s">
        <v>275</v>
      </c>
      <c r="N42" s="133" t="s">
        <v>276</v>
      </c>
      <c r="O42" s="133" t="s">
        <v>277</v>
      </c>
      <c r="P42" t="str">
        <f>VLOOKUP(Table3[[#This Row],[Sale Ctr.]],LogisticsReport!AI:AW,15,FALSE)</f>
        <v>2026/08 All - 2026/08 All</v>
      </c>
      <c r="Q42" s="77" t="str">
        <f t="shared" si="27"/>
        <v>2026/08</v>
      </c>
      <c r="R42" s="37" t="str">
        <f t="shared" si="28"/>
        <v>08</v>
      </c>
      <c r="S42">
        <v>-22</v>
      </c>
      <c r="T42">
        <v>-35.269100000000002</v>
      </c>
      <c r="U42" t="s">
        <v>279</v>
      </c>
      <c r="V42" t="s">
        <v>232</v>
      </c>
      <c r="Y42" s="54">
        <v>107</v>
      </c>
      <c r="Z42" s="67">
        <f>VLOOKUP($Y42,Blends!$D:$AA,2, FALSE)</f>
        <v>0</v>
      </c>
      <c r="AA42" s="67">
        <f>VLOOKUP($Y42,Blends!$D:$AA,3, FALSE)</f>
        <v>0</v>
      </c>
      <c r="AB42" s="67">
        <f>VLOOKUP($Y42,Blends!$D:$AA,4, FALSE)</f>
        <v>0</v>
      </c>
      <c r="AC42" s="67">
        <f>VLOOKUP($Y42,Blends!$D:$AA,5, FALSE)</f>
        <v>0</v>
      </c>
      <c r="AD42" s="67">
        <f>VLOOKUP($Y42,Blends!$D:$AA,6, FALSE)</f>
        <v>0</v>
      </c>
      <c r="AE42" s="67">
        <f>VLOOKUP($Y42,Blends!$D:$AA,7, FALSE)</f>
        <v>0</v>
      </c>
      <c r="AF42" s="67">
        <f>VLOOKUP($Y42,Blends!$D:$AA,8, FALSE)</f>
        <v>0</v>
      </c>
      <c r="AG42" s="67">
        <f>VLOOKUP($Y42,Blends!$D:$AA,9, FALSE)</f>
        <v>0</v>
      </c>
      <c r="AH42" s="67">
        <f>VLOOKUP($Y42,Blends!$D:$AA,10, FALSE)</f>
        <v>0</v>
      </c>
      <c r="AI42" s="67">
        <f>VLOOKUP($Y42,Blends!$D:$AA,11, FALSE)</f>
        <v>0</v>
      </c>
      <c r="AJ42" s="67">
        <f>VLOOKUP($Y42,Blends!$D:$AA,12, FALSE)</f>
        <v>0</v>
      </c>
      <c r="AK42" s="130">
        <f>VLOOKUP($Y42,Blends!$D:$AA,13, FALSE)</f>
        <v>0</v>
      </c>
      <c r="AL42" s="67">
        <f>VLOOKUP($Y42,Blends!$D:$AA,14, FALSE)</f>
        <v>0</v>
      </c>
      <c r="AM42" s="67">
        <f>VLOOKUP($Y42,Blends!$D:$AA,15, FALSE)</f>
        <v>0</v>
      </c>
      <c r="AN42" s="67">
        <f>VLOOKUP($Y42,Blends!$D:$AA,16, FALSE)</f>
        <v>0</v>
      </c>
      <c r="AO42" s="67">
        <f>VLOOKUP($Y42,Blends!$D:$AA,17, FALSE)</f>
        <v>0</v>
      </c>
      <c r="AP42" s="67">
        <f>VLOOKUP($Y42,Blends!$D:$AA,18, FALSE)</f>
        <v>0</v>
      </c>
      <c r="AQ42" s="130">
        <f>VLOOKUP($Y42,Blends!$D:$AA,19, FALSE)</f>
        <v>0</v>
      </c>
      <c r="AR42" s="67">
        <f>VLOOKUP($Y42,Blends!$D:$AA,20, FALSE)</f>
        <v>0</v>
      </c>
      <c r="AS42" s="67">
        <f>VLOOKUP($Y42,Blends!$D:$AA,21, FALSE)</f>
        <v>1</v>
      </c>
      <c r="AT42" s="67">
        <f>VLOOKUP($Y42,Blends!$D:$AA,22, FALSE)</f>
        <v>0</v>
      </c>
      <c r="AU42" s="67">
        <f>VLOOKUP($Y42,Blends!$D:$AA,23, FALSE)</f>
        <v>0</v>
      </c>
      <c r="AV42" s="67">
        <f>VLOOKUP($Y42,Blends!$D:$AA,24, FALSE)</f>
        <v>0</v>
      </c>
      <c r="AW42" s="68">
        <f t="shared" si="29"/>
        <v>0</v>
      </c>
      <c r="AX42" s="68">
        <f t="shared" si="30"/>
        <v>0</v>
      </c>
      <c r="AY42" s="68">
        <f t="shared" si="31"/>
        <v>0</v>
      </c>
      <c r="AZ42" s="68">
        <f t="shared" si="32"/>
        <v>0</v>
      </c>
      <c r="BA42" s="68">
        <f t="shared" si="33"/>
        <v>0</v>
      </c>
      <c r="BB42" s="68">
        <f t="shared" si="34"/>
        <v>0</v>
      </c>
      <c r="BC42" s="68">
        <f t="shared" si="35"/>
        <v>0</v>
      </c>
      <c r="BD42" s="68">
        <f t="shared" si="36"/>
        <v>0</v>
      </c>
      <c r="BE42" s="68">
        <f t="shared" si="37"/>
        <v>0</v>
      </c>
      <c r="BF42" s="68">
        <f t="shared" si="38"/>
        <v>0</v>
      </c>
      <c r="BG42" s="68">
        <f t="shared" si="39"/>
        <v>0</v>
      </c>
      <c r="BH42" s="68">
        <f t="shared" si="40"/>
        <v>0</v>
      </c>
      <c r="BI42" s="68">
        <f t="shared" si="41"/>
        <v>0</v>
      </c>
      <c r="BJ42" s="68">
        <f t="shared" si="42"/>
        <v>0</v>
      </c>
      <c r="BK42" s="68">
        <f t="shared" si="43"/>
        <v>0</v>
      </c>
      <c r="BL42" s="68">
        <f t="shared" si="44"/>
        <v>0</v>
      </c>
      <c r="BM42" s="68">
        <f t="shared" si="45"/>
        <v>0</v>
      </c>
      <c r="BN42" s="68">
        <f t="shared" si="46"/>
        <v>0</v>
      </c>
      <c r="BO42" s="68">
        <f t="shared" si="47"/>
        <v>0</v>
      </c>
      <c r="BP42" s="68">
        <f t="shared" si="48"/>
        <v>-640</v>
      </c>
      <c r="BQ42" s="68">
        <f t="shared" si="49"/>
        <v>0</v>
      </c>
      <c r="BR42" s="68">
        <f t="shared" si="50"/>
        <v>0</v>
      </c>
      <c r="BS42" s="68">
        <f t="shared" si="51"/>
        <v>0</v>
      </c>
      <c r="BT42" s="129">
        <f t="shared" si="52"/>
        <v>1</v>
      </c>
      <c r="BU42">
        <f>+VLOOKUP(E42,LogisticsReport!AI:HB,5,FALSE)</f>
        <v>-38.4</v>
      </c>
      <c r="BV42" s="205">
        <f t="shared" si="53"/>
        <v>0</v>
      </c>
    </row>
    <row r="43" spans="1:74" ht="15.75" x14ac:dyDescent="0.25">
      <c r="A43" t="s">
        <v>167</v>
      </c>
      <c r="B43" t="s">
        <v>168</v>
      </c>
      <c r="C43" t="s">
        <v>179</v>
      </c>
      <c r="D43" t="s">
        <v>170</v>
      </c>
      <c r="E43" t="s">
        <v>317</v>
      </c>
      <c r="F43" t="str">
        <f>VLOOKUP(E43,LogisticsReport!AI:AI,1,FALSE)</f>
        <v>SSKE-108412</v>
      </c>
      <c r="G43" t="str">
        <f>INDEX(DailyNetPosition!A:A,MATCH(E43,DailyNetPosition!B:B,0))</f>
        <v>Hedgeable</v>
      </c>
      <c r="H43" s="133" t="s">
        <v>179</v>
      </c>
      <c r="I43" s="133" t="s">
        <v>237</v>
      </c>
      <c r="J43" s="149">
        <v>46178</v>
      </c>
      <c r="K43" s="133">
        <v>-19.2</v>
      </c>
      <c r="L43" s="133">
        <v>-320</v>
      </c>
      <c r="M43" s="133" t="s">
        <v>319</v>
      </c>
      <c r="N43" s="133" t="s">
        <v>320</v>
      </c>
      <c r="O43" s="133" t="s">
        <v>321</v>
      </c>
      <c r="P43" t="str">
        <f>VLOOKUP(Table3[[#This Row],[Sale Ctr.]],LogisticsReport!AI:AW,15,FALSE)</f>
        <v>2026/08 All - 2026/08 All</v>
      </c>
      <c r="Q43" s="77" t="str">
        <f t="shared" si="27"/>
        <v>2026/08</v>
      </c>
      <c r="R43" s="37" t="str">
        <f t="shared" si="28"/>
        <v>08</v>
      </c>
      <c r="S43" s="214">
        <v>102.4</v>
      </c>
      <c r="T43" s="214">
        <v>94.131799999999998</v>
      </c>
      <c r="U43" s="214" t="s">
        <v>283</v>
      </c>
      <c r="V43" s="214" t="s">
        <v>232</v>
      </c>
      <c r="W43" s="214"/>
      <c r="X43" s="214"/>
      <c r="Y43" s="215">
        <v>18</v>
      </c>
      <c r="Z43" s="67">
        <f>VLOOKUP($Y43,Blends!$D:$AA,2, FALSE)</f>
        <v>0</v>
      </c>
      <c r="AA43" s="67">
        <f>VLOOKUP($Y43,Blends!$D:$AA,3, FALSE)</f>
        <v>0</v>
      </c>
      <c r="AB43" s="67">
        <f>VLOOKUP($Y43,Blends!$D:$AA,4, FALSE)</f>
        <v>0.5</v>
      </c>
      <c r="AC43" s="67">
        <f>VLOOKUP($Y43,Blends!$D:$AA,5, FALSE)</f>
        <v>0</v>
      </c>
      <c r="AD43" s="67">
        <f>VLOOKUP($Y43,Blends!$D:$AA,6, FALSE)</f>
        <v>0</v>
      </c>
      <c r="AE43" s="67">
        <f>VLOOKUP($Y43,Blends!$D:$AA,7, FALSE)</f>
        <v>0</v>
      </c>
      <c r="AF43" s="67">
        <f>VLOOKUP($Y43,Blends!$D:$AA,8, FALSE)</f>
        <v>0</v>
      </c>
      <c r="AG43" s="67">
        <f>VLOOKUP($Y43,Blends!$D:$AA,9, FALSE)</f>
        <v>0</v>
      </c>
      <c r="AH43" s="67">
        <f>VLOOKUP($Y43,Blends!$D:$AA,10, FALSE)</f>
        <v>0</v>
      </c>
      <c r="AI43" s="67">
        <f>VLOOKUP($Y43,Blends!$D:$AA,11, FALSE)</f>
        <v>0</v>
      </c>
      <c r="AJ43" s="67">
        <f>VLOOKUP($Y43,Blends!$D:$AA,12, FALSE)</f>
        <v>0</v>
      </c>
      <c r="AK43" s="130">
        <f>VLOOKUP($Y43,Blends!$D:$AA,13, FALSE)</f>
        <v>0.5</v>
      </c>
      <c r="AL43" s="67">
        <f>VLOOKUP($Y43,Blends!$D:$AA,14, FALSE)</f>
        <v>0</v>
      </c>
      <c r="AM43" s="67">
        <f>VLOOKUP($Y43,Blends!$D:$AA,15, FALSE)</f>
        <v>0</v>
      </c>
      <c r="AN43" s="67">
        <f>VLOOKUP($Y43,Blends!$D:$AA,16, FALSE)</f>
        <v>0</v>
      </c>
      <c r="AO43" s="67">
        <f>VLOOKUP($Y43,Blends!$D:$AA,17, FALSE)</f>
        <v>0</v>
      </c>
      <c r="AP43" s="67">
        <f>VLOOKUP($Y43,Blends!$D:$AA,18, FALSE)</f>
        <v>0</v>
      </c>
      <c r="AQ43" s="130">
        <f>VLOOKUP($Y43,Blends!$D:$AA,19, FALSE)</f>
        <v>0</v>
      </c>
      <c r="AR43" s="67">
        <f>VLOOKUP($Y43,Blends!$D:$AA,20, FALSE)</f>
        <v>0</v>
      </c>
      <c r="AS43" s="67">
        <f>VLOOKUP($Y43,Blends!$D:$AA,21, FALSE)</f>
        <v>0</v>
      </c>
      <c r="AT43" s="67">
        <f>VLOOKUP($Y43,Blends!$D:$AA,22, FALSE)</f>
        <v>0</v>
      </c>
      <c r="AU43" s="67">
        <f>VLOOKUP($Y43,Blends!$D:$AA,23, FALSE)</f>
        <v>0</v>
      </c>
      <c r="AV43" s="67">
        <f>VLOOKUP($Y43,Blends!$D:$AA,24, FALSE)</f>
        <v>0</v>
      </c>
      <c r="AW43" s="68">
        <f t="shared" si="29"/>
        <v>0</v>
      </c>
      <c r="AX43" s="68">
        <f t="shared" si="30"/>
        <v>0</v>
      </c>
      <c r="AY43" s="68">
        <f t="shared" si="31"/>
        <v>-160</v>
      </c>
      <c r="AZ43" s="68">
        <f t="shared" si="32"/>
        <v>0</v>
      </c>
      <c r="BA43" s="68">
        <f t="shared" si="33"/>
        <v>0</v>
      </c>
      <c r="BB43" s="68">
        <f t="shared" si="34"/>
        <v>0</v>
      </c>
      <c r="BC43" s="68">
        <f t="shared" si="35"/>
        <v>0</v>
      </c>
      <c r="BD43" s="68">
        <f t="shared" si="36"/>
        <v>0</v>
      </c>
      <c r="BE43" s="68">
        <f t="shared" si="37"/>
        <v>0</v>
      </c>
      <c r="BF43" s="68">
        <f t="shared" si="38"/>
        <v>0</v>
      </c>
      <c r="BG43" s="68">
        <f t="shared" si="39"/>
        <v>0</v>
      </c>
      <c r="BH43" s="68">
        <f t="shared" si="40"/>
        <v>-160</v>
      </c>
      <c r="BI43" s="68">
        <f t="shared" si="41"/>
        <v>0</v>
      </c>
      <c r="BJ43" s="68">
        <f t="shared" si="42"/>
        <v>0</v>
      </c>
      <c r="BK43" s="68">
        <f t="shared" si="43"/>
        <v>0</v>
      </c>
      <c r="BL43" s="68">
        <f t="shared" si="44"/>
        <v>0</v>
      </c>
      <c r="BM43" s="68">
        <f t="shared" si="45"/>
        <v>0</v>
      </c>
      <c r="BN43" s="68">
        <f t="shared" si="46"/>
        <v>0</v>
      </c>
      <c r="BO43" s="68">
        <f t="shared" si="47"/>
        <v>0</v>
      </c>
      <c r="BP43" s="68">
        <f t="shared" si="48"/>
        <v>0</v>
      </c>
      <c r="BQ43" s="68">
        <f t="shared" si="49"/>
        <v>0</v>
      </c>
      <c r="BR43" s="68">
        <f t="shared" si="50"/>
        <v>0</v>
      </c>
      <c r="BS43" s="68">
        <f t="shared" si="51"/>
        <v>0</v>
      </c>
      <c r="BT43" s="129">
        <f t="shared" si="52"/>
        <v>1</v>
      </c>
      <c r="BU43">
        <f>+VLOOKUP(E43,LogisticsReport!AI:HB,5,FALSE)</f>
        <v>-19.2</v>
      </c>
      <c r="BV43" s="205">
        <f t="shared" si="53"/>
        <v>0</v>
      </c>
    </row>
    <row r="44" spans="1:74" ht="15.75" x14ac:dyDescent="0.25">
      <c r="A44" t="s">
        <v>167</v>
      </c>
      <c r="B44" t="s">
        <v>168</v>
      </c>
      <c r="C44" t="s">
        <v>179</v>
      </c>
      <c r="D44" t="s">
        <v>170</v>
      </c>
      <c r="E44" t="s">
        <v>327</v>
      </c>
      <c r="F44" t="str">
        <f>VLOOKUP(E44,LogisticsReport!AI:AI,1,FALSE)</f>
        <v>SSKE-108570</v>
      </c>
      <c r="G44" t="str">
        <f>INDEX(DailyNetPosition!A:A,MATCH(E44,DailyNetPosition!B:B,0))</f>
        <v>Hedgeable</v>
      </c>
      <c r="H44" s="202" t="s">
        <v>179</v>
      </c>
      <c r="I44" s="202" t="s">
        <v>285</v>
      </c>
      <c r="J44" s="203">
        <v>46188</v>
      </c>
      <c r="K44" s="202">
        <v>-19.2</v>
      </c>
      <c r="L44" s="202">
        <v>-320</v>
      </c>
      <c r="M44" s="202" t="s">
        <v>286</v>
      </c>
      <c r="N44" s="202" t="s">
        <v>328</v>
      </c>
      <c r="O44" s="202" t="s">
        <v>329</v>
      </c>
      <c r="P44" t="str">
        <f>VLOOKUP(Table3[[#This Row],[Sale Ctr.]],LogisticsReport!AI:AW,15,FALSE)</f>
        <v>2026/08 All - 2026/08 All</v>
      </c>
      <c r="Q44" s="77" t="str">
        <f t="shared" si="27"/>
        <v>2026/08</v>
      </c>
      <c r="R44" s="37" t="str">
        <f t="shared" si="28"/>
        <v>08</v>
      </c>
      <c r="S44" s="151">
        <v>127</v>
      </c>
      <c r="T44" s="151">
        <v>92.183199999999999</v>
      </c>
      <c r="U44" s="151" t="s">
        <v>330</v>
      </c>
      <c r="V44" s="151" t="s">
        <v>232</v>
      </c>
      <c r="W44" s="151" t="s">
        <v>206</v>
      </c>
      <c r="X44" s="152"/>
      <c r="Y44" s="204">
        <v>91</v>
      </c>
      <c r="Z44" s="67">
        <f>VLOOKUP($Y44,Blends!$D:$AA,2, FALSE)</f>
        <v>0</v>
      </c>
      <c r="AA44" s="67">
        <f>VLOOKUP($Y44,Blends!$D:$AA,3, FALSE)</f>
        <v>1</v>
      </c>
      <c r="AB44" s="67">
        <f>VLOOKUP($Y44,Blends!$D:$AA,4, FALSE)</f>
        <v>0</v>
      </c>
      <c r="AC44" s="67">
        <f>VLOOKUP($Y44,Blends!$D:$AA,5, FALSE)</f>
        <v>0</v>
      </c>
      <c r="AD44" s="67">
        <f>VLOOKUP($Y44,Blends!$D:$AA,6, FALSE)</f>
        <v>0</v>
      </c>
      <c r="AE44" s="67">
        <f>VLOOKUP($Y44,Blends!$D:$AA,7, FALSE)</f>
        <v>0</v>
      </c>
      <c r="AF44" s="67">
        <f>VLOOKUP($Y44,Blends!$D:$AA,8, FALSE)</f>
        <v>0</v>
      </c>
      <c r="AG44" s="67">
        <f>VLOOKUP($Y44,Blends!$D:$AA,9, FALSE)</f>
        <v>0</v>
      </c>
      <c r="AH44" s="67">
        <f>VLOOKUP($Y44,Blends!$D:$AA,10, FALSE)</f>
        <v>0</v>
      </c>
      <c r="AI44" s="67">
        <f>VLOOKUP($Y44,Blends!$D:$AA,11, FALSE)</f>
        <v>0</v>
      </c>
      <c r="AJ44" s="67">
        <f>VLOOKUP($Y44,Blends!$D:$AA,12, FALSE)</f>
        <v>0</v>
      </c>
      <c r="AK44" s="130">
        <f>VLOOKUP($Y44,Blends!$D:$AA,13, FALSE)</f>
        <v>0</v>
      </c>
      <c r="AL44" s="67">
        <f>VLOOKUP($Y44,Blends!$D:$AA,14, FALSE)</f>
        <v>0</v>
      </c>
      <c r="AM44" s="67">
        <f>VLOOKUP($Y44,Blends!$D:$AA,15, FALSE)</f>
        <v>0</v>
      </c>
      <c r="AN44" s="67">
        <f>VLOOKUP($Y44,Blends!$D:$AA,16, FALSE)</f>
        <v>0</v>
      </c>
      <c r="AO44" s="67">
        <f>VLOOKUP($Y44,Blends!$D:$AA,17, FALSE)</f>
        <v>0</v>
      </c>
      <c r="AP44" s="67">
        <f>VLOOKUP($Y44,Blends!$D:$AA,18, FALSE)</f>
        <v>0</v>
      </c>
      <c r="AQ44" s="130">
        <f>VLOOKUP($Y44,Blends!$D:$AA,19, FALSE)</f>
        <v>0</v>
      </c>
      <c r="AR44" s="67">
        <f>VLOOKUP($Y44,Blends!$D:$AA,20, FALSE)</f>
        <v>0</v>
      </c>
      <c r="AS44" s="67">
        <f>VLOOKUP($Y44,Blends!$D:$AA,21, FALSE)</f>
        <v>0</v>
      </c>
      <c r="AT44" s="67">
        <f>VLOOKUP($Y44,Blends!$D:$AA,22, FALSE)</f>
        <v>0</v>
      </c>
      <c r="AU44" s="67">
        <f>VLOOKUP($Y44,Blends!$D:$AA,23, FALSE)</f>
        <v>0</v>
      </c>
      <c r="AV44" s="67">
        <f>VLOOKUP($Y44,Blends!$D:$AA,24, FALSE)</f>
        <v>0</v>
      </c>
      <c r="AW44" s="68">
        <f t="shared" si="29"/>
        <v>0</v>
      </c>
      <c r="AX44" s="68">
        <f t="shared" si="30"/>
        <v>-320</v>
      </c>
      <c r="AY44" s="68">
        <f t="shared" si="31"/>
        <v>0</v>
      </c>
      <c r="AZ44" s="68">
        <f t="shared" si="32"/>
        <v>0</v>
      </c>
      <c r="BA44" s="68">
        <f t="shared" si="33"/>
        <v>0</v>
      </c>
      <c r="BB44" s="68">
        <f t="shared" si="34"/>
        <v>0</v>
      </c>
      <c r="BC44" s="68">
        <f t="shared" si="35"/>
        <v>0</v>
      </c>
      <c r="BD44" s="68">
        <f t="shared" si="36"/>
        <v>0</v>
      </c>
      <c r="BE44" s="68">
        <f t="shared" si="37"/>
        <v>0</v>
      </c>
      <c r="BF44" s="68">
        <f t="shared" si="38"/>
        <v>0</v>
      </c>
      <c r="BG44" s="68">
        <f t="shared" si="39"/>
        <v>0</v>
      </c>
      <c r="BH44" s="68">
        <f t="shared" si="40"/>
        <v>0</v>
      </c>
      <c r="BI44" s="68">
        <f t="shared" si="41"/>
        <v>0</v>
      </c>
      <c r="BJ44" s="68">
        <f t="shared" si="42"/>
        <v>0</v>
      </c>
      <c r="BK44" s="68">
        <f t="shared" si="43"/>
        <v>0</v>
      </c>
      <c r="BL44" s="68">
        <f t="shared" si="44"/>
        <v>0</v>
      </c>
      <c r="BM44" s="68">
        <f t="shared" si="45"/>
        <v>0</v>
      </c>
      <c r="BN44" s="68">
        <f t="shared" si="46"/>
        <v>0</v>
      </c>
      <c r="BO44" s="68">
        <f t="shared" si="47"/>
        <v>0</v>
      </c>
      <c r="BP44" s="68">
        <f t="shared" si="48"/>
        <v>0</v>
      </c>
      <c r="BQ44" s="68">
        <f t="shared" si="49"/>
        <v>0</v>
      </c>
      <c r="BR44" s="68">
        <f t="shared" si="50"/>
        <v>0</v>
      </c>
      <c r="BS44" s="68">
        <f t="shared" si="51"/>
        <v>0</v>
      </c>
      <c r="BT44" s="129">
        <f t="shared" si="52"/>
        <v>1</v>
      </c>
      <c r="BU44">
        <f>+VLOOKUP(E44,LogisticsReport!AI:HB,5,FALSE)</f>
        <v>-19.2</v>
      </c>
      <c r="BV44" s="205">
        <f t="shared" si="53"/>
        <v>0</v>
      </c>
    </row>
    <row r="45" spans="1:74" ht="12.75" customHeight="1" x14ac:dyDescent="0.25">
      <c r="A45" t="s">
        <v>167</v>
      </c>
      <c r="B45" t="s">
        <v>168</v>
      </c>
      <c r="C45" t="s">
        <v>195</v>
      </c>
      <c r="D45" t="s">
        <v>170</v>
      </c>
      <c r="E45" t="s">
        <v>1257</v>
      </c>
      <c r="F45" t="str">
        <f>VLOOKUP(E45,LogisticsReport!AI:AI,1,FALSE)</f>
        <v>SSKE-108572</v>
      </c>
      <c r="G45" t="str">
        <f>INDEX(DailyNetPosition!A:A,MATCH(E45,DailyNetPosition!B:B,0))</f>
        <v>Hedgeable</v>
      </c>
      <c r="H45" s="202" t="s">
        <v>195</v>
      </c>
      <c r="I45" s="202" t="s">
        <v>242</v>
      </c>
      <c r="J45" s="203">
        <v>46188</v>
      </c>
      <c r="K45" s="202">
        <v>-108</v>
      </c>
      <c r="L45" s="202">
        <v>-1800</v>
      </c>
      <c r="M45" s="202" t="s">
        <v>173</v>
      </c>
      <c r="N45" s="202" t="s">
        <v>174</v>
      </c>
      <c r="O45" s="202" t="s">
        <v>189</v>
      </c>
      <c r="P45" t="str">
        <f>VLOOKUP(Table3[[#This Row],[Sale Ctr.]],LogisticsReport!AI:AW,15,FALSE)</f>
        <v>2026/08 All - 2026/08 All</v>
      </c>
      <c r="Q45" s="77" t="str">
        <f t="shared" si="27"/>
        <v>2026/08</v>
      </c>
      <c r="R45" s="37" t="str">
        <f t="shared" si="28"/>
        <v>08</v>
      </c>
      <c r="S45" s="151">
        <v>50</v>
      </c>
      <c r="T45" s="151">
        <v>36.889200000000002</v>
      </c>
      <c r="U45" s="151" t="s">
        <v>1259</v>
      </c>
      <c r="V45" s="151" t="s">
        <v>232</v>
      </c>
      <c r="W45" s="151" t="s">
        <v>1260</v>
      </c>
      <c r="X45" s="152"/>
      <c r="Y45" s="204">
        <v>32</v>
      </c>
      <c r="Z45" s="67">
        <f>VLOOKUP($Y45,Blends!$D:$AA,2, FALSE)</f>
        <v>0</v>
      </c>
      <c r="AA45" s="67">
        <f>VLOOKUP($Y45,Blends!$D:$AA,3, FALSE)</f>
        <v>0</v>
      </c>
      <c r="AB45" s="67">
        <f>VLOOKUP($Y45,Blends!$D:$AA,4, FALSE)</f>
        <v>0</v>
      </c>
      <c r="AC45" s="67">
        <f>VLOOKUP($Y45,Blends!$D:$AA,5, FALSE)</f>
        <v>0</v>
      </c>
      <c r="AD45" s="67">
        <f>VLOOKUP($Y45,Blends!$D:$AA,6, FALSE)</f>
        <v>0</v>
      </c>
      <c r="AE45" s="67">
        <f>VLOOKUP($Y45,Blends!$D:$AA,7, FALSE)</f>
        <v>0</v>
      </c>
      <c r="AF45" s="67">
        <f>VLOOKUP($Y45,Blends!$D:$AA,8, FALSE)</f>
        <v>0</v>
      </c>
      <c r="AG45" s="67">
        <f>VLOOKUP($Y45,Blends!$D:$AA,9, FALSE)</f>
        <v>0</v>
      </c>
      <c r="AH45" s="67">
        <f>VLOOKUP($Y45,Blends!$D:$AA,10, FALSE)</f>
        <v>0</v>
      </c>
      <c r="AI45" s="67">
        <f>VLOOKUP($Y45,Blends!$D:$AA,11, FALSE)</f>
        <v>0</v>
      </c>
      <c r="AJ45" s="67">
        <f>VLOOKUP($Y45,Blends!$D:$AA,12, FALSE)</f>
        <v>0</v>
      </c>
      <c r="AK45" s="130">
        <f>VLOOKUP($Y45,Blends!$D:$AA,13, FALSE)</f>
        <v>0</v>
      </c>
      <c r="AL45" s="67">
        <f>VLOOKUP($Y45,Blends!$D:$AA,14, FALSE)</f>
        <v>0.25</v>
      </c>
      <c r="AM45" s="67">
        <f>VLOOKUP($Y45,Blends!$D:$AA,15, FALSE)</f>
        <v>0</v>
      </c>
      <c r="AN45" s="67">
        <f>VLOOKUP($Y45,Blends!$D:$AA,16, FALSE)</f>
        <v>0</v>
      </c>
      <c r="AO45" s="67">
        <f>VLOOKUP($Y45,Blends!$D:$AA,17, FALSE)</f>
        <v>0</v>
      </c>
      <c r="AP45" s="67">
        <f>VLOOKUP($Y45,Blends!$D:$AA,18, FALSE)</f>
        <v>0</v>
      </c>
      <c r="AQ45" s="130">
        <f>VLOOKUP($Y45,Blends!$D:$AA,19, FALSE)</f>
        <v>0.75</v>
      </c>
      <c r="AR45" s="67">
        <f>VLOOKUP($Y45,Blends!$D:$AA,20, FALSE)</f>
        <v>0</v>
      </c>
      <c r="AS45" s="67">
        <f>VLOOKUP($Y45,Blends!$D:$AA,21, FALSE)</f>
        <v>0</v>
      </c>
      <c r="AT45" s="67">
        <f>VLOOKUP($Y45,Blends!$D:$AA,22, FALSE)</f>
        <v>0</v>
      </c>
      <c r="AU45" s="67">
        <f>VLOOKUP($Y45,Blends!$D:$AA,23, FALSE)</f>
        <v>0</v>
      </c>
      <c r="AV45" s="67">
        <f>VLOOKUP($Y45,Blends!$D:$AA,24, FALSE)</f>
        <v>0</v>
      </c>
      <c r="AW45" s="68">
        <f t="shared" si="29"/>
        <v>0</v>
      </c>
      <c r="AX45" s="68">
        <f t="shared" si="30"/>
        <v>0</v>
      </c>
      <c r="AY45" s="68">
        <f t="shared" si="31"/>
        <v>0</v>
      </c>
      <c r="AZ45" s="68">
        <f t="shared" si="32"/>
        <v>0</v>
      </c>
      <c r="BA45" s="68">
        <f t="shared" si="33"/>
        <v>0</v>
      </c>
      <c r="BB45" s="68">
        <f t="shared" si="34"/>
        <v>0</v>
      </c>
      <c r="BC45" s="68">
        <f t="shared" si="35"/>
        <v>0</v>
      </c>
      <c r="BD45" s="68">
        <f t="shared" si="36"/>
        <v>0</v>
      </c>
      <c r="BE45" s="68">
        <f t="shared" si="37"/>
        <v>0</v>
      </c>
      <c r="BF45" s="68">
        <f t="shared" si="38"/>
        <v>0</v>
      </c>
      <c r="BG45" s="68">
        <f t="shared" si="39"/>
        <v>0</v>
      </c>
      <c r="BH45" s="68">
        <f t="shared" si="40"/>
        <v>0</v>
      </c>
      <c r="BI45" s="68">
        <f t="shared" si="41"/>
        <v>-450</v>
      </c>
      <c r="BJ45" s="68">
        <f t="shared" si="42"/>
        <v>0</v>
      </c>
      <c r="BK45" s="68">
        <f t="shared" si="43"/>
        <v>0</v>
      </c>
      <c r="BL45" s="68">
        <f t="shared" si="44"/>
        <v>0</v>
      </c>
      <c r="BM45" s="68">
        <f t="shared" si="45"/>
        <v>0</v>
      </c>
      <c r="BN45" s="68">
        <f t="shared" si="46"/>
        <v>-1350</v>
      </c>
      <c r="BO45" s="68">
        <f t="shared" si="47"/>
        <v>0</v>
      </c>
      <c r="BP45" s="68">
        <f t="shared" si="48"/>
        <v>0</v>
      </c>
      <c r="BQ45" s="68">
        <f t="shared" si="49"/>
        <v>0</v>
      </c>
      <c r="BR45" s="68">
        <f t="shared" si="50"/>
        <v>0</v>
      </c>
      <c r="BS45" s="68">
        <f t="shared" si="51"/>
        <v>0</v>
      </c>
      <c r="BT45" s="129">
        <f t="shared" si="52"/>
        <v>1</v>
      </c>
      <c r="BU45">
        <f>+VLOOKUP(E45,LogisticsReport!AI:HB,5,FALSE)</f>
        <v>-108</v>
      </c>
      <c r="BV45" s="205">
        <f t="shared" si="53"/>
        <v>0</v>
      </c>
    </row>
    <row r="46" spans="1:74" ht="15.75" x14ac:dyDescent="0.25">
      <c r="A46" t="s">
        <v>167</v>
      </c>
      <c r="B46" t="s">
        <v>168</v>
      </c>
      <c r="C46" t="s">
        <v>195</v>
      </c>
      <c r="D46" t="s">
        <v>170</v>
      </c>
      <c r="E46" t="s">
        <v>211</v>
      </c>
      <c r="F46" t="str">
        <f>VLOOKUP(E46,LogisticsReport!AI:AI,1,FALSE)</f>
        <v>SSKE-104929</v>
      </c>
      <c r="G46" t="str">
        <f>INDEX(DailyNetPosition!A:A,MATCH(E46,DailyNetPosition!B:B,0))</f>
        <v>Hedgeable</v>
      </c>
      <c r="H46" s="211" t="s">
        <v>195</v>
      </c>
      <c r="I46" s="151" t="s">
        <v>197</v>
      </c>
      <c r="J46" s="212">
        <v>46042</v>
      </c>
      <c r="K46" s="151">
        <v>-64.8</v>
      </c>
      <c r="L46" s="213">
        <v>-1080</v>
      </c>
      <c r="M46" s="151" t="s">
        <v>173</v>
      </c>
      <c r="N46" s="151" t="s">
        <v>174</v>
      </c>
      <c r="O46" s="151" t="s">
        <v>189</v>
      </c>
      <c r="P46" t="str">
        <f>VLOOKUP(Table3[[#This Row],[Sale Ctr.]],LogisticsReport!AI:AW,15,FALSE)</f>
        <v>2026/09 All - 2026/09 All</v>
      </c>
      <c r="Q46" s="77" t="str">
        <f t="shared" si="27"/>
        <v>2026/09</v>
      </c>
      <c r="R46" s="37" t="str">
        <f t="shared" si="28"/>
        <v>09</v>
      </c>
      <c r="S46" s="151">
        <v>133</v>
      </c>
      <c r="T46" s="151">
        <v>120.9996</v>
      </c>
      <c r="U46" s="151" t="s">
        <v>198</v>
      </c>
      <c r="V46" s="151" t="str">
        <f>VLOOKUP(Table3[[#This Row],[Sale Ctr.]],LogisticsReport!AI:DD,74,FALSE)</f>
        <v>KCH/2027</v>
      </c>
      <c r="W46" s="151"/>
      <c r="X46" s="152"/>
      <c r="Y46" s="204">
        <v>34</v>
      </c>
      <c r="Z46" s="67">
        <f>VLOOKUP($Y46,Blends!$D:$AA,2, FALSE)</f>
        <v>0</v>
      </c>
      <c r="AA46" s="67">
        <f>VLOOKUP($Y46,Blends!$D:$AA,3, FALSE)</f>
        <v>0</v>
      </c>
      <c r="AB46" s="67">
        <f>VLOOKUP($Y46,Blends!$D:$AA,4, FALSE)</f>
        <v>0</v>
      </c>
      <c r="AC46" s="67">
        <f>VLOOKUP($Y46,Blends!$D:$AA,5, FALSE)</f>
        <v>0.33</v>
      </c>
      <c r="AD46" s="67">
        <f>VLOOKUP($Y46,Blends!$D:$AA,6, FALSE)</f>
        <v>0</v>
      </c>
      <c r="AE46" s="67">
        <f>VLOOKUP($Y46,Blends!$D:$AA,7, FALSE)</f>
        <v>0</v>
      </c>
      <c r="AF46" s="67">
        <f>VLOOKUP($Y46,Blends!$D:$AA,8, FALSE)</f>
        <v>7.0000000000000007E-2</v>
      </c>
      <c r="AG46" s="67">
        <f>VLOOKUP($Y46,Blends!$D:$AA,9, FALSE)</f>
        <v>0.2</v>
      </c>
      <c r="AH46" s="67">
        <f>VLOOKUP($Y46,Blends!$D:$AA,10, FALSE)</f>
        <v>0</v>
      </c>
      <c r="AI46" s="67">
        <f>VLOOKUP($Y46,Blends!$D:$AA,11, FALSE)</f>
        <v>0.15</v>
      </c>
      <c r="AJ46" s="67">
        <f>VLOOKUP($Y46,Blends!$D:$AA,12, FALSE)</f>
        <v>0.02</v>
      </c>
      <c r="AK46" s="130">
        <f>VLOOKUP($Y46,Blends!$D:$AA,13, FALSE)</f>
        <v>0</v>
      </c>
      <c r="AL46" s="67">
        <f>VLOOKUP($Y46,Blends!$D:$AA,14, FALSE)</f>
        <v>0.2</v>
      </c>
      <c r="AM46" s="67">
        <f>VLOOKUP($Y46,Blends!$D:$AA,15, FALSE)</f>
        <v>0</v>
      </c>
      <c r="AN46" s="67">
        <f>VLOOKUP($Y46,Blends!$D:$AA,16, FALSE)</f>
        <v>0</v>
      </c>
      <c r="AO46" s="67">
        <f>VLOOKUP($Y46,Blends!$D:$AA,17, FALSE)</f>
        <v>0.03</v>
      </c>
      <c r="AP46" s="67">
        <f>VLOOKUP($Y46,Blends!$D:$AA,18, FALSE)</f>
        <v>0</v>
      </c>
      <c r="AQ46" s="130">
        <f>VLOOKUP($Y46,Blends!$D:$AA,19, FALSE)</f>
        <v>0</v>
      </c>
      <c r="AR46" s="67">
        <f>VLOOKUP($Y46,Blends!$D:$AA,20, FALSE)</f>
        <v>0</v>
      </c>
      <c r="AS46" s="67">
        <f>VLOOKUP($Y46,Blends!$D:$AA,21, FALSE)</f>
        <v>0</v>
      </c>
      <c r="AT46" s="67">
        <f>VLOOKUP($Y46,Blends!$D:$AA,22, FALSE)</f>
        <v>0</v>
      </c>
      <c r="AU46" s="67">
        <f>VLOOKUP($Y46,Blends!$D:$AA,23, FALSE)</f>
        <v>0</v>
      </c>
      <c r="AV46" s="67">
        <f>VLOOKUP($Y46,Blends!$D:$AA,24, FALSE)</f>
        <v>0</v>
      </c>
      <c r="AW46" s="68">
        <f t="shared" si="29"/>
        <v>0</v>
      </c>
      <c r="AX46" s="68">
        <f t="shared" si="30"/>
        <v>0</v>
      </c>
      <c r="AY46" s="68">
        <f t="shared" si="31"/>
        <v>0</v>
      </c>
      <c r="AZ46" s="68">
        <f t="shared" si="32"/>
        <v>-356.4</v>
      </c>
      <c r="BA46" s="68">
        <f t="shared" si="33"/>
        <v>0</v>
      </c>
      <c r="BB46" s="68">
        <f t="shared" si="34"/>
        <v>0</v>
      </c>
      <c r="BC46" s="68">
        <f t="shared" si="35"/>
        <v>-75.600000000000009</v>
      </c>
      <c r="BD46" s="68">
        <f t="shared" si="36"/>
        <v>-216</v>
      </c>
      <c r="BE46" s="68">
        <f t="shared" si="37"/>
        <v>0</v>
      </c>
      <c r="BF46" s="68">
        <f t="shared" si="38"/>
        <v>-161.99999999999997</v>
      </c>
      <c r="BG46" s="68">
        <f t="shared" si="39"/>
        <v>-21.6</v>
      </c>
      <c r="BH46" s="68">
        <f t="shared" si="40"/>
        <v>0</v>
      </c>
      <c r="BI46" s="68">
        <f t="shared" si="41"/>
        <v>-216</v>
      </c>
      <c r="BJ46" s="68">
        <f t="shared" si="42"/>
        <v>0</v>
      </c>
      <c r="BK46" s="68">
        <f t="shared" si="43"/>
        <v>0</v>
      </c>
      <c r="BL46" s="68">
        <f t="shared" si="44"/>
        <v>-32.4</v>
      </c>
      <c r="BM46" s="68">
        <f t="shared" si="45"/>
        <v>0</v>
      </c>
      <c r="BN46" s="68">
        <f t="shared" si="46"/>
        <v>0</v>
      </c>
      <c r="BO46" s="68">
        <f t="shared" si="47"/>
        <v>0</v>
      </c>
      <c r="BP46" s="68">
        <f t="shared" si="48"/>
        <v>0</v>
      </c>
      <c r="BQ46" s="68">
        <f t="shared" si="49"/>
        <v>0</v>
      </c>
      <c r="BR46" s="68">
        <f t="shared" si="50"/>
        <v>0</v>
      </c>
      <c r="BS46" s="68">
        <f t="shared" si="51"/>
        <v>0</v>
      </c>
      <c r="BT46" s="140">
        <f t="shared" si="52"/>
        <v>1.0000000000000002</v>
      </c>
      <c r="BU46">
        <f>+VLOOKUP(E46,LogisticsReport!AI:HB,5,FALSE)</f>
        <v>-64.8</v>
      </c>
      <c r="BV46" s="205">
        <f t="shared" si="53"/>
        <v>0</v>
      </c>
    </row>
    <row r="47" spans="1:74" ht="15.75" x14ac:dyDescent="0.25">
      <c r="A47" t="s">
        <v>167</v>
      </c>
      <c r="B47" t="s">
        <v>168</v>
      </c>
      <c r="C47" t="s">
        <v>195</v>
      </c>
      <c r="D47" t="s">
        <v>170</v>
      </c>
      <c r="E47" t="s">
        <v>212</v>
      </c>
      <c r="F47" t="str">
        <f>VLOOKUP(E47,LogisticsReport!AI:AI,1,FALSE)</f>
        <v>SSKE-104938</v>
      </c>
      <c r="G47" t="str">
        <f>INDEX(DailyNetPosition!A:A,MATCH(E47,DailyNetPosition!B:B,0))</f>
        <v>Hedgeable</v>
      </c>
      <c r="H47" s="211" t="s">
        <v>195</v>
      </c>
      <c r="I47" s="151" t="s">
        <v>197</v>
      </c>
      <c r="J47" s="212">
        <v>46042</v>
      </c>
      <c r="K47" s="151">
        <v>-64.8</v>
      </c>
      <c r="L47" s="213">
        <v>-1080</v>
      </c>
      <c r="M47" s="151" t="s">
        <v>173</v>
      </c>
      <c r="N47" s="151" t="s">
        <v>174</v>
      </c>
      <c r="O47" s="151" t="s">
        <v>189</v>
      </c>
      <c r="P47" t="str">
        <f>VLOOKUP(Table3[[#This Row],[Sale Ctr.]],LogisticsReport!AI:AW,15,FALSE)</f>
        <v>2026/09 All - 2026/09 All</v>
      </c>
      <c r="Q47" s="77" t="str">
        <f t="shared" si="27"/>
        <v>2026/09</v>
      </c>
      <c r="R47" s="37" t="str">
        <f t="shared" si="28"/>
        <v>09</v>
      </c>
      <c r="S47" s="151">
        <v>123</v>
      </c>
      <c r="T47" s="151">
        <v>111.0001</v>
      </c>
      <c r="U47" s="151" t="s">
        <v>200</v>
      </c>
      <c r="V47" s="151" t="str">
        <f>VLOOKUP(Table3[[#This Row],[Sale Ctr.]],LogisticsReport!AI:DD,74,FALSE)</f>
        <v>KCH/2027</v>
      </c>
      <c r="W47" s="151"/>
      <c r="X47" s="152"/>
      <c r="Y47" s="204">
        <v>34</v>
      </c>
      <c r="Z47" s="67">
        <f>VLOOKUP($Y47,Blends!$D:$AA,2, FALSE)</f>
        <v>0</v>
      </c>
      <c r="AA47" s="67">
        <f>VLOOKUP($Y47,Blends!$D:$AA,3, FALSE)</f>
        <v>0</v>
      </c>
      <c r="AB47" s="67">
        <f>VLOOKUP($Y47,Blends!$D:$AA,4, FALSE)</f>
        <v>0</v>
      </c>
      <c r="AC47" s="67">
        <f>VLOOKUP($Y47,Blends!$D:$AA,5, FALSE)</f>
        <v>0.33</v>
      </c>
      <c r="AD47" s="67">
        <f>VLOOKUP($Y47,Blends!$D:$AA,6, FALSE)</f>
        <v>0</v>
      </c>
      <c r="AE47" s="67">
        <f>VLOOKUP($Y47,Blends!$D:$AA,7, FALSE)</f>
        <v>0</v>
      </c>
      <c r="AF47" s="67">
        <f>VLOOKUP($Y47,Blends!$D:$AA,8, FALSE)</f>
        <v>7.0000000000000007E-2</v>
      </c>
      <c r="AG47" s="67">
        <f>VLOOKUP($Y47,Blends!$D:$AA,9, FALSE)</f>
        <v>0.2</v>
      </c>
      <c r="AH47" s="67">
        <f>VLOOKUP($Y47,Blends!$D:$AA,10, FALSE)</f>
        <v>0</v>
      </c>
      <c r="AI47" s="67">
        <f>VLOOKUP($Y47,Blends!$D:$AA,11, FALSE)</f>
        <v>0.15</v>
      </c>
      <c r="AJ47" s="67">
        <f>VLOOKUP($Y47,Blends!$D:$AA,12, FALSE)</f>
        <v>0.02</v>
      </c>
      <c r="AK47" s="130">
        <f>VLOOKUP($Y47,Blends!$D:$AA,13, FALSE)</f>
        <v>0</v>
      </c>
      <c r="AL47" s="67">
        <f>VLOOKUP($Y47,Blends!$D:$AA,14, FALSE)</f>
        <v>0.2</v>
      </c>
      <c r="AM47" s="67">
        <f>VLOOKUP($Y47,Blends!$D:$AA,15, FALSE)</f>
        <v>0</v>
      </c>
      <c r="AN47" s="67">
        <f>VLOOKUP($Y47,Blends!$D:$AA,16, FALSE)</f>
        <v>0</v>
      </c>
      <c r="AO47" s="67">
        <f>VLOOKUP($Y47,Blends!$D:$AA,17, FALSE)</f>
        <v>0.03</v>
      </c>
      <c r="AP47" s="67">
        <f>VLOOKUP($Y47,Blends!$D:$AA,18, FALSE)</f>
        <v>0</v>
      </c>
      <c r="AQ47" s="130">
        <f>VLOOKUP($Y47,Blends!$D:$AA,19, FALSE)</f>
        <v>0</v>
      </c>
      <c r="AR47" s="67">
        <f>VLOOKUP($Y47,Blends!$D:$AA,20, FALSE)</f>
        <v>0</v>
      </c>
      <c r="AS47" s="67">
        <f>VLOOKUP($Y47,Blends!$D:$AA,21, FALSE)</f>
        <v>0</v>
      </c>
      <c r="AT47" s="67">
        <f>VLOOKUP($Y47,Blends!$D:$AA,22, FALSE)</f>
        <v>0</v>
      </c>
      <c r="AU47" s="67">
        <f>VLOOKUP($Y47,Blends!$D:$AA,23, FALSE)</f>
        <v>0</v>
      </c>
      <c r="AV47" s="67">
        <f>VLOOKUP($Y47,Blends!$D:$AA,24, FALSE)</f>
        <v>0</v>
      </c>
      <c r="AW47" s="68">
        <f t="shared" si="29"/>
        <v>0</v>
      </c>
      <c r="AX47" s="68">
        <f t="shared" si="30"/>
        <v>0</v>
      </c>
      <c r="AY47" s="68">
        <f t="shared" si="31"/>
        <v>0</v>
      </c>
      <c r="AZ47" s="68">
        <f t="shared" si="32"/>
        <v>-356.4</v>
      </c>
      <c r="BA47" s="68">
        <f t="shared" si="33"/>
        <v>0</v>
      </c>
      <c r="BB47" s="68">
        <f t="shared" si="34"/>
        <v>0</v>
      </c>
      <c r="BC47" s="68">
        <f t="shared" si="35"/>
        <v>-75.600000000000009</v>
      </c>
      <c r="BD47" s="68">
        <f t="shared" si="36"/>
        <v>-216</v>
      </c>
      <c r="BE47" s="68">
        <f t="shared" si="37"/>
        <v>0</v>
      </c>
      <c r="BF47" s="68">
        <f t="shared" si="38"/>
        <v>-161.99999999999997</v>
      </c>
      <c r="BG47" s="68">
        <f t="shared" si="39"/>
        <v>-21.6</v>
      </c>
      <c r="BH47" s="68">
        <f t="shared" si="40"/>
        <v>0</v>
      </c>
      <c r="BI47" s="68">
        <f t="shared" si="41"/>
        <v>-216</v>
      </c>
      <c r="BJ47" s="68">
        <f t="shared" si="42"/>
        <v>0</v>
      </c>
      <c r="BK47" s="68">
        <f t="shared" si="43"/>
        <v>0</v>
      </c>
      <c r="BL47" s="68">
        <f t="shared" si="44"/>
        <v>-32.4</v>
      </c>
      <c r="BM47" s="68">
        <f t="shared" si="45"/>
        <v>0</v>
      </c>
      <c r="BN47" s="68">
        <f t="shared" si="46"/>
        <v>0</v>
      </c>
      <c r="BO47" s="68">
        <f t="shared" si="47"/>
        <v>0</v>
      </c>
      <c r="BP47" s="68">
        <f t="shared" si="48"/>
        <v>0</v>
      </c>
      <c r="BQ47" s="68">
        <f t="shared" si="49"/>
        <v>0</v>
      </c>
      <c r="BR47" s="68">
        <f t="shared" si="50"/>
        <v>0</v>
      </c>
      <c r="BS47" s="68">
        <f t="shared" si="51"/>
        <v>0</v>
      </c>
      <c r="BT47" s="140">
        <f t="shared" si="52"/>
        <v>1.0000000000000002</v>
      </c>
      <c r="BU47">
        <f>+VLOOKUP(E47,LogisticsReport!AI:HB,5,FALSE)</f>
        <v>-64.8</v>
      </c>
      <c r="BV47" s="205">
        <f t="shared" si="53"/>
        <v>0</v>
      </c>
    </row>
    <row r="48" spans="1:74" ht="15.75" x14ac:dyDescent="0.25">
      <c r="A48" t="s">
        <v>167</v>
      </c>
      <c r="B48" t="s">
        <v>168</v>
      </c>
      <c r="C48" t="s">
        <v>267</v>
      </c>
      <c r="D48" t="s">
        <v>170</v>
      </c>
      <c r="E48" t="s">
        <v>288</v>
      </c>
      <c r="F48" t="str">
        <f>VLOOKUP(E48,LogisticsReport!AI:AI,1,FALSE)</f>
        <v>SSKE-107893</v>
      </c>
      <c r="G48" t="str">
        <f>INDEX(DailyNetPosition!A:A,MATCH(E48,DailyNetPosition!B:B,0))</f>
        <v>Hedgeable</v>
      </c>
      <c r="H48" s="133" t="s">
        <v>267</v>
      </c>
      <c r="I48" s="133" t="s">
        <v>197</v>
      </c>
      <c r="J48" s="149">
        <v>46156</v>
      </c>
      <c r="K48" s="133">
        <v>-144.9</v>
      </c>
      <c r="L48" s="133">
        <f>Table3[[#This Row],[SMT]]*1000/60</f>
        <v>-2415</v>
      </c>
      <c r="M48" s="133" t="s">
        <v>173</v>
      </c>
      <c r="N48" s="133" t="s">
        <v>174</v>
      </c>
      <c r="O48" s="133" t="s">
        <v>189</v>
      </c>
      <c r="P48" t="str">
        <f>VLOOKUP(Table3[[#This Row],[Sale Ctr.]],LogisticsReport!AI:AW,15,FALSE)</f>
        <v>2026/09 All - 2026/09 All</v>
      </c>
      <c r="Q48" s="77" t="str">
        <f t="shared" si="27"/>
        <v>2026/09</v>
      </c>
      <c r="R48" s="37" t="str">
        <f t="shared" si="28"/>
        <v>09</v>
      </c>
      <c r="S48">
        <v>17</v>
      </c>
      <c r="T48">
        <v>9.5001999999999995</v>
      </c>
      <c r="U48" t="s">
        <v>289</v>
      </c>
      <c r="V48" t="s">
        <v>290</v>
      </c>
      <c r="Y48" s="54">
        <v>105</v>
      </c>
      <c r="Z48" s="67">
        <f>VLOOKUP($Y48,Blends!$D:$AA,2, FALSE)</f>
        <v>0</v>
      </c>
      <c r="AA48" s="67">
        <f>VLOOKUP($Y48,Blends!$D:$AA,3, FALSE)</f>
        <v>0</v>
      </c>
      <c r="AB48" s="67">
        <f>VLOOKUP($Y48,Blends!$D:$AA,4, FALSE)</f>
        <v>0</v>
      </c>
      <c r="AC48" s="67">
        <f>VLOOKUP($Y48,Blends!$D:$AA,5, FALSE)</f>
        <v>0</v>
      </c>
      <c r="AD48" s="67">
        <f>VLOOKUP($Y48,Blends!$D:$AA,6, FALSE)</f>
        <v>0</v>
      </c>
      <c r="AE48" s="67">
        <f>VLOOKUP($Y48,Blends!$D:$AA,7, FALSE)</f>
        <v>0</v>
      </c>
      <c r="AF48" s="67">
        <f>VLOOKUP($Y48,Blends!$D:$AA,8, FALSE)</f>
        <v>0</v>
      </c>
      <c r="AG48" s="130">
        <f>VLOOKUP($Y48,Blends!$D:$AA,9, FALSE)</f>
        <v>0</v>
      </c>
      <c r="AH48" s="130">
        <f>VLOOKUP($Y48,Blends!$D:$AA,10, FALSE)</f>
        <v>0</v>
      </c>
      <c r="AI48" s="67">
        <f>VLOOKUP($Y48,Blends!$D:$AA,11, FALSE)</f>
        <v>0</v>
      </c>
      <c r="AJ48" s="67">
        <f>VLOOKUP($Y48,Blends!$D:$AA,12, FALSE)</f>
        <v>0</v>
      </c>
      <c r="AK48" s="130">
        <f>VLOOKUP($Y48,Blends!$D:$AA,13, FALSE)</f>
        <v>0</v>
      </c>
      <c r="AL48" s="130">
        <f>VLOOKUP($Y48,Blends!$D:$AA,14, FALSE)</f>
        <v>0</v>
      </c>
      <c r="AM48" s="130">
        <f>VLOOKUP($Y48,Blends!$D:$AA,15, FALSE)</f>
        <v>0</v>
      </c>
      <c r="AN48" s="130">
        <f>VLOOKUP($Y48,Blends!$D:$AA,16, FALSE)</f>
        <v>0</v>
      </c>
      <c r="AO48" s="130">
        <f>VLOOKUP($Y48,Blends!$D:$AA,17, FALSE)</f>
        <v>0</v>
      </c>
      <c r="AP48" s="67">
        <f>VLOOKUP($Y48,Blends!$D:$AA,18, FALSE)</f>
        <v>0</v>
      </c>
      <c r="AQ48" s="130">
        <f>VLOOKUP($Y48,Blends!$D:$AA,19, FALSE)</f>
        <v>0.25</v>
      </c>
      <c r="AR48" s="67">
        <f>VLOOKUP($Y48,Blends!$D:$AA,20, FALSE)</f>
        <v>0.75</v>
      </c>
      <c r="AS48" s="67">
        <f>VLOOKUP($Y48,Blends!$D:$AA,21, FALSE)</f>
        <v>0</v>
      </c>
      <c r="AT48" s="67">
        <f>VLOOKUP($Y48,Blends!$D:$AA,22, FALSE)</f>
        <v>0</v>
      </c>
      <c r="AU48" s="67">
        <f>VLOOKUP($Y48,Blends!$D:$AA,23, FALSE)</f>
        <v>0</v>
      </c>
      <c r="AV48" s="67">
        <f>VLOOKUP($Y48,Blends!$D:$AA,24, FALSE)</f>
        <v>0</v>
      </c>
      <c r="AW48" s="128">
        <f t="shared" si="29"/>
        <v>0</v>
      </c>
      <c r="AX48" s="128">
        <f t="shared" si="30"/>
        <v>0</v>
      </c>
      <c r="AY48" s="128">
        <f t="shared" si="31"/>
        <v>0</v>
      </c>
      <c r="AZ48" s="128">
        <f t="shared" si="32"/>
        <v>0</v>
      </c>
      <c r="BA48" s="128">
        <f t="shared" si="33"/>
        <v>0</v>
      </c>
      <c r="BB48" s="128">
        <f t="shared" si="34"/>
        <v>0</v>
      </c>
      <c r="BC48" s="128">
        <f t="shared" si="35"/>
        <v>0</v>
      </c>
      <c r="BD48" s="128">
        <f t="shared" si="36"/>
        <v>0</v>
      </c>
      <c r="BE48" s="128">
        <f t="shared" si="37"/>
        <v>0</v>
      </c>
      <c r="BF48" s="128">
        <f t="shared" si="38"/>
        <v>0</v>
      </c>
      <c r="BG48" s="128">
        <f t="shared" si="39"/>
        <v>0</v>
      </c>
      <c r="BH48" s="128">
        <f t="shared" si="40"/>
        <v>0</v>
      </c>
      <c r="BI48" s="128">
        <f t="shared" si="41"/>
        <v>0</v>
      </c>
      <c r="BJ48" s="128">
        <f t="shared" si="42"/>
        <v>0</v>
      </c>
      <c r="BK48" s="128">
        <f t="shared" si="43"/>
        <v>0</v>
      </c>
      <c r="BL48" s="128">
        <f t="shared" si="44"/>
        <v>0</v>
      </c>
      <c r="BM48" s="128">
        <f t="shared" si="45"/>
        <v>0</v>
      </c>
      <c r="BN48" s="128">
        <f t="shared" si="46"/>
        <v>-603.75</v>
      </c>
      <c r="BO48" s="128">
        <f t="shared" si="47"/>
        <v>-1811.2500000000002</v>
      </c>
      <c r="BP48" s="128">
        <f t="shared" si="48"/>
        <v>0</v>
      </c>
      <c r="BQ48" s="128">
        <f t="shared" si="49"/>
        <v>0</v>
      </c>
      <c r="BR48" s="128">
        <f t="shared" si="50"/>
        <v>0</v>
      </c>
      <c r="BS48" s="128">
        <f t="shared" si="51"/>
        <v>0</v>
      </c>
      <c r="BT48" s="129">
        <f t="shared" si="52"/>
        <v>1</v>
      </c>
      <c r="BU48">
        <f>+VLOOKUP(E48,LogisticsReport!AI:HB,5,FALSE)</f>
        <v>-151.19999999999999</v>
      </c>
      <c r="BV48" s="205">
        <f t="shared" si="53"/>
        <v>-6.2999999999999829</v>
      </c>
    </row>
    <row r="49" spans="1:74" ht="15.75" x14ac:dyDescent="0.25">
      <c r="A49" t="s">
        <v>167</v>
      </c>
      <c r="B49" t="s">
        <v>168</v>
      </c>
      <c r="C49" t="s">
        <v>179</v>
      </c>
      <c r="D49" t="s">
        <v>170</v>
      </c>
      <c r="E49" t="s">
        <v>313</v>
      </c>
      <c r="F49" t="str">
        <f>VLOOKUP(E49,LogisticsReport!AI:AI,1,FALSE)</f>
        <v>SSKE-108405</v>
      </c>
      <c r="G49" t="str">
        <f>INDEX(DailyNetPosition!A:A,MATCH(E49,DailyNetPosition!B:B,0))</f>
        <v>Hedgeable</v>
      </c>
      <c r="H49" s="133" t="s">
        <v>179</v>
      </c>
      <c r="I49" s="133" t="s">
        <v>227</v>
      </c>
      <c r="J49" s="149">
        <v>46178</v>
      </c>
      <c r="K49" s="133">
        <v>-19.2</v>
      </c>
      <c r="L49" s="133">
        <v>-320</v>
      </c>
      <c r="M49" s="133" t="s">
        <v>173</v>
      </c>
      <c r="N49" s="133" t="s">
        <v>174</v>
      </c>
      <c r="O49" s="133" t="s">
        <v>205</v>
      </c>
      <c r="P49" t="str">
        <f>VLOOKUP(Table3[[#This Row],[Sale Ctr.]],LogisticsReport!AI:AW,15,FALSE)</f>
        <v>2026/09 All - 2026/09 All</v>
      </c>
      <c r="Q49" s="77" t="str">
        <f t="shared" si="27"/>
        <v>2026/09</v>
      </c>
      <c r="R49" s="37" t="str">
        <f t="shared" si="28"/>
        <v>09</v>
      </c>
      <c r="S49" s="214">
        <v>75</v>
      </c>
      <c r="T49" s="214">
        <v>71.002899999999997</v>
      </c>
      <c r="U49" s="214" t="s">
        <v>48</v>
      </c>
      <c r="V49" s="214" t="s">
        <v>315</v>
      </c>
      <c r="W49" s="214" t="s">
        <v>228</v>
      </c>
      <c r="X49" s="214"/>
      <c r="Y49" s="215">
        <v>23</v>
      </c>
      <c r="Z49" s="67">
        <f>VLOOKUP($Y49,Blends!$D:$AA,2, FALSE)</f>
        <v>0</v>
      </c>
      <c r="AA49" s="67">
        <f>VLOOKUP($Y49,Blends!$D:$AA,3, FALSE)</f>
        <v>0</v>
      </c>
      <c r="AB49" s="67">
        <f>VLOOKUP($Y49,Blends!$D:$AA,4, FALSE)</f>
        <v>0</v>
      </c>
      <c r="AC49" s="67">
        <f>VLOOKUP($Y49,Blends!$D:$AA,5, FALSE)</f>
        <v>0</v>
      </c>
      <c r="AD49" s="67">
        <f>VLOOKUP($Y49,Blends!$D:$AA,6, FALSE)</f>
        <v>0</v>
      </c>
      <c r="AE49" s="67">
        <f>VLOOKUP($Y49,Blends!$D:$AA,7, FALSE)</f>
        <v>0</v>
      </c>
      <c r="AF49" s="67">
        <f>VLOOKUP($Y49,Blends!$D:$AA,8, FALSE)</f>
        <v>0</v>
      </c>
      <c r="AG49" s="130">
        <f>VLOOKUP($Y49,Blends!$D:$AA,9, FALSE)</f>
        <v>0</v>
      </c>
      <c r="AH49" s="130">
        <f>VLOOKUP($Y49,Blends!$D:$AA,10, FALSE)</f>
        <v>0</v>
      </c>
      <c r="AI49" s="67">
        <f>VLOOKUP($Y49,Blends!$D:$AA,11, FALSE)</f>
        <v>0</v>
      </c>
      <c r="AJ49" s="67">
        <f>VLOOKUP($Y49,Blends!$D:$AA,12, FALSE)</f>
        <v>0</v>
      </c>
      <c r="AK49" s="130">
        <f>VLOOKUP($Y49,Blends!$D:$AA,13, FALSE)</f>
        <v>1</v>
      </c>
      <c r="AL49" s="130">
        <f>VLOOKUP($Y49,Blends!$D:$AA,14, FALSE)</f>
        <v>0</v>
      </c>
      <c r="AM49" s="130">
        <f>VLOOKUP($Y49,Blends!$D:$AA,15, FALSE)</f>
        <v>0</v>
      </c>
      <c r="AN49" s="130">
        <f>VLOOKUP($Y49,Blends!$D:$AA,16, FALSE)</f>
        <v>0</v>
      </c>
      <c r="AO49" s="130">
        <f>VLOOKUP($Y49,Blends!$D:$AA,17, FALSE)</f>
        <v>0</v>
      </c>
      <c r="AP49" s="67">
        <f>VLOOKUP($Y49,Blends!$D:$AA,18, FALSE)</f>
        <v>0</v>
      </c>
      <c r="AQ49" s="130">
        <f>VLOOKUP($Y49,Blends!$D:$AA,19, FALSE)</f>
        <v>0</v>
      </c>
      <c r="AR49" s="67">
        <f>VLOOKUP($Y49,Blends!$D:$AA,20, FALSE)</f>
        <v>0</v>
      </c>
      <c r="AS49" s="67">
        <f>VLOOKUP($Y49,Blends!$D:$AA,21, FALSE)</f>
        <v>0</v>
      </c>
      <c r="AT49" s="67">
        <f>VLOOKUP($Y49,Blends!$D:$AA,22, FALSE)</f>
        <v>0</v>
      </c>
      <c r="AU49" s="67">
        <f>VLOOKUP($Y49,Blends!$D:$AA,23, FALSE)</f>
        <v>0</v>
      </c>
      <c r="AV49" s="67">
        <f>VLOOKUP($Y49,Blends!$D:$AA,24, FALSE)</f>
        <v>0</v>
      </c>
      <c r="AW49" s="128">
        <f t="shared" si="29"/>
        <v>0</v>
      </c>
      <c r="AX49" s="128">
        <f t="shared" si="30"/>
        <v>0</v>
      </c>
      <c r="AY49" s="128">
        <f t="shared" si="31"/>
        <v>0</v>
      </c>
      <c r="AZ49" s="128">
        <f t="shared" si="32"/>
        <v>0</v>
      </c>
      <c r="BA49" s="128">
        <f t="shared" si="33"/>
        <v>0</v>
      </c>
      <c r="BB49" s="128">
        <f t="shared" si="34"/>
        <v>0</v>
      </c>
      <c r="BC49" s="128">
        <f t="shared" si="35"/>
        <v>0</v>
      </c>
      <c r="BD49" s="128">
        <f t="shared" si="36"/>
        <v>0</v>
      </c>
      <c r="BE49" s="128">
        <f t="shared" si="37"/>
        <v>0</v>
      </c>
      <c r="BF49" s="128">
        <f t="shared" si="38"/>
        <v>0</v>
      </c>
      <c r="BG49" s="128">
        <f t="shared" si="39"/>
        <v>0</v>
      </c>
      <c r="BH49" s="128">
        <f t="shared" si="40"/>
        <v>-320</v>
      </c>
      <c r="BI49" s="128">
        <f t="shared" si="41"/>
        <v>0</v>
      </c>
      <c r="BJ49" s="128">
        <f t="shared" si="42"/>
        <v>0</v>
      </c>
      <c r="BK49" s="128">
        <f t="shared" si="43"/>
        <v>0</v>
      </c>
      <c r="BL49" s="128">
        <f t="shared" si="44"/>
        <v>0</v>
      </c>
      <c r="BM49" s="128">
        <f t="shared" si="45"/>
        <v>0</v>
      </c>
      <c r="BN49" s="128">
        <f t="shared" si="46"/>
        <v>0</v>
      </c>
      <c r="BO49" s="128">
        <f t="shared" si="47"/>
        <v>0</v>
      </c>
      <c r="BP49" s="128">
        <f t="shared" si="48"/>
        <v>0</v>
      </c>
      <c r="BQ49" s="128">
        <f t="shared" si="49"/>
        <v>0</v>
      </c>
      <c r="BR49" s="128">
        <f t="shared" si="50"/>
        <v>0</v>
      </c>
      <c r="BS49" s="128">
        <f t="shared" si="51"/>
        <v>0</v>
      </c>
      <c r="BT49" s="129">
        <f t="shared" si="52"/>
        <v>1</v>
      </c>
      <c r="BU49">
        <f>+VLOOKUP(E49,LogisticsReport!AI:HB,5,FALSE)</f>
        <v>-19.2</v>
      </c>
      <c r="BV49" s="205">
        <f t="shared" si="53"/>
        <v>0</v>
      </c>
    </row>
    <row r="50" spans="1:74" ht="15.75" x14ac:dyDescent="0.25">
      <c r="A50" t="s">
        <v>167</v>
      </c>
      <c r="B50" t="s">
        <v>168</v>
      </c>
      <c r="C50" t="s">
        <v>179</v>
      </c>
      <c r="D50" t="s">
        <v>170</v>
      </c>
      <c r="E50" t="s">
        <v>316</v>
      </c>
      <c r="F50" t="str">
        <f>VLOOKUP(E50,LogisticsReport!AI:AI,1,FALSE)</f>
        <v>SSKE-108406</v>
      </c>
      <c r="G50" t="str">
        <f>INDEX(DailyNetPosition!A:A,MATCH(E50,DailyNetPosition!B:B,0))</f>
        <v>Hedgeable</v>
      </c>
      <c r="H50" s="133" t="s">
        <v>179</v>
      </c>
      <c r="I50" s="133" t="s">
        <v>227</v>
      </c>
      <c r="J50" s="149">
        <v>46178</v>
      </c>
      <c r="K50" s="133">
        <v>-19.2</v>
      </c>
      <c r="L50" s="133">
        <v>-320</v>
      </c>
      <c r="M50" s="133" t="s">
        <v>173</v>
      </c>
      <c r="N50" s="133" t="s">
        <v>174</v>
      </c>
      <c r="O50" s="133" t="s">
        <v>205</v>
      </c>
      <c r="P50" t="str">
        <f>VLOOKUP(Table3[[#This Row],[Sale Ctr.]],LogisticsReport!AI:AW,15,FALSE)</f>
        <v>2026/09 All - 2026/09 All</v>
      </c>
      <c r="Q50" s="77" t="str">
        <f t="shared" si="27"/>
        <v>2026/09</v>
      </c>
      <c r="R50" s="37" t="str">
        <f t="shared" si="28"/>
        <v>09</v>
      </c>
      <c r="S50" s="214">
        <v>75</v>
      </c>
      <c r="T50" s="214">
        <v>71.002899999999997</v>
      </c>
      <c r="U50" s="214" t="s">
        <v>48</v>
      </c>
      <c r="V50" s="214" t="s">
        <v>315</v>
      </c>
      <c r="W50" s="214" t="s">
        <v>228</v>
      </c>
      <c r="X50" s="214"/>
      <c r="Y50" s="215">
        <v>23</v>
      </c>
      <c r="Z50" s="67">
        <f>VLOOKUP($Y50,Blends!$D:$AA,2, FALSE)</f>
        <v>0</v>
      </c>
      <c r="AA50" s="67">
        <f>VLOOKUP($Y50,Blends!$D:$AA,3, FALSE)</f>
        <v>0</v>
      </c>
      <c r="AB50" s="67">
        <f>VLOOKUP($Y50,Blends!$D:$AA,4, FALSE)</f>
        <v>0</v>
      </c>
      <c r="AC50" s="67">
        <f>VLOOKUP($Y50,Blends!$D:$AA,5, FALSE)</f>
        <v>0</v>
      </c>
      <c r="AD50" s="67">
        <f>VLOOKUP($Y50,Blends!$D:$AA,6, FALSE)</f>
        <v>0</v>
      </c>
      <c r="AE50" s="67">
        <f>VLOOKUP($Y50,Blends!$D:$AA,7, FALSE)</f>
        <v>0</v>
      </c>
      <c r="AF50" s="67">
        <f>VLOOKUP($Y50,Blends!$D:$AA,8, FALSE)</f>
        <v>0</v>
      </c>
      <c r="AG50" s="130">
        <f>VLOOKUP($Y50,Blends!$D:$AA,9, FALSE)</f>
        <v>0</v>
      </c>
      <c r="AH50" s="130">
        <f>VLOOKUP($Y50,Blends!$D:$AA,10, FALSE)</f>
        <v>0</v>
      </c>
      <c r="AI50" s="67">
        <f>VLOOKUP($Y50,Blends!$D:$AA,11, FALSE)</f>
        <v>0</v>
      </c>
      <c r="AJ50" s="67">
        <f>VLOOKUP($Y50,Blends!$D:$AA,12, FALSE)</f>
        <v>0</v>
      </c>
      <c r="AK50" s="130">
        <f>VLOOKUP($Y50,Blends!$D:$AA,13, FALSE)</f>
        <v>1</v>
      </c>
      <c r="AL50" s="130">
        <f>VLOOKUP($Y50,Blends!$D:$AA,14, FALSE)</f>
        <v>0</v>
      </c>
      <c r="AM50" s="130">
        <f>VLOOKUP($Y50,Blends!$D:$AA,15, FALSE)</f>
        <v>0</v>
      </c>
      <c r="AN50" s="130">
        <f>VLOOKUP($Y50,Blends!$D:$AA,16, FALSE)</f>
        <v>0</v>
      </c>
      <c r="AO50" s="130">
        <f>VLOOKUP($Y50,Blends!$D:$AA,17, FALSE)</f>
        <v>0</v>
      </c>
      <c r="AP50" s="67">
        <f>VLOOKUP($Y50,Blends!$D:$AA,18, FALSE)</f>
        <v>0</v>
      </c>
      <c r="AQ50" s="130">
        <f>VLOOKUP($Y50,Blends!$D:$AA,19, FALSE)</f>
        <v>0</v>
      </c>
      <c r="AR50" s="67">
        <f>VLOOKUP($Y50,Blends!$D:$AA,20, FALSE)</f>
        <v>0</v>
      </c>
      <c r="AS50" s="67">
        <f>VLOOKUP($Y50,Blends!$D:$AA,21, FALSE)</f>
        <v>0</v>
      </c>
      <c r="AT50" s="67">
        <f>VLOOKUP($Y50,Blends!$D:$AA,22, FALSE)</f>
        <v>0</v>
      </c>
      <c r="AU50" s="67">
        <f>VLOOKUP($Y50,Blends!$D:$AA,23, FALSE)</f>
        <v>0</v>
      </c>
      <c r="AV50" s="67">
        <f>VLOOKUP($Y50,Blends!$D:$AA,24, FALSE)</f>
        <v>0</v>
      </c>
      <c r="AW50" s="128">
        <f t="shared" si="29"/>
        <v>0</v>
      </c>
      <c r="AX50" s="128">
        <f t="shared" si="30"/>
        <v>0</v>
      </c>
      <c r="AY50" s="128">
        <f t="shared" si="31"/>
        <v>0</v>
      </c>
      <c r="AZ50" s="128">
        <f t="shared" si="32"/>
        <v>0</v>
      </c>
      <c r="BA50" s="128">
        <f t="shared" si="33"/>
        <v>0</v>
      </c>
      <c r="BB50" s="128">
        <f t="shared" si="34"/>
        <v>0</v>
      </c>
      <c r="BC50" s="128">
        <f t="shared" si="35"/>
        <v>0</v>
      </c>
      <c r="BD50" s="128">
        <f t="shared" si="36"/>
        <v>0</v>
      </c>
      <c r="BE50" s="128">
        <f t="shared" si="37"/>
        <v>0</v>
      </c>
      <c r="BF50" s="128">
        <f t="shared" si="38"/>
        <v>0</v>
      </c>
      <c r="BG50" s="128">
        <f t="shared" si="39"/>
        <v>0</v>
      </c>
      <c r="BH50" s="128">
        <f t="shared" si="40"/>
        <v>-320</v>
      </c>
      <c r="BI50" s="128">
        <f t="shared" si="41"/>
        <v>0</v>
      </c>
      <c r="BJ50" s="128">
        <f t="shared" si="42"/>
        <v>0</v>
      </c>
      <c r="BK50" s="128">
        <f t="shared" si="43"/>
        <v>0</v>
      </c>
      <c r="BL50" s="128">
        <f t="shared" si="44"/>
        <v>0</v>
      </c>
      <c r="BM50" s="128">
        <f t="shared" si="45"/>
        <v>0</v>
      </c>
      <c r="BN50" s="128">
        <f t="shared" si="46"/>
        <v>0</v>
      </c>
      <c r="BO50" s="128">
        <f t="shared" si="47"/>
        <v>0</v>
      </c>
      <c r="BP50" s="128">
        <f t="shared" si="48"/>
        <v>0</v>
      </c>
      <c r="BQ50" s="128">
        <f t="shared" si="49"/>
        <v>0</v>
      </c>
      <c r="BR50" s="128">
        <f t="shared" si="50"/>
        <v>0</v>
      </c>
      <c r="BS50" s="128">
        <f t="shared" si="51"/>
        <v>0</v>
      </c>
      <c r="BT50" s="129">
        <f t="shared" si="52"/>
        <v>1</v>
      </c>
      <c r="BU50">
        <f>+VLOOKUP(E50,LogisticsReport!AI:HB,5,FALSE)</f>
        <v>-19.2</v>
      </c>
      <c r="BV50" s="205">
        <f t="shared" si="53"/>
        <v>0</v>
      </c>
    </row>
    <row r="51" spans="1:74" ht="15.75" x14ac:dyDescent="0.25">
      <c r="A51" t="s">
        <v>167</v>
      </c>
      <c r="B51" t="s">
        <v>168</v>
      </c>
      <c r="C51" t="s">
        <v>195</v>
      </c>
      <c r="D51" t="s">
        <v>170</v>
      </c>
      <c r="E51" t="s">
        <v>1262</v>
      </c>
      <c r="F51" t="str">
        <f>VLOOKUP(E51,LogisticsReport!AI:AI,1,FALSE)</f>
        <v>SSKE-108571</v>
      </c>
      <c r="G51" t="str">
        <f>INDEX(DailyNetPosition!A:A,MATCH(E51,DailyNetPosition!B:B,0))</f>
        <v>Hedgeable</v>
      </c>
      <c r="H51" s="133" t="s">
        <v>195</v>
      </c>
      <c r="I51" s="133" t="s">
        <v>242</v>
      </c>
      <c r="J51" s="149">
        <v>46188</v>
      </c>
      <c r="K51" s="133">
        <v>-108</v>
      </c>
      <c r="L51" s="133">
        <v>-1800</v>
      </c>
      <c r="M51" s="133" t="s">
        <v>173</v>
      </c>
      <c r="N51" s="133" t="s">
        <v>174</v>
      </c>
      <c r="O51" s="133" t="s">
        <v>189</v>
      </c>
      <c r="P51" t="str">
        <f>VLOOKUP(Table3[[#This Row],[Sale Ctr.]],LogisticsReport!AI:AW,15,FALSE)</f>
        <v>2026/09 All - 2026/09 All</v>
      </c>
      <c r="Q51" s="77" t="str">
        <f t="shared" si="27"/>
        <v>2026/09</v>
      </c>
      <c r="R51" s="37" t="str">
        <f t="shared" si="28"/>
        <v>09</v>
      </c>
      <c r="S51">
        <v>65</v>
      </c>
      <c r="T51">
        <v>51.266399999999997</v>
      </c>
      <c r="U51" t="s">
        <v>51</v>
      </c>
      <c r="V51" t="s">
        <v>315</v>
      </c>
      <c r="W51" t="s">
        <v>228</v>
      </c>
      <c r="Y51" s="54">
        <v>31</v>
      </c>
      <c r="Z51" s="67">
        <f>VLOOKUP($Y51,Blends!$D:$AA,2, FALSE)</f>
        <v>0</v>
      </c>
      <c r="AA51" s="67">
        <f>VLOOKUP($Y51,Blends!$D:$AA,3, FALSE)</f>
        <v>0</v>
      </c>
      <c r="AB51" s="67">
        <f>VLOOKUP($Y51,Blends!$D:$AA,4, FALSE)</f>
        <v>0</v>
      </c>
      <c r="AC51" s="67">
        <f>VLOOKUP($Y51,Blends!$D:$AA,5, FALSE)</f>
        <v>0</v>
      </c>
      <c r="AD51" s="67">
        <f>VLOOKUP($Y51,Blends!$D:$AA,6, FALSE)</f>
        <v>0</v>
      </c>
      <c r="AE51" s="67">
        <f>VLOOKUP($Y51,Blends!$D:$AA,7, FALSE)</f>
        <v>0</v>
      </c>
      <c r="AF51" s="67">
        <f>VLOOKUP($Y51,Blends!$D:$AA,8, FALSE)</f>
        <v>0</v>
      </c>
      <c r="AG51" s="130">
        <f>VLOOKUP($Y51,Blends!$D:$AA,9, FALSE)</f>
        <v>0</v>
      </c>
      <c r="AH51" s="130">
        <f>VLOOKUP($Y51,Blends!$D:$AA,10, FALSE)</f>
        <v>0</v>
      </c>
      <c r="AI51" s="67">
        <f>VLOOKUP($Y51,Blends!$D:$AA,11, FALSE)</f>
        <v>0</v>
      </c>
      <c r="AJ51" s="67">
        <f>VLOOKUP($Y51,Blends!$D:$AA,12, FALSE)</f>
        <v>0</v>
      </c>
      <c r="AK51" s="130">
        <f>VLOOKUP($Y51,Blends!$D:$AA,13, FALSE)</f>
        <v>0</v>
      </c>
      <c r="AL51" s="130">
        <f>VLOOKUP($Y51,Blends!$D:$AA,14, FALSE)</f>
        <v>1</v>
      </c>
      <c r="AM51" s="130">
        <f>VLOOKUP($Y51,Blends!$D:$AA,15, FALSE)</f>
        <v>0</v>
      </c>
      <c r="AN51" s="130">
        <f>VLOOKUP($Y51,Blends!$D:$AA,16, FALSE)</f>
        <v>0</v>
      </c>
      <c r="AO51" s="130">
        <f>VLOOKUP($Y51,Blends!$D:$AA,17, FALSE)</f>
        <v>0</v>
      </c>
      <c r="AP51" s="67">
        <f>VLOOKUP($Y51,Blends!$D:$AA,18, FALSE)</f>
        <v>0</v>
      </c>
      <c r="AQ51" s="130">
        <f>VLOOKUP($Y51,Blends!$D:$AA,19, FALSE)</f>
        <v>0</v>
      </c>
      <c r="AR51" s="67">
        <f>VLOOKUP($Y51,Blends!$D:$AA,20, FALSE)</f>
        <v>0</v>
      </c>
      <c r="AS51" s="67">
        <f>VLOOKUP($Y51,Blends!$D:$AA,21, FALSE)</f>
        <v>0</v>
      </c>
      <c r="AT51" s="67">
        <f>VLOOKUP($Y51,Blends!$D:$AA,22, FALSE)</f>
        <v>0</v>
      </c>
      <c r="AU51" s="67">
        <f>VLOOKUP($Y51,Blends!$D:$AA,23, FALSE)</f>
        <v>0</v>
      </c>
      <c r="AV51" s="67">
        <f>VLOOKUP($Y51,Blends!$D:$AA,24, FALSE)</f>
        <v>0</v>
      </c>
      <c r="AW51" s="128">
        <f t="shared" si="29"/>
        <v>0</v>
      </c>
      <c r="AX51" s="128">
        <f t="shared" si="30"/>
        <v>0</v>
      </c>
      <c r="AY51" s="128">
        <f t="shared" si="31"/>
        <v>0</v>
      </c>
      <c r="AZ51" s="128">
        <f t="shared" si="32"/>
        <v>0</v>
      </c>
      <c r="BA51" s="128">
        <f t="shared" si="33"/>
        <v>0</v>
      </c>
      <c r="BB51" s="128">
        <f t="shared" si="34"/>
        <v>0</v>
      </c>
      <c r="BC51" s="128">
        <f t="shared" si="35"/>
        <v>0</v>
      </c>
      <c r="BD51" s="128">
        <f t="shared" si="36"/>
        <v>0</v>
      </c>
      <c r="BE51" s="128">
        <f t="shared" si="37"/>
        <v>0</v>
      </c>
      <c r="BF51" s="128">
        <f t="shared" si="38"/>
        <v>0</v>
      </c>
      <c r="BG51" s="128">
        <f t="shared" si="39"/>
        <v>0</v>
      </c>
      <c r="BH51" s="128">
        <f t="shared" si="40"/>
        <v>0</v>
      </c>
      <c r="BI51" s="128">
        <f t="shared" si="41"/>
        <v>-1800</v>
      </c>
      <c r="BJ51" s="128">
        <f t="shared" si="42"/>
        <v>0</v>
      </c>
      <c r="BK51" s="128">
        <f t="shared" si="43"/>
        <v>0</v>
      </c>
      <c r="BL51" s="128">
        <f t="shared" si="44"/>
        <v>0</v>
      </c>
      <c r="BM51" s="128">
        <f t="shared" si="45"/>
        <v>0</v>
      </c>
      <c r="BN51" s="128">
        <f t="shared" si="46"/>
        <v>0</v>
      </c>
      <c r="BO51" s="128">
        <f t="shared" si="47"/>
        <v>0</v>
      </c>
      <c r="BP51" s="128">
        <f t="shared" si="48"/>
        <v>0</v>
      </c>
      <c r="BQ51" s="128">
        <f t="shared" si="49"/>
        <v>0</v>
      </c>
      <c r="BR51" s="128">
        <f t="shared" si="50"/>
        <v>0</v>
      </c>
      <c r="BS51" s="128">
        <f t="shared" si="51"/>
        <v>0</v>
      </c>
      <c r="BT51" s="129">
        <f t="shared" si="52"/>
        <v>1</v>
      </c>
      <c r="BU51">
        <f>+VLOOKUP(E51,LogisticsReport!AI:HB,5,FALSE)</f>
        <v>-108</v>
      </c>
      <c r="BV51" s="205">
        <f t="shared" si="53"/>
        <v>0</v>
      </c>
    </row>
    <row r="52" spans="1:74" ht="15.75" x14ac:dyDescent="0.25">
      <c r="A52" t="s">
        <v>167</v>
      </c>
      <c r="B52" t="s">
        <v>168</v>
      </c>
      <c r="C52" t="s">
        <v>195</v>
      </c>
      <c r="D52" t="s">
        <v>170</v>
      </c>
      <c r="E52" t="s">
        <v>1263</v>
      </c>
      <c r="F52" t="str">
        <f>VLOOKUP(E52,LogisticsReport!AI:AI,1,FALSE)</f>
        <v>SSKE-108573</v>
      </c>
      <c r="G52" t="str">
        <f>INDEX(DailyNetPosition!A:A,MATCH(E52,DailyNetPosition!B:B,0))</f>
        <v>Hedgeable</v>
      </c>
      <c r="H52" s="133" t="s">
        <v>195</v>
      </c>
      <c r="I52" s="133" t="s">
        <v>242</v>
      </c>
      <c r="J52" s="149">
        <v>46188</v>
      </c>
      <c r="K52" s="133">
        <v>-108</v>
      </c>
      <c r="L52" s="133">
        <v>-1800</v>
      </c>
      <c r="M52" s="133" t="s">
        <v>173</v>
      </c>
      <c r="N52" s="133" t="s">
        <v>174</v>
      </c>
      <c r="O52" s="133" t="s">
        <v>189</v>
      </c>
      <c r="P52" t="str">
        <f>VLOOKUP(Table3[[#This Row],[Sale Ctr.]],LogisticsReport!AI:AW,15,FALSE)</f>
        <v>2026/09 All - 2026/09 All</v>
      </c>
      <c r="Q52" s="77" t="str">
        <f t="shared" si="27"/>
        <v>2026/09</v>
      </c>
      <c r="R52" s="37" t="str">
        <f t="shared" si="28"/>
        <v>09</v>
      </c>
      <c r="S52">
        <v>50</v>
      </c>
      <c r="T52">
        <v>36.920499999999997</v>
      </c>
      <c r="U52" t="s">
        <v>1259</v>
      </c>
      <c r="V52" t="s">
        <v>315</v>
      </c>
      <c r="W52" t="s">
        <v>1260</v>
      </c>
      <c r="Y52" s="54">
        <v>32</v>
      </c>
      <c r="Z52" s="67">
        <f>VLOOKUP($Y52,Blends!$D:$AA,2, FALSE)</f>
        <v>0</v>
      </c>
      <c r="AA52" s="67">
        <f>VLOOKUP($Y52,Blends!$D:$AA,3, FALSE)</f>
        <v>0</v>
      </c>
      <c r="AB52" s="67">
        <f>VLOOKUP($Y52,Blends!$D:$AA,4, FALSE)</f>
        <v>0</v>
      </c>
      <c r="AC52" s="67">
        <f>VLOOKUP($Y52,Blends!$D:$AA,5, FALSE)</f>
        <v>0</v>
      </c>
      <c r="AD52" s="67">
        <f>VLOOKUP($Y52,Blends!$D:$AA,6, FALSE)</f>
        <v>0</v>
      </c>
      <c r="AE52" s="67">
        <f>VLOOKUP($Y52,Blends!$D:$AA,7, FALSE)</f>
        <v>0</v>
      </c>
      <c r="AF52" s="67">
        <f>VLOOKUP($Y52,Blends!$D:$AA,8, FALSE)</f>
        <v>0</v>
      </c>
      <c r="AG52" s="67">
        <f>VLOOKUP($Y52,Blends!$D:$AA,9, FALSE)</f>
        <v>0</v>
      </c>
      <c r="AH52" s="67">
        <f>VLOOKUP($Y52,Blends!$D:$AA,10, FALSE)</f>
        <v>0</v>
      </c>
      <c r="AI52" s="67">
        <f>VLOOKUP($Y52,Blends!$D:$AA,11, FALSE)</f>
        <v>0</v>
      </c>
      <c r="AJ52" s="67">
        <f>VLOOKUP($Y52,Blends!$D:$AA,12, FALSE)</f>
        <v>0</v>
      </c>
      <c r="AK52" s="130">
        <f>VLOOKUP($Y52,Blends!$D:$AA,13, FALSE)</f>
        <v>0</v>
      </c>
      <c r="AL52" s="67">
        <f>VLOOKUP($Y52,Blends!$D:$AA,14, FALSE)</f>
        <v>0.25</v>
      </c>
      <c r="AM52" s="67">
        <f>VLOOKUP($Y52,Blends!$D:$AA,15, FALSE)</f>
        <v>0</v>
      </c>
      <c r="AN52" s="67">
        <f>VLOOKUP($Y52,Blends!$D:$AA,16, FALSE)</f>
        <v>0</v>
      </c>
      <c r="AO52" s="67">
        <f>VLOOKUP($Y52,Blends!$D:$AA,17, FALSE)</f>
        <v>0</v>
      </c>
      <c r="AP52" s="67">
        <f>VLOOKUP($Y52,Blends!$D:$AA,18, FALSE)</f>
        <v>0</v>
      </c>
      <c r="AQ52" s="130">
        <f>VLOOKUP($Y52,Blends!$D:$AA,19, FALSE)</f>
        <v>0.75</v>
      </c>
      <c r="AR52" s="67">
        <f>VLOOKUP($Y52,Blends!$D:$AA,20, FALSE)</f>
        <v>0</v>
      </c>
      <c r="AS52" s="67">
        <f>VLOOKUP($Y52,Blends!$D:$AA,21, FALSE)</f>
        <v>0</v>
      </c>
      <c r="AT52" s="67">
        <f>VLOOKUP($Y52,Blends!$D:$AA,22, FALSE)</f>
        <v>0</v>
      </c>
      <c r="AU52" s="67">
        <f>VLOOKUP($Y52,Blends!$D:$AA,23, FALSE)</f>
        <v>0</v>
      </c>
      <c r="AV52" s="67">
        <f>VLOOKUP($Y52,Blends!$D:$AA,24, FALSE)</f>
        <v>0</v>
      </c>
      <c r="AW52" s="68">
        <f t="shared" si="29"/>
        <v>0</v>
      </c>
      <c r="AX52" s="68">
        <f t="shared" si="30"/>
        <v>0</v>
      </c>
      <c r="AY52" s="68">
        <f t="shared" si="31"/>
        <v>0</v>
      </c>
      <c r="AZ52" s="68">
        <f t="shared" si="32"/>
        <v>0</v>
      </c>
      <c r="BA52" s="68">
        <f t="shared" si="33"/>
        <v>0</v>
      </c>
      <c r="BB52" s="68">
        <f t="shared" si="34"/>
        <v>0</v>
      </c>
      <c r="BC52" s="68">
        <f t="shared" si="35"/>
        <v>0</v>
      </c>
      <c r="BD52" s="68">
        <f t="shared" si="36"/>
        <v>0</v>
      </c>
      <c r="BE52" s="68">
        <f t="shared" si="37"/>
        <v>0</v>
      </c>
      <c r="BF52" s="68">
        <f t="shared" si="38"/>
        <v>0</v>
      </c>
      <c r="BG52" s="68">
        <f t="shared" si="39"/>
        <v>0</v>
      </c>
      <c r="BH52" s="68">
        <f t="shared" si="40"/>
        <v>0</v>
      </c>
      <c r="BI52" s="68">
        <f t="shared" si="41"/>
        <v>-450</v>
      </c>
      <c r="BJ52" s="68">
        <f t="shared" si="42"/>
        <v>0</v>
      </c>
      <c r="BK52" s="68">
        <f t="shared" si="43"/>
        <v>0</v>
      </c>
      <c r="BL52" s="68">
        <f t="shared" si="44"/>
        <v>0</v>
      </c>
      <c r="BM52" s="68">
        <f t="shared" si="45"/>
        <v>0</v>
      </c>
      <c r="BN52" s="68">
        <f t="shared" si="46"/>
        <v>-1350</v>
      </c>
      <c r="BO52" s="68">
        <f t="shared" si="47"/>
        <v>0</v>
      </c>
      <c r="BP52" s="68">
        <f t="shared" si="48"/>
        <v>0</v>
      </c>
      <c r="BQ52" s="68">
        <f t="shared" si="49"/>
        <v>0</v>
      </c>
      <c r="BR52" s="68">
        <f t="shared" si="50"/>
        <v>0</v>
      </c>
      <c r="BS52" s="68">
        <f t="shared" si="51"/>
        <v>0</v>
      </c>
      <c r="BT52" s="129">
        <f t="shared" si="52"/>
        <v>1</v>
      </c>
      <c r="BU52">
        <f>+VLOOKUP(E52,LogisticsReport!AI:HB,5,FALSE)</f>
        <v>-108</v>
      </c>
      <c r="BV52" s="205">
        <f t="shared" si="53"/>
        <v>0</v>
      </c>
    </row>
    <row r="53" spans="1:74" ht="15.75" x14ac:dyDescent="0.25">
      <c r="A53" t="s">
        <v>167</v>
      </c>
      <c r="B53" t="s">
        <v>168</v>
      </c>
      <c r="C53" t="s">
        <v>267</v>
      </c>
      <c r="D53" t="s">
        <v>170</v>
      </c>
      <c r="E53" t="s">
        <v>1264</v>
      </c>
      <c r="F53" t="str">
        <f>VLOOKUP(E53,LogisticsReport!AI:AI,1,FALSE)</f>
        <v>SSKE-108574</v>
      </c>
      <c r="G53" t="str">
        <f>INDEX(DailyNetPosition!A:A,MATCH(E53,DailyNetPosition!B:B,0))</f>
        <v>Hedgeable</v>
      </c>
      <c r="H53" s="133" t="s">
        <v>267</v>
      </c>
      <c r="I53" s="133" t="s">
        <v>242</v>
      </c>
      <c r="J53" s="149">
        <v>46188</v>
      </c>
      <c r="K53" s="133">
        <v>-108</v>
      </c>
      <c r="L53" s="133">
        <v>-1800</v>
      </c>
      <c r="M53" s="133" t="s">
        <v>173</v>
      </c>
      <c r="N53" s="133" t="s">
        <v>174</v>
      </c>
      <c r="O53" s="133" t="s">
        <v>189</v>
      </c>
      <c r="P53" t="str">
        <f>VLOOKUP(Table3[[#This Row],[Sale Ctr.]],LogisticsReport!AI:AW,15,FALSE)</f>
        <v>2026/09 All - 2026/09 All</v>
      </c>
      <c r="Q53" s="77" t="str">
        <f t="shared" si="27"/>
        <v>2026/09</v>
      </c>
      <c r="R53" s="37" t="str">
        <f t="shared" si="28"/>
        <v>09</v>
      </c>
      <c r="S53">
        <v>21</v>
      </c>
      <c r="T53">
        <v>9.0780999999999992</v>
      </c>
      <c r="U53" t="s">
        <v>1265</v>
      </c>
      <c r="V53" t="s">
        <v>315</v>
      </c>
      <c r="W53" t="s">
        <v>1270</v>
      </c>
      <c r="Y53" s="54">
        <v>104</v>
      </c>
      <c r="Z53" s="67">
        <f>VLOOKUP($Y53,Blends!$D:$AA,2, FALSE)</f>
        <v>0</v>
      </c>
      <c r="AA53" s="67">
        <f>VLOOKUP($Y53,Blends!$D:$AA,3, FALSE)</f>
        <v>0</v>
      </c>
      <c r="AB53" s="67">
        <f>VLOOKUP($Y53,Blends!$D:$AA,4, FALSE)</f>
        <v>0</v>
      </c>
      <c r="AC53" s="67">
        <f>VLOOKUP($Y53,Blends!$D:$AA,5, FALSE)</f>
        <v>0</v>
      </c>
      <c r="AD53" s="67">
        <f>VLOOKUP($Y53,Blends!$D:$AA,6, FALSE)</f>
        <v>0</v>
      </c>
      <c r="AE53" s="67">
        <f>VLOOKUP($Y53,Blends!$D:$AA,7, FALSE)</f>
        <v>0</v>
      </c>
      <c r="AF53" s="67">
        <f>VLOOKUP($Y53,Blends!$D:$AA,8, FALSE)</f>
        <v>0</v>
      </c>
      <c r="AG53" s="67">
        <f>VLOOKUP($Y53,Blends!$D:$AA,9, FALSE)</f>
        <v>0</v>
      </c>
      <c r="AH53" s="67">
        <f>VLOOKUP($Y53,Blends!$D:$AA,10, FALSE)</f>
        <v>0</v>
      </c>
      <c r="AI53" s="67">
        <f>VLOOKUP($Y53,Blends!$D:$AA,11, FALSE)</f>
        <v>0</v>
      </c>
      <c r="AJ53" s="67">
        <f>VLOOKUP($Y53,Blends!$D:$AA,12, FALSE)</f>
        <v>0</v>
      </c>
      <c r="AK53" s="130">
        <f>VLOOKUP($Y53,Blends!$D:$AA,13, FALSE)</f>
        <v>0</v>
      </c>
      <c r="AL53" s="67">
        <f>VLOOKUP($Y53,Blends!$D:$AA,14, FALSE)</f>
        <v>0</v>
      </c>
      <c r="AM53" s="67">
        <f>VLOOKUP($Y53,Blends!$D:$AA,15, FALSE)</f>
        <v>0</v>
      </c>
      <c r="AN53" s="67">
        <f>VLOOKUP($Y53,Blends!$D:$AA,16, FALSE)</f>
        <v>0</v>
      </c>
      <c r="AO53" s="67">
        <f>VLOOKUP($Y53,Blends!$D:$AA,17, FALSE)</f>
        <v>0</v>
      </c>
      <c r="AP53" s="67">
        <f>VLOOKUP($Y53,Blends!$D:$AA,18, FALSE)</f>
        <v>0</v>
      </c>
      <c r="AQ53" s="130">
        <f>VLOOKUP($Y53,Blends!$D:$AA,19, FALSE)</f>
        <v>1</v>
      </c>
      <c r="AR53" s="67">
        <f>VLOOKUP($Y53,Blends!$D:$AA,20, FALSE)</f>
        <v>0</v>
      </c>
      <c r="AS53" s="67">
        <f>VLOOKUP($Y53,Blends!$D:$AA,21, FALSE)</f>
        <v>0</v>
      </c>
      <c r="AT53" s="67">
        <f>VLOOKUP($Y53,Blends!$D:$AA,22, FALSE)</f>
        <v>0</v>
      </c>
      <c r="AU53" s="67">
        <f>VLOOKUP($Y53,Blends!$D:$AA,23, FALSE)</f>
        <v>0</v>
      </c>
      <c r="AV53" s="67">
        <f>VLOOKUP($Y53,Blends!$D:$AA,24, FALSE)</f>
        <v>0</v>
      </c>
      <c r="AW53" s="68">
        <f t="shared" si="29"/>
        <v>0</v>
      </c>
      <c r="AX53" s="68">
        <f t="shared" si="30"/>
        <v>0</v>
      </c>
      <c r="AY53" s="68">
        <f t="shared" si="31"/>
        <v>0</v>
      </c>
      <c r="AZ53" s="68">
        <f t="shared" si="32"/>
        <v>0</v>
      </c>
      <c r="BA53" s="68">
        <f t="shared" si="33"/>
        <v>0</v>
      </c>
      <c r="BB53" s="68">
        <f t="shared" si="34"/>
        <v>0</v>
      </c>
      <c r="BC53" s="68">
        <f t="shared" si="35"/>
        <v>0</v>
      </c>
      <c r="BD53" s="68">
        <f t="shared" si="36"/>
        <v>0</v>
      </c>
      <c r="BE53" s="68">
        <f t="shared" si="37"/>
        <v>0</v>
      </c>
      <c r="BF53" s="68">
        <f t="shared" si="38"/>
        <v>0</v>
      </c>
      <c r="BG53" s="68">
        <f t="shared" si="39"/>
        <v>0</v>
      </c>
      <c r="BH53" s="68">
        <f t="shared" si="40"/>
        <v>0</v>
      </c>
      <c r="BI53" s="68">
        <f t="shared" si="41"/>
        <v>0</v>
      </c>
      <c r="BJ53" s="68">
        <f t="shared" si="42"/>
        <v>0</v>
      </c>
      <c r="BK53" s="68">
        <f t="shared" si="43"/>
        <v>0</v>
      </c>
      <c r="BL53" s="68">
        <f t="shared" si="44"/>
        <v>0</v>
      </c>
      <c r="BM53" s="68">
        <f t="shared" si="45"/>
        <v>0</v>
      </c>
      <c r="BN53" s="68">
        <f t="shared" si="46"/>
        <v>-1800</v>
      </c>
      <c r="BO53" s="68">
        <f t="shared" si="47"/>
        <v>0</v>
      </c>
      <c r="BP53" s="68">
        <f t="shared" si="48"/>
        <v>0</v>
      </c>
      <c r="BQ53" s="68">
        <f t="shared" si="49"/>
        <v>0</v>
      </c>
      <c r="BR53" s="68">
        <f t="shared" si="50"/>
        <v>0</v>
      </c>
      <c r="BS53" s="68">
        <f t="shared" si="51"/>
        <v>0</v>
      </c>
      <c r="BT53" s="129">
        <f t="shared" si="52"/>
        <v>1</v>
      </c>
      <c r="BU53">
        <f>+VLOOKUP(E53,LogisticsReport!AI:HB,5,FALSE)</f>
        <v>-108</v>
      </c>
      <c r="BV53" s="205">
        <f t="shared" si="53"/>
        <v>0</v>
      </c>
    </row>
    <row r="54" spans="1:74" ht="15.75" x14ac:dyDescent="0.25">
      <c r="A54" t="s">
        <v>167</v>
      </c>
      <c r="B54" t="s">
        <v>168</v>
      </c>
      <c r="C54" t="s">
        <v>267</v>
      </c>
      <c r="D54" t="s">
        <v>170</v>
      </c>
      <c r="E54" t="s">
        <v>1266</v>
      </c>
      <c r="F54" t="str">
        <f>VLOOKUP(E54,LogisticsReport!AI:AI,1,FALSE)</f>
        <v>SSKE-108576</v>
      </c>
      <c r="G54" t="str">
        <f>INDEX(DailyNetPosition!A:A,MATCH(E54,DailyNetPosition!B:B,0))</f>
        <v>Hedgeable</v>
      </c>
      <c r="H54" s="133" t="s">
        <v>267</v>
      </c>
      <c r="I54" s="133" t="s">
        <v>242</v>
      </c>
      <c r="J54" s="149">
        <v>46188</v>
      </c>
      <c r="K54" s="133">
        <v>-108</v>
      </c>
      <c r="L54" s="133">
        <v>-1800</v>
      </c>
      <c r="M54" s="133" t="s">
        <v>173</v>
      </c>
      <c r="N54" s="133" t="s">
        <v>174</v>
      </c>
      <c r="O54" s="133" t="s">
        <v>189</v>
      </c>
      <c r="P54" t="str">
        <f>VLOOKUP(Table3[[#This Row],[Sale Ctr.]],LogisticsReport!AI:AW,15,FALSE)</f>
        <v>2026/09 All - 2026/09 All</v>
      </c>
      <c r="Q54" s="77" t="str">
        <f t="shared" si="27"/>
        <v>2026/09</v>
      </c>
      <c r="R54" s="37" t="str">
        <f t="shared" si="28"/>
        <v>09</v>
      </c>
      <c r="S54">
        <v>8</v>
      </c>
      <c r="T54">
        <v>-3.3525999999999998</v>
      </c>
      <c r="U54" t="s">
        <v>1267</v>
      </c>
      <c r="V54" t="s">
        <v>315</v>
      </c>
      <c r="Y54" s="54">
        <v>105</v>
      </c>
      <c r="Z54" s="67">
        <f>VLOOKUP($Y54,Blends!$D:$AA,2, FALSE)</f>
        <v>0</v>
      </c>
      <c r="AA54" s="67">
        <f>VLOOKUP($Y54,Blends!$D:$AA,3, FALSE)</f>
        <v>0</v>
      </c>
      <c r="AB54" s="67">
        <f>VLOOKUP($Y54,Blends!$D:$AA,4, FALSE)</f>
        <v>0</v>
      </c>
      <c r="AC54" s="67">
        <f>VLOOKUP($Y54,Blends!$D:$AA,5, FALSE)</f>
        <v>0</v>
      </c>
      <c r="AD54" s="67">
        <f>VLOOKUP($Y54,Blends!$D:$AA,6, FALSE)</f>
        <v>0</v>
      </c>
      <c r="AE54" s="67">
        <f>VLOOKUP($Y54,Blends!$D:$AA,7, FALSE)</f>
        <v>0</v>
      </c>
      <c r="AF54" s="67">
        <f>VLOOKUP($Y54,Blends!$D:$AA,8, FALSE)</f>
        <v>0</v>
      </c>
      <c r="AG54" s="67">
        <f>VLOOKUP($Y54,Blends!$D:$AA,9, FALSE)</f>
        <v>0</v>
      </c>
      <c r="AH54" s="67">
        <f>VLOOKUP($Y54,Blends!$D:$AA,10, FALSE)</f>
        <v>0</v>
      </c>
      <c r="AI54" s="67">
        <f>VLOOKUP($Y54,Blends!$D:$AA,11, FALSE)</f>
        <v>0</v>
      </c>
      <c r="AJ54" s="67">
        <f>VLOOKUP($Y54,Blends!$D:$AA,12, FALSE)</f>
        <v>0</v>
      </c>
      <c r="AK54" s="130">
        <f>VLOOKUP($Y54,Blends!$D:$AA,13, FALSE)</f>
        <v>0</v>
      </c>
      <c r="AL54" s="67">
        <f>VLOOKUP($Y54,Blends!$D:$AA,14, FALSE)</f>
        <v>0</v>
      </c>
      <c r="AM54" s="67">
        <f>VLOOKUP($Y54,Blends!$D:$AA,15, FALSE)</f>
        <v>0</v>
      </c>
      <c r="AN54" s="67">
        <f>VLOOKUP($Y54,Blends!$D:$AA,16, FALSE)</f>
        <v>0</v>
      </c>
      <c r="AO54" s="67">
        <f>VLOOKUP($Y54,Blends!$D:$AA,17, FALSE)</f>
        <v>0</v>
      </c>
      <c r="AP54" s="67">
        <f>VLOOKUP($Y54,Blends!$D:$AA,18, FALSE)</f>
        <v>0</v>
      </c>
      <c r="AQ54" s="130">
        <f>VLOOKUP($Y54,Blends!$D:$AA,19, FALSE)</f>
        <v>0.25</v>
      </c>
      <c r="AR54" s="67">
        <f>VLOOKUP($Y54,Blends!$D:$AA,20, FALSE)</f>
        <v>0.75</v>
      </c>
      <c r="AS54" s="67">
        <f>VLOOKUP($Y54,Blends!$D:$AA,21, FALSE)</f>
        <v>0</v>
      </c>
      <c r="AT54" s="67">
        <f>VLOOKUP($Y54,Blends!$D:$AA,22, FALSE)</f>
        <v>0</v>
      </c>
      <c r="AU54" s="67">
        <f>VLOOKUP($Y54,Blends!$D:$AA,23, FALSE)</f>
        <v>0</v>
      </c>
      <c r="AV54" s="67">
        <f>VLOOKUP($Y54,Blends!$D:$AA,24, FALSE)</f>
        <v>0</v>
      </c>
      <c r="AW54" s="68">
        <f t="shared" si="29"/>
        <v>0</v>
      </c>
      <c r="AX54" s="68">
        <f t="shared" si="30"/>
        <v>0</v>
      </c>
      <c r="AY54" s="68">
        <f t="shared" si="31"/>
        <v>0</v>
      </c>
      <c r="AZ54" s="68">
        <f t="shared" si="32"/>
        <v>0</v>
      </c>
      <c r="BA54" s="68">
        <f t="shared" si="33"/>
        <v>0</v>
      </c>
      <c r="BB54" s="68">
        <f t="shared" si="34"/>
        <v>0</v>
      </c>
      <c r="BC54" s="68">
        <f t="shared" si="35"/>
        <v>0</v>
      </c>
      <c r="BD54" s="68">
        <f t="shared" si="36"/>
        <v>0</v>
      </c>
      <c r="BE54" s="68">
        <f t="shared" si="37"/>
        <v>0</v>
      </c>
      <c r="BF54" s="68">
        <f t="shared" si="38"/>
        <v>0</v>
      </c>
      <c r="BG54" s="68">
        <f t="shared" si="39"/>
        <v>0</v>
      </c>
      <c r="BH54" s="68">
        <f t="shared" si="40"/>
        <v>0</v>
      </c>
      <c r="BI54" s="68">
        <f t="shared" si="41"/>
        <v>0</v>
      </c>
      <c r="BJ54" s="68">
        <f t="shared" si="42"/>
        <v>0</v>
      </c>
      <c r="BK54" s="68">
        <f t="shared" si="43"/>
        <v>0</v>
      </c>
      <c r="BL54" s="68">
        <f t="shared" si="44"/>
        <v>0</v>
      </c>
      <c r="BM54" s="68">
        <f t="shared" si="45"/>
        <v>0</v>
      </c>
      <c r="BN54" s="68">
        <f t="shared" si="46"/>
        <v>-450</v>
      </c>
      <c r="BO54" s="68">
        <f t="shared" si="47"/>
        <v>-1350</v>
      </c>
      <c r="BP54" s="68">
        <f t="shared" si="48"/>
        <v>0</v>
      </c>
      <c r="BQ54" s="68">
        <f t="shared" si="49"/>
        <v>0</v>
      </c>
      <c r="BR54" s="68">
        <f t="shared" si="50"/>
        <v>0</v>
      </c>
      <c r="BS54" s="68">
        <f t="shared" si="51"/>
        <v>0</v>
      </c>
      <c r="BT54" s="129">
        <f t="shared" si="52"/>
        <v>1</v>
      </c>
      <c r="BU54">
        <f>+VLOOKUP(E54,LogisticsReport!AI:HB,5,FALSE)</f>
        <v>-108</v>
      </c>
      <c r="BV54" s="205">
        <f t="shared" si="53"/>
        <v>0</v>
      </c>
    </row>
    <row r="55" spans="1:74" ht="15.75" x14ac:dyDescent="0.25">
      <c r="A55" t="s">
        <v>167</v>
      </c>
      <c r="B55" t="s">
        <v>168</v>
      </c>
      <c r="C55" t="s">
        <v>195</v>
      </c>
      <c r="D55" t="s">
        <v>170</v>
      </c>
      <c r="E55" t="s">
        <v>213</v>
      </c>
      <c r="F55" t="str">
        <f>VLOOKUP(E55,LogisticsReport!AI:AI,1,FALSE)</f>
        <v>SSKE-104930</v>
      </c>
      <c r="G55" t="str">
        <f>INDEX(DailyNetPosition!A:A,MATCH(E55,DailyNetPosition!B:B,0))</f>
        <v>Hedgeable</v>
      </c>
      <c r="H55" s="83" t="s">
        <v>195</v>
      </c>
      <c r="I55" t="s">
        <v>197</v>
      </c>
      <c r="J55" s="38">
        <v>46042</v>
      </c>
      <c r="K55">
        <v>-64.8</v>
      </c>
      <c r="L55" s="79">
        <v>-1080</v>
      </c>
      <c r="M55" t="s">
        <v>173</v>
      </c>
      <c r="N55" t="s">
        <v>174</v>
      </c>
      <c r="O55" t="s">
        <v>189</v>
      </c>
      <c r="P55" t="str">
        <f>VLOOKUP(Table3[[#This Row],[Sale Ctr.]],LogisticsReport!AI:AW,15,FALSE)</f>
        <v>2026/10 All - 2026/10 All</v>
      </c>
      <c r="Q55" s="77" t="str">
        <f t="shared" si="27"/>
        <v>2026/10</v>
      </c>
      <c r="R55" s="37" t="str">
        <f t="shared" si="28"/>
        <v>10</v>
      </c>
      <c r="S55">
        <v>133</v>
      </c>
      <c r="T55">
        <v>121.0001</v>
      </c>
      <c r="U55" t="s">
        <v>198</v>
      </c>
      <c r="V55" t="str">
        <f>VLOOKUP(Table3[[#This Row],[Sale Ctr.]],LogisticsReport!AI:DD,74,FALSE)</f>
        <v>KCH/2027</v>
      </c>
      <c r="Y55" s="54">
        <v>34</v>
      </c>
      <c r="Z55" s="67">
        <f>VLOOKUP($Y55,Blends!$D:$AA,2, FALSE)</f>
        <v>0</v>
      </c>
      <c r="AA55" s="67">
        <f>VLOOKUP($Y55,Blends!$D:$AA,3, FALSE)</f>
        <v>0</v>
      </c>
      <c r="AB55" s="67">
        <f>VLOOKUP($Y55,Blends!$D:$AA,4, FALSE)</f>
        <v>0</v>
      </c>
      <c r="AC55" s="67">
        <f>VLOOKUP($Y55,Blends!$D:$AA,5, FALSE)</f>
        <v>0.33</v>
      </c>
      <c r="AD55" s="67">
        <f>VLOOKUP($Y55,Blends!$D:$AA,6, FALSE)</f>
        <v>0</v>
      </c>
      <c r="AE55" s="67">
        <f>VLOOKUP($Y55,Blends!$D:$AA,7, FALSE)</f>
        <v>0</v>
      </c>
      <c r="AF55" s="67">
        <f>VLOOKUP($Y55,Blends!$D:$AA,8, FALSE)</f>
        <v>7.0000000000000007E-2</v>
      </c>
      <c r="AG55" s="67">
        <f>VLOOKUP($Y55,Blends!$D:$AA,9, FALSE)</f>
        <v>0.2</v>
      </c>
      <c r="AH55" s="67">
        <f>VLOOKUP($Y55,Blends!$D:$AA,10, FALSE)</f>
        <v>0</v>
      </c>
      <c r="AI55" s="67">
        <f>VLOOKUP($Y55,Blends!$D:$AA,11, FALSE)</f>
        <v>0.15</v>
      </c>
      <c r="AJ55" s="67">
        <f>VLOOKUP($Y55,Blends!$D:$AA,12, FALSE)</f>
        <v>0.02</v>
      </c>
      <c r="AK55" s="130">
        <f>VLOOKUP($Y55,Blends!$D:$AA,13, FALSE)</f>
        <v>0</v>
      </c>
      <c r="AL55" s="67">
        <f>VLOOKUP($Y55,Blends!$D:$AA,14, FALSE)</f>
        <v>0.2</v>
      </c>
      <c r="AM55" s="67">
        <f>VLOOKUP($Y55,Blends!$D:$AA,15, FALSE)</f>
        <v>0</v>
      </c>
      <c r="AN55" s="67">
        <f>VLOOKUP($Y55,Blends!$D:$AA,16, FALSE)</f>
        <v>0</v>
      </c>
      <c r="AO55" s="67">
        <f>VLOOKUP($Y55,Blends!$D:$AA,17, FALSE)</f>
        <v>0.03</v>
      </c>
      <c r="AP55" s="67">
        <f>VLOOKUP($Y55,Blends!$D:$AA,18, FALSE)</f>
        <v>0</v>
      </c>
      <c r="AQ55" s="130">
        <f>VLOOKUP($Y55,Blends!$D:$AA,19, FALSE)</f>
        <v>0</v>
      </c>
      <c r="AR55" s="67">
        <f>VLOOKUP($Y55,Blends!$D:$AA,20, FALSE)</f>
        <v>0</v>
      </c>
      <c r="AS55" s="67">
        <f>VLOOKUP($Y55,Blends!$D:$AA,21, FALSE)</f>
        <v>0</v>
      </c>
      <c r="AT55" s="67">
        <f>VLOOKUP($Y55,Blends!$D:$AA,22, FALSE)</f>
        <v>0</v>
      </c>
      <c r="AU55" s="67">
        <f>VLOOKUP($Y55,Blends!$D:$AA,23, FALSE)</f>
        <v>0</v>
      </c>
      <c r="AV55" s="67">
        <f>VLOOKUP($Y55,Blends!$D:$AA,24, FALSE)</f>
        <v>0</v>
      </c>
      <c r="AW55" s="68">
        <f t="shared" si="29"/>
        <v>0</v>
      </c>
      <c r="AX55" s="68">
        <f t="shared" si="30"/>
        <v>0</v>
      </c>
      <c r="AY55" s="68">
        <f t="shared" si="31"/>
        <v>0</v>
      </c>
      <c r="AZ55" s="68">
        <f t="shared" si="32"/>
        <v>-356.4</v>
      </c>
      <c r="BA55" s="68">
        <f t="shared" si="33"/>
        <v>0</v>
      </c>
      <c r="BB55" s="68">
        <f t="shared" si="34"/>
        <v>0</v>
      </c>
      <c r="BC55" s="68">
        <f t="shared" si="35"/>
        <v>-75.600000000000009</v>
      </c>
      <c r="BD55" s="68">
        <f t="shared" si="36"/>
        <v>-216</v>
      </c>
      <c r="BE55" s="68">
        <f t="shared" si="37"/>
        <v>0</v>
      </c>
      <c r="BF55" s="68">
        <f t="shared" si="38"/>
        <v>-161.99999999999997</v>
      </c>
      <c r="BG55" s="68">
        <f t="shared" si="39"/>
        <v>-21.6</v>
      </c>
      <c r="BH55" s="68">
        <f t="shared" si="40"/>
        <v>0</v>
      </c>
      <c r="BI55" s="68">
        <f t="shared" si="41"/>
        <v>-216</v>
      </c>
      <c r="BJ55" s="68">
        <f t="shared" si="42"/>
        <v>0</v>
      </c>
      <c r="BK55" s="68">
        <f t="shared" si="43"/>
        <v>0</v>
      </c>
      <c r="BL55" s="68">
        <f t="shared" si="44"/>
        <v>-32.4</v>
      </c>
      <c r="BM55" s="68">
        <f t="shared" si="45"/>
        <v>0</v>
      </c>
      <c r="BN55" s="68">
        <f t="shared" si="46"/>
        <v>0</v>
      </c>
      <c r="BO55" s="68">
        <f t="shared" si="47"/>
        <v>0</v>
      </c>
      <c r="BP55" s="68">
        <f t="shared" si="48"/>
        <v>0</v>
      </c>
      <c r="BQ55" s="68">
        <f t="shared" si="49"/>
        <v>0</v>
      </c>
      <c r="BR55" s="68">
        <f t="shared" si="50"/>
        <v>0</v>
      </c>
      <c r="BS55" s="68">
        <f t="shared" si="51"/>
        <v>0</v>
      </c>
      <c r="BT55" s="140">
        <f t="shared" si="52"/>
        <v>1.0000000000000002</v>
      </c>
      <c r="BU55">
        <f>+VLOOKUP(E55,LogisticsReport!AI:HB,5,FALSE)</f>
        <v>-64.8</v>
      </c>
      <c r="BV55" s="205">
        <f t="shared" si="53"/>
        <v>0</v>
      </c>
    </row>
    <row r="56" spans="1:74" ht="15.75" x14ac:dyDescent="0.25">
      <c r="A56" t="s">
        <v>167</v>
      </c>
      <c r="B56" t="s">
        <v>168</v>
      </c>
      <c r="C56" t="s">
        <v>195</v>
      </c>
      <c r="D56" t="s">
        <v>170</v>
      </c>
      <c r="E56" t="s">
        <v>214</v>
      </c>
      <c r="F56" t="str">
        <f>VLOOKUP(E56,LogisticsReport!AI:AI,1,FALSE)</f>
        <v>SSKE-104939</v>
      </c>
      <c r="G56" t="str">
        <f>INDEX(DailyNetPosition!A:A,MATCH(E56,DailyNetPosition!B:B,0))</f>
        <v>Hedgeable</v>
      </c>
      <c r="H56" s="83" t="s">
        <v>195</v>
      </c>
      <c r="I56" t="s">
        <v>197</v>
      </c>
      <c r="J56" s="38">
        <v>46042</v>
      </c>
      <c r="K56">
        <v>-64.8</v>
      </c>
      <c r="L56" s="79">
        <v>-1080</v>
      </c>
      <c r="M56" t="s">
        <v>173</v>
      </c>
      <c r="N56" t="s">
        <v>174</v>
      </c>
      <c r="O56" t="s">
        <v>189</v>
      </c>
      <c r="P56" t="str">
        <f>VLOOKUP(Table3[[#This Row],[Sale Ctr.]],LogisticsReport!AI:AW,15,FALSE)</f>
        <v>2026/10 All - 2026/10 All</v>
      </c>
      <c r="Q56" s="77" t="str">
        <f t="shared" si="27"/>
        <v>2026/10</v>
      </c>
      <c r="R56" s="37" t="str">
        <f t="shared" si="28"/>
        <v>10</v>
      </c>
      <c r="S56">
        <v>123</v>
      </c>
      <c r="T56">
        <v>111.0001</v>
      </c>
      <c r="U56" t="s">
        <v>200</v>
      </c>
      <c r="V56" t="str">
        <f>VLOOKUP(Table3[[#This Row],[Sale Ctr.]],LogisticsReport!AI:DD,74,FALSE)</f>
        <v>KCH/2027</v>
      </c>
      <c r="Y56" s="54">
        <v>34</v>
      </c>
      <c r="Z56" s="67">
        <f>VLOOKUP($Y56,Blends!$D:$AA,2, FALSE)</f>
        <v>0</v>
      </c>
      <c r="AA56" s="67">
        <f>VLOOKUP($Y56,Blends!$D:$AA,3, FALSE)</f>
        <v>0</v>
      </c>
      <c r="AB56" s="67">
        <f>VLOOKUP($Y56,Blends!$D:$AA,4, FALSE)</f>
        <v>0</v>
      </c>
      <c r="AC56" s="67">
        <f>VLOOKUP($Y56,Blends!$D:$AA,5, FALSE)</f>
        <v>0.33</v>
      </c>
      <c r="AD56" s="67">
        <f>VLOOKUP($Y56,Blends!$D:$AA,6, FALSE)</f>
        <v>0</v>
      </c>
      <c r="AE56" s="67">
        <f>VLOOKUP($Y56,Blends!$D:$AA,7, FALSE)</f>
        <v>0</v>
      </c>
      <c r="AF56" s="67">
        <f>VLOOKUP($Y56,Blends!$D:$AA,8, FALSE)</f>
        <v>7.0000000000000007E-2</v>
      </c>
      <c r="AG56" s="67">
        <f>VLOOKUP($Y56,Blends!$D:$AA,9, FALSE)</f>
        <v>0.2</v>
      </c>
      <c r="AH56" s="67">
        <f>VLOOKUP($Y56,Blends!$D:$AA,10, FALSE)</f>
        <v>0</v>
      </c>
      <c r="AI56" s="67">
        <f>VLOOKUP($Y56,Blends!$D:$AA,11, FALSE)</f>
        <v>0.15</v>
      </c>
      <c r="AJ56" s="67">
        <f>VLOOKUP($Y56,Blends!$D:$AA,12, FALSE)</f>
        <v>0.02</v>
      </c>
      <c r="AK56" s="130">
        <f>VLOOKUP($Y56,Blends!$D:$AA,13, FALSE)</f>
        <v>0</v>
      </c>
      <c r="AL56" s="67">
        <f>VLOOKUP($Y56,Blends!$D:$AA,14, FALSE)</f>
        <v>0.2</v>
      </c>
      <c r="AM56" s="67">
        <f>VLOOKUP($Y56,Blends!$D:$AA,15, FALSE)</f>
        <v>0</v>
      </c>
      <c r="AN56" s="67">
        <f>VLOOKUP($Y56,Blends!$D:$AA,16, FALSE)</f>
        <v>0</v>
      </c>
      <c r="AO56" s="67">
        <f>VLOOKUP($Y56,Blends!$D:$AA,17, FALSE)</f>
        <v>0.03</v>
      </c>
      <c r="AP56" s="67">
        <f>VLOOKUP($Y56,Blends!$D:$AA,18, FALSE)</f>
        <v>0</v>
      </c>
      <c r="AQ56" s="130">
        <f>VLOOKUP($Y56,Blends!$D:$AA,19, FALSE)</f>
        <v>0</v>
      </c>
      <c r="AR56" s="67">
        <f>VLOOKUP($Y56,Blends!$D:$AA,20, FALSE)</f>
        <v>0</v>
      </c>
      <c r="AS56" s="67">
        <f>VLOOKUP($Y56,Blends!$D:$AA,21, FALSE)</f>
        <v>0</v>
      </c>
      <c r="AT56" s="67">
        <f>VLOOKUP($Y56,Blends!$D:$AA,22, FALSE)</f>
        <v>0</v>
      </c>
      <c r="AU56" s="67">
        <f>VLOOKUP($Y56,Blends!$D:$AA,23, FALSE)</f>
        <v>0</v>
      </c>
      <c r="AV56" s="67">
        <f>VLOOKUP($Y56,Blends!$D:$AA,24, FALSE)</f>
        <v>0</v>
      </c>
      <c r="AW56" s="68">
        <f t="shared" si="29"/>
        <v>0</v>
      </c>
      <c r="AX56" s="68">
        <f t="shared" si="30"/>
        <v>0</v>
      </c>
      <c r="AY56" s="68">
        <f t="shared" si="31"/>
        <v>0</v>
      </c>
      <c r="AZ56" s="68">
        <f t="shared" si="32"/>
        <v>-356.4</v>
      </c>
      <c r="BA56" s="68">
        <f t="shared" si="33"/>
        <v>0</v>
      </c>
      <c r="BB56" s="68">
        <f t="shared" si="34"/>
        <v>0</v>
      </c>
      <c r="BC56" s="68">
        <f t="shared" si="35"/>
        <v>-75.600000000000009</v>
      </c>
      <c r="BD56" s="68">
        <f t="shared" si="36"/>
        <v>-216</v>
      </c>
      <c r="BE56" s="68">
        <f t="shared" si="37"/>
        <v>0</v>
      </c>
      <c r="BF56" s="68">
        <f t="shared" si="38"/>
        <v>-161.99999999999997</v>
      </c>
      <c r="BG56" s="68">
        <f t="shared" si="39"/>
        <v>-21.6</v>
      </c>
      <c r="BH56" s="68">
        <f t="shared" si="40"/>
        <v>0</v>
      </c>
      <c r="BI56" s="68">
        <f t="shared" si="41"/>
        <v>-216</v>
      </c>
      <c r="BJ56" s="68">
        <f t="shared" si="42"/>
        <v>0</v>
      </c>
      <c r="BK56" s="68">
        <f t="shared" si="43"/>
        <v>0</v>
      </c>
      <c r="BL56" s="68">
        <f t="shared" si="44"/>
        <v>-32.4</v>
      </c>
      <c r="BM56" s="68">
        <f t="shared" si="45"/>
        <v>0</v>
      </c>
      <c r="BN56" s="68">
        <f t="shared" si="46"/>
        <v>0</v>
      </c>
      <c r="BO56" s="68">
        <f t="shared" si="47"/>
        <v>0</v>
      </c>
      <c r="BP56" s="68">
        <f t="shared" si="48"/>
        <v>0</v>
      </c>
      <c r="BQ56" s="68">
        <f t="shared" si="49"/>
        <v>0</v>
      </c>
      <c r="BR56" s="68">
        <f t="shared" si="50"/>
        <v>0</v>
      </c>
      <c r="BS56" s="68">
        <f t="shared" si="51"/>
        <v>0</v>
      </c>
      <c r="BT56" s="140">
        <f t="shared" si="52"/>
        <v>1.0000000000000002</v>
      </c>
      <c r="BU56">
        <f>+VLOOKUP(E56,LogisticsReport!AI:HB,5,FALSE)</f>
        <v>-64.8</v>
      </c>
      <c r="BV56" s="205">
        <f t="shared" si="53"/>
        <v>0</v>
      </c>
    </row>
    <row r="57" spans="1:74" ht="15.75" x14ac:dyDescent="0.25">
      <c r="A57" t="s">
        <v>167</v>
      </c>
      <c r="B57" t="s">
        <v>168</v>
      </c>
      <c r="C57" t="s">
        <v>267</v>
      </c>
      <c r="D57" t="s">
        <v>170</v>
      </c>
      <c r="E57" t="s">
        <v>1268</v>
      </c>
      <c r="F57" t="str">
        <f>VLOOKUP(E57,LogisticsReport!AI:AI,1,FALSE)</f>
        <v>SSKE-108575</v>
      </c>
      <c r="G57" t="str">
        <f>INDEX(DailyNetPosition!A:A,MATCH(E57,DailyNetPosition!B:B,0))</f>
        <v>Hedgeable</v>
      </c>
      <c r="H57" s="133" t="s">
        <v>267</v>
      </c>
      <c r="I57" s="133" t="s">
        <v>242</v>
      </c>
      <c r="J57" s="149">
        <v>46188</v>
      </c>
      <c r="K57" s="133">
        <v>-108</v>
      </c>
      <c r="L57" s="133">
        <v>-1800</v>
      </c>
      <c r="M57" s="133" t="s">
        <v>173</v>
      </c>
      <c r="N57" s="133" t="s">
        <v>174</v>
      </c>
      <c r="O57" s="133" t="s">
        <v>189</v>
      </c>
      <c r="P57" t="str">
        <f>VLOOKUP(Table3[[#This Row],[Sale Ctr.]],LogisticsReport!AI:AW,15,FALSE)</f>
        <v>2026/10 All - 2026/10 All</v>
      </c>
      <c r="Q57" s="77" t="str">
        <f t="shared" si="27"/>
        <v>2026/10</v>
      </c>
      <c r="R57" s="37" t="str">
        <f t="shared" si="28"/>
        <v>10</v>
      </c>
      <c r="S57">
        <v>21</v>
      </c>
      <c r="T57">
        <v>9.0780999999999992</v>
      </c>
      <c r="U57" t="s">
        <v>1265</v>
      </c>
      <c r="V57" t="s">
        <v>315</v>
      </c>
      <c r="W57" s="81" t="s">
        <v>1270</v>
      </c>
      <c r="Y57" s="54">
        <v>104</v>
      </c>
      <c r="Z57" s="67">
        <f>VLOOKUP($Y57,Blends!$D:$AA,2, FALSE)</f>
        <v>0</v>
      </c>
      <c r="AA57" s="67">
        <f>VLOOKUP($Y57,Blends!$D:$AA,3, FALSE)</f>
        <v>0</v>
      </c>
      <c r="AB57" s="67">
        <f>VLOOKUP($Y57,Blends!$D:$AA,4, FALSE)</f>
        <v>0</v>
      </c>
      <c r="AC57" s="67">
        <f>VLOOKUP($Y57,Blends!$D:$AA,5, FALSE)</f>
        <v>0</v>
      </c>
      <c r="AD57" s="67">
        <f>VLOOKUP($Y57,Blends!$D:$AA,6, FALSE)</f>
        <v>0</v>
      </c>
      <c r="AE57" s="67">
        <f>VLOOKUP($Y57,Blends!$D:$AA,7, FALSE)</f>
        <v>0</v>
      </c>
      <c r="AF57" s="67">
        <f>VLOOKUP($Y57,Blends!$D:$AA,8, FALSE)</f>
        <v>0</v>
      </c>
      <c r="AG57" s="67">
        <f>VLOOKUP($Y57,Blends!$D:$AA,9, FALSE)</f>
        <v>0</v>
      </c>
      <c r="AH57" s="67">
        <f>VLOOKUP($Y57,Blends!$D:$AA,10, FALSE)</f>
        <v>0</v>
      </c>
      <c r="AI57" s="67">
        <f>VLOOKUP($Y57,Blends!$D:$AA,11, FALSE)</f>
        <v>0</v>
      </c>
      <c r="AJ57" s="67">
        <f>VLOOKUP($Y57,Blends!$D:$AA,12, FALSE)</f>
        <v>0</v>
      </c>
      <c r="AK57" s="130">
        <f>VLOOKUP($Y57,Blends!$D:$AA,13, FALSE)</f>
        <v>0</v>
      </c>
      <c r="AL57" s="67">
        <f>VLOOKUP($Y57,Blends!$D:$AA,14, FALSE)</f>
        <v>0</v>
      </c>
      <c r="AM57" s="67">
        <f>VLOOKUP($Y57,Blends!$D:$AA,15, FALSE)</f>
        <v>0</v>
      </c>
      <c r="AN57" s="67">
        <f>VLOOKUP($Y57,Blends!$D:$AA,16, FALSE)</f>
        <v>0</v>
      </c>
      <c r="AO57" s="67">
        <f>VLOOKUP($Y57,Blends!$D:$AA,17, FALSE)</f>
        <v>0</v>
      </c>
      <c r="AP57" s="67">
        <f>VLOOKUP($Y57,Blends!$D:$AA,18, FALSE)</f>
        <v>0</v>
      </c>
      <c r="AQ57" s="130">
        <f>VLOOKUP($Y57,Blends!$D:$AA,19, FALSE)</f>
        <v>1</v>
      </c>
      <c r="AR57" s="67">
        <f>VLOOKUP($Y57,Blends!$D:$AA,20, FALSE)</f>
        <v>0</v>
      </c>
      <c r="AS57" s="67">
        <f>VLOOKUP($Y57,Blends!$D:$AA,21, FALSE)</f>
        <v>0</v>
      </c>
      <c r="AT57" s="67">
        <f>VLOOKUP($Y57,Blends!$D:$AA,22, FALSE)</f>
        <v>0</v>
      </c>
      <c r="AU57" s="67">
        <f>VLOOKUP($Y57,Blends!$D:$AA,23, FALSE)</f>
        <v>0</v>
      </c>
      <c r="AV57" s="67">
        <f>VLOOKUP($Y57,Blends!$D:$AA,24, FALSE)</f>
        <v>0</v>
      </c>
      <c r="AW57" s="68">
        <f t="shared" si="29"/>
        <v>0</v>
      </c>
      <c r="AX57" s="68">
        <f t="shared" si="30"/>
        <v>0</v>
      </c>
      <c r="AY57" s="68">
        <f t="shared" si="31"/>
        <v>0</v>
      </c>
      <c r="AZ57" s="68">
        <f t="shared" si="32"/>
        <v>0</v>
      </c>
      <c r="BA57" s="68">
        <f t="shared" si="33"/>
        <v>0</v>
      </c>
      <c r="BB57" s="68">
        <f t="shared" si="34"/>
        <v>0</v>
      </c>
      <c r="BC57" s="68">
        <f t="shared" si="35"/>
        <v>0</v>
      </c>
      <c r="BD57" s="68">
        <f t="shared" si="36"/>
        <v>0</v>
      </c>
      <c r="BE57" s="68">
        <f t="shared" si="37"/>
        <v>0</v>
      </c>
      <c r="BF57" s="68">
        <f t="shared" si="38"/>
        <v>0</v>
      </c>
      <c r="BG57" s="68">
        <f t="shared" si="39"/>
        <v>0</v>
      </c>
      <c r="BH57" s="68">
        <f t="shared" si="40"/>
        <v>0</v>
      </c>
      <c r="BI57" s="68">
        <f t="shared" si="41"/>
        <v>0</v>
      </c>
      <c r="BJ57" s="68">
        <f t="shared" si="42"/>
        <v>0</v>
      </c>
      <c r="BK57" s="68">
        <f t="shared" si="43"/>
        <v>0</v>
      </c>
      <c r="BL57" s="68">
        <f t="shared" si="44"/>
        <v>0</v>
      </c>
      <c r="BM57" s="68">
        <f t="shared" si="45"/>
        <v>0</v>
      </c>
      <c r="BN57" s="68">
        <f t="shared" si="46"/>
        <v>-1800</v>
      </c>
      <c r="BO57" s="68">
        <f t="shared" si="47"/>
        <v>0</v>
      </c>
      <c r="BP57" s="68">
        <f t="shared" si="48"/>
        <v>0</v>
      </c>
      <c r="BQ57" s="68">
        <f t="shared" si="49"/>
        <v>0</v>
      </c>
      <c r="BR57" s="68">
        <f t="shared" si="50"/>
        <v>0</v>
      </c>
      <c r="BS57" s="68">
        <f t="shared" si="51"/>
        <v>0</v>
      </c>
      <c r="BT57" s="129">
        <f t="shared" si="52"/>
        <v>1</v>
      </c>
      <c r="BU57">
        <f>+VLOOKUP(E57,LogisticsReport!AI:HB,5,FALSE)</f>
        <v>-108</v>
      </c>
      <c r="BV57" s="205">
        <f t="shared" si="53"/>
        <v>0</v>
      </c>
    </row>
    <row r="58" spans="1:74" ht="15.75" x14ac:dyDescent="0.25">
      <c r="A58" t="s">
        <v>167</v>
      </c>
      <c r="B58" t="s">
        <v>168</v>
      </c>
      <c r="C58" t="s">
        <v>267</v>
      </c>
      <c r="D58" t="s">
        <v>170</v>
      </c>
      <c r="E58" t="s">
        <v>1269</v>
      </c>
      <c r="F58" t="str">
        <f>VLOOKUP(E58,LogisticsReport!AI:AI,1,FALSE)</f>
        <v>SSKE-108577</v>
      </c>
      <c r="G58" t="str">
        <f>INDEX(DailyNetPosition!A:A,MATCH(E58,DailyNetPosition!B:B,0))</f>
        <v>Hedgeable</v>
      </c>
      <c r="H58" s="133" t="s">
        <v>267</v>
      </c>
      <c r="I58" s="133" t="s">
        <v>242</v>
      </c>
      <c r="J58" s="149">
        <v>46188</v>
      </c>
      <c r="K58" s="133">
        <v>-108</v>
      </c>
      <c r="L58" s="133">
        <v>-1800</v>
      </c>
      <c r="M58" s="133" t="s">
        <v>173</v>
      </c>
      <c r="N58" s="133" t="s">
        <v>174</v>
      </c>
      <c r="O58" s="133" t="s">
        <v>189</v>
      </c>
      <c r="P58" t="str">
        <f>VLOOKUP(Table3[[#This Row],[Sale Ctr.]],LogisticsReport!AI:AW,15,FALSE)</f>
        <v>2026/10 All - 2026/10 All</v>
      </c>
      <c r="Q58" s="77" t="str">
        <f t="shared" si="27"/>
        <v>2026/10</v>
      </c>
      <c r="R58" s="37" t="str">
        <f t="shared" si="28"/>
        <v>10</v>
      </c>
      <c r="S58">
        <v>8</v>
      </c>
      <c r="T58">
        <v>-3.3525999999999998</v>
      </c>
      <c r="U58" t="s">
        <v>1267</v>
      </c>
      <c r="V58" t="s">
        <v>315</v>
      </c>
      <c r="Y58" s="54">
        <v>105</v>
      </c>
      <c r="Z58" s="130">
        <f>VLOOKUP($Y58,Blends!$D:$AA,2, FALSE)</f>
        <v>0</v>
      </c>
      <c r="AA58" s="130">
        <f>VLOOKUP($Y58,Blends!$D:$AA,3, FALSE)</f>
        <v>0</v>
      </c>
      <c r="AB58" s="130">
        <f>VLOOKUP($Y58,Blends!$D:$AA,4, FALSE)</f>
        <v>0</v>
      </c>
      <c r="AC58" s="130">
        <f>VLOOKUP($Y58,Blends!$D:$AA,5, FALSE)</f>
        <v>0</v>
      </c>
      <c r="AD58" s="130">
        <f>VLOOKUP($Y58,Blends!$D:$AA,6, FALSE)</f>
        <v>0</v>
      </c>
      <c r="AE58" s="130">
        <f>VLOOKUP($Y58,Blends!$D:$AA,7, FALSE)</f>
        <v>0</v>
      </c>
      <c r="AF58" s="130">
        <f>VLOOKUP($Y58,Blends!$D:$AA,8, FALSE)</f>
        <v>0</v>
      </c>
      <c r="AG58" s="130">
        <f>VLOOKUP($Y58,Blends!$D:$AA,9, FALSE)</f>
        <v>0</v>
      </c>
      <c r="AH58" s="130">
        <f>VLOOKUP($Y58,Blends!$D:$AA,10, FALSE)</f>
        <v>0</v>
      </c>
      <c r="AI58" s="130">
        <f>VLOOKUP($Y58,Blends!$D:$AA,11, FALSE)</f>
        <v>0</v>
      </c>
      <c r="AJ58" s="130">
        <f>VLOOKUP($Y58,Blends!$D:$AA,12, FALSE)</f>
        <v>0</v>
      </c>
      <c r="AK58" s="130">
        <f>VLOOKUP($Y58,Blends!$D:$AA,13, FALSE)</f>
        <v>0</v>
      </c>
      <c r="AL58" s="130">
        <f>VLOOKUP($Y58,Blends!$D:$AA,14, FALSE)</f>
        <v>0</v>
      </c>
      <c r="AM58" s="130">
        <f>VLOOKUP($Y58,Blends!$D:$AA,15, FALSE)</f>
        <v>0</v>
      </c>
      <c r="AN58" s="130">
        <f>VLOOKUP($Y58,Blends!$D:$AA,16, FALSE)</f>
        <v>0</v>
      </c>
      <c r="AO58" s="130">
        <f>VLOOKUP($Y58,Blends!$D:$AA,17, FALSE)</f>
        <v>0</v>
      </c>
      <c r="AP58" s="130">
        <f>VLOOKUP($Y58,Blends!$D:$AA,18, FALSE)</f>
        <v>0</v>
      </c>
      <c r="AQ58" s="130">
        <f>VLOOKUP($Y58,Blends!$D:$AA,19, FALSE)</f>
        <v>0.25</v>
      </c>
      <c r="AR58" s="130">
        <f>VLOOKUP($Y58,Blends!$D:$AA,20, FALSE)</f>
        <v>0.75</v>
      </c>
      <c r="AS58" s="130">
        <f>VLOOKUP($Y58,Blends!$D:$AA,21, FALSE)</f>
        <v>0</v>
      </c>
      <c r="AT58" s="130">
        <f>VLOOKUP($Y58,Blends!$D:$AA,22, FALSE)</f>
        <v>0</v>
      </c>
      <c r="AU58" s="130">
        <f>VLOOKUP($Y58,Blends!$D:$AA,23, FALSE)</f>
        <v>0</v>
      </c>
      <c r="AV58" s="130">
        <f>VLOOKUP($Y58,Blends!$D:$AA,24, FALSE)</f>
        <v>0</v>
      </c>
      <c r="AW58" s="128">
        <f t="shared" si="29"/>
        <v>0</v>
      </c>
      <c r="AX58" s="128">
        <f t="shared" si="30"/>
        <v>0</v>
      </c>
      <c r="AY58" s="128">
        <f t="shared" si="31"/>
        <v>0</v>
      </c>
      <c r="AZ58" s="128">
        <f t="shared" si="32"/>
        <v>0</v>
      </c>
      <c r="BA58" s="128">
        <f t="shared" si="33"/>
        <v>0</v>
      </c>
      <c r="BB58" s="128">
        <f t="shared" si="34"/>
        <v>0</v>
      </c>
      <c r="BC58" s="128">
        <f t="shared" si="35"/>
        <v>0</v>
      </c>
      <c r="BD58" s="128">
        <f t="shared" si="36"/>
        <v>0</v>
      </c>
      <c r="BE58" s="128">
        <f t="shared" si="37"/>
        <v>0</v>
      </c>
      <c r="BF58" s="128">
        <f t="shared" si="38"/>
        <v>0</v>
      </c>
      <c r="BG58" s="128">
        <f t="shared" si="39"/>
        <v>0</v>
      </c>
      <c r="BH58" s="128">
        <f t="shared" si="40"/>
        <v>0</v>
      </c>
      <c r="BI58" s="128">
        <f t="shared" si="41"/>
        <v>0</v>
      </c>
      <c r="BJ58" s="128">
        <f t="shared" si="42"/>
        <v>0</v>
      </c>
      <c r="BK58" s="128">
        <f t="shared" si="43"/>
        <v>0</v>
      </c>
      <c r="BL58" s="128">
        <f t="shared" si="44"/>
        <v>0</v>
      </c>
      <c r="BM58" s="128">
        <f t="shared" si="45"/>
        <v>0</v>
      </c>
      <c r="BN58" s="128">
        <f t="shared" si="46"/>
        <v>-450</v>
      </c>
      <c r="BO58" s="128">
        <f t="shared" si="47"/>
        <v>-1350</v>
      </c>
      <c r="BP58" s="128">
        <f t="shared" si="48"/>
        <v>0</v>
      </c>
      <c r="BQ58" s="128">
        <f t="shared" si="49"/>
        <v>0</v>
      </c>
      <c r="BR58" s="128">
        <f t="shared" si="50"/>
        <v>0</v>
      </c>
      <c r="BS58" s="128">
        <f t="shared" si="51"/>
        <v>0</v>
      </c>
      <c r="BT58" s="129">
        <f t="shared" si="52"/>
        <v>1</v>
      </c>
      <c r="BU58">
        <f>+VLOOKUP(E58,LogisticsReport!AI:HB,5,FALSE)</f>
        <v>-108</v>
      </c>
      <c r="BV58" s="205">
        <f t="shared" si="53"/>
        <v>0</v>
      </c>
    </row>
    <row r="59" spans="1:74" ht="15.75" x14ac:dyDescent="0.25">
      <c r="A59" t="s">
        <v>167</v>
      </c>
      <c r="B59" t="s">
        <v>168</v>
      </c>
      <c r="C59" t="s">
        <v>179</v>
      </c>
      <c r="D59" t="s">
        <v>170</v>
      </c>
      <c r="E59" t="s">
        <v>497</v>
      </c>
      <c r="F59" t="str">
        <f>VLOOKUP(E59,LogisticsReport!AI:AI,1,FALSE)</f>
        <v>SSWW-96188B</v>
      </c>
      <c r="G59" t="str">
        <f>INDEX(DailyNetPosition!A:A,MATCH(E59,DailyNetPosition!B:B,0))</f>
        <v>Hedgeable</v>
      </c>
      <c r="H59" s="133" t="s">
        <v>179</v>
      </c>
      <c r="I59" s="133" t="s">
        <v>305</v>
      </c>
      <c r="J59" s="149">
        <v>45590</v>
      </c>
      <c r="K59" s="133">
        <v>-1.2</v>
      </c>
      <c r="L59" s="133">
        <v>-1200</v>
      </c>
      <c r="M59" s="133" t="s">
        <v>1284</v>
      </c>
      <c r="N59" s="133" t="s">
        <v>238</v>
      </c>
      <c r="O59" s="133" t="s">
        <v>1285</v>
      </c>
      <c r="P59" t="str">
        <f>VLOOKUP(Table3[[#This Row],[Sale Ctr.]],LogisticsReport!AI:AW,15,FALSE)</f>
        <v>2024/10 All - 2025/03 All</v>
      </c>
      <c r="Q59" s="77" t="str">
        <f t="shared" si="27"/>
        <v>2024/10</v>
      </c>
      <c r="R59" s="37" t="str">
        <f t="shared" si="28"/>
        <v>10</v>
      </c>
      <c r="S59">
        <v>34.29</v>
      </c>
      <c r="T59">
        <v>21.293500000000002</v>
      </c>
      <c r="U59" t="s">
        <v>1288</v>
      </c>
      <c r="V59" t="s">
        <v>1289</v>
      </c>
      <c r="X59" t="s">
        <v>512</v>
      </c>
      <c r="Y59" s="54">
        <v>91</v>
      </c>
      <c r="Z59" s="130">
        <f>VLOOKUP($Y59,Blends!$D:$AA,2, FALSE)</f>
        <v>0</v>
      </c>
      <c r="AA59" s="130">
        <f>VLOOKUP($Y59,Blends!$D:$AA,3, FALSE)</f>
        <v>1</v>
      </c>
      <c r="AB59" s="130">
        <f>VLOOKUP($Y59,Blends!$D:$AA,4, FALSE)</f>
        <v>0</v>
      </c>
      <c r="AC59" s="130">
        <f>VLOOKUP($Y59,Blends!$D:$AA,5, FALSE)</f>
        <v>0</v>
      </c>
      <c r="AD59" s="130">
        <f>VLOOKUP($Y59,Blends!$D:$AA,6, FALSE)</f>
        <v>0</v>
      </c>
      <c r="AE59" s="130">
        <f>VLOOKUP($Y59,Blends!$D:$AA,7, FALSE)</f>
        <v>0</v>
      </c>
      <c r="AF59" s="130">
        <f>VLOOKUP($Y59,Blends!$D:$AA,8, FALSE)</f>
        <v>0</v>
      </c>
      <c r="AG59" s="130">
        <f>VLOOKUP($Y59,Blends!$D:$AA,9, FALSE)</f>
        <v>0</v>
      </c>
      <c r="AH59" s="130">
        <f>VLOOKUP($Y59,Blends!$D:$AA,10, FALSE)</f>
        <v>0</v>
      </c>
      <c r="AI59" s="130">
        <f>VLOOKUP($Y59,Blends!$D:$AA,11, FALSE)</f>
        <v>0</v>
      </c>
      <c r="AJ59" s="130">
        <f>VLOOKUP($Y59,Blends!$D:$AA,12, FALSE)</f>
        <v>0</v>
      </c>
      <c r="AK59" s="130">
        <f>VLOOKUP($Y59,Blends!$D:$AA,13, FALSE)</f>
        <v>0</v>
      </c>
      <c r="AL59" s="130">
        <f>VLOOKUP($Y59,Blends!$D:$AA,14, FALSE)</f>
        <v>0</v>
      </c>
      <c r="AM59" s="130">
        <f>VLOOKUP($Y59,Blends!$D:$AA,15, FALSE)</f>
        <v>0</v>
      </c>
      <c r="AN59" s="130">
        <f>VLOOKUP($Y59,Blends!$D:$AA,16, FALSE)</f>
        <v>0</v>
      </c>
      <c r="AO59" s="130">
        <f>VLOOKUP($Y59,Blends!$D:$AA,17, FALSE)</f>
        <v>0</v>
      </c>
      <c r="AP59" s="130">
        <f>VLOOKUP($Y59,Blends!$D:$AA,18, FALSE)</f>
        <v>0</v>
      </c>
      <c r="AQ59" s="130">
        <f>VLOOKUP($Y59,Blends!$D:$AA,19, FALSE)</f>
        <v>0</v>
      </c>
      <c r="AR59" s="130">
        <f>VLOOKUP($Y59,Blends!$D:$AA,20, FALSE)</f>
        <v>0</v>
      </c>
      <c r="AS59" s="130">
        <f>VLOOKUP($Y59,Blends!$D:$AA,21, FALSE)</f>
        <v>0</v>
      </c>
      <c r="AT59" s="130">
        <f>VLOOKUP($Y59,Blends!$D:$AA,22, FALSE)</f>
        <v>0</v>
      </c>
      <c r="AU59" s="130">
        <f>VLOOKUP($Y59,Blends!$D:$AA,23, FALSE)</f>
        <v>0</v>
      </c>
      <c r="AV59" s="130">
        <f>VLOOKUP($Y59,Blends!$D:$AA,24, FALSE)</f>
        <v>0</v>
      </c>
      <c r="AW59" s="128">
        <f t="shared" si="29"/>
        <v>0</v>
      </c>
      <c r="AX59" s="128">
        <f t="shared" si="30"/>
        <v>-20</v>
      </c>
      <c r="AY59" s="128">
        <f t="shared" si="31"/>
        <v>0</v>
      </c>
      <c r="AZ59" s="128">
        <f t="shared" si="32"/>
        <v>0</v>
      </c>
      <c r="BA59" s="128">
        <f t="shared" si="33"/>
        <v>0</v>
      </c>
      <c r="BB59" s="128">
        <f t="shared" si="34"/>
        <v>0</v>
      </c>
      <c r="BC59" s="128">
        <f t="shared" si="35"/>
        <v>0</v>
      </c>
      <c r="BD59" s="128">
        <f t="shared" si="36"/>
        <v>0</v>
      </c>
      <c r="BE59" s="128">
        <f t="shared" si="37"/>
        <v>0</v>
      </c>
      <c r="BF59" s="128">
        <f t="shared" si="38"/>
        <v>0</v>
      </c>
      <c r="BG59" s="128">
        <f t="shared" si="39"/>
        <v>0</v>
      </c>
      <c r="BH59" s="128">
        <f t="shared" si="40"/>
        <v>0</v>
      </c>
      <c r="BI59" s="128">
        <f t="shared" si="41"/>
        <v>0</v>
      </c>
      <c r="BJ59" s="128">
        <f t="shared" si="42"/>
        <v>0</v>
      </c>
      <c r="BK59" s="128">
        <f t="shared" si="43"/>
        <v>0</v>
      </c>
      <c r="BL59" s="128">
        <f t="shared" si="44"/>
        <v>0</v>
      </c>
      <c r="BM59" s="128">
        <f t="shared" si="45"/>
        <v>0</v>
      </c>
      <c r="BN59" s="128">
        <f t="shared" si="46"/>
        <v>0</v>
      </c>
      <c r="BO59" s="128">
        <f t="shared" si="47"/>
        <v>0</v>
      </c>
      <c r="BP59" s="128">
        <f t="shared" si="48"/>
        <v>0</v>
      </c>
      <c r="BQ59" s="128">
        <f t="shared" si="49"/>
        <v>0</v>
      </c>
      <c r="BR59" s="128">
        <f t="shared" si="50"/>
        <v>0</v>
      </c>
      <c r="BS59" s="128">
        <f t="shared" si="51"/>
        <v>0</v>
      </c>
      <c r="BT59" s="129">
        <f t="shared" si="52"/>
        <v>1</v>
      </c>
      <c r="BU59">
        <f>+VLOOKUP(E59,LogisticsReport!AI:HB,5,FALSE)</f>
        <v>-1.2</v>
      </c>
      <c r="BV59" s="205">
        <f t="shared" si="53"/>
        <v>0</v>
      </c>
    </row>
    <row r="60" spans="1:74" ht="15.75" x14ac:dyDescent="0.25">
      <c r="A60" t="s">
        <v>167</v>
      </c>
      <c r="B60" t="s">
        <v>168</v>
      </c>
      <c r="C60" t="s">
        <v>195</v>
      </c>
      <c r="D60" t="s">
        <v>170</v>
      </c>
      <c r="E60" t="s">
        <v>215</v>
      </c>
      <c r="F60" t="str">
        <f>VLOOKUP(E60,LogisticsReport!AI:AI,1,FALSE)</f>
        <v>SSKE-104931</v>
      </c>
      <c r="G60" t="str">
        <f>INDEX(DailyNetPosition!A:A,MATCH(E60,DailyNetPosition!B:B,0))</f>
        <v>Hedgeable</v>
      </c>
      <c r="H60" s="83" t="s">
        <v>195</v>
      </c>
      <c r="I60" t="s">
        <v>197</v>
      </c>
      <c r="J60" s="38">
        <v>46042</v>
      </c>
      <c r="K60">
        <v>-43.2</v>
      </c>
      <c r="L60" s="79">
        <v>-720</v>
      </c>
      <c r="M60" t="s">
        <v>173</v>
      </c>
      <c r="N60" t="s">
        <v>174</v>
      </c>
      <c r="O60" t="s">
        <v>189</v>
      </c>
      <c r="P60" t="str">
        <f>VLOOKUP(Table3[[#This Row],[Sale Ctr.]],LogisticsReport!AI:AW,15,FALSE)</f>
        <v>2026/11 All - 2026/11 All</v>
      </c>
      <c r="Q60" s="77" t="str">
        <f t="shared" si="27"/>
        <v>2026/11</v>
      </c>
      <c r="R60" s="37" t="str">
        <f t="shared" si="28"/>
        <v>11</v>
      </c>
      <c r="S60">
        <v>133</v>
      </c>
      <c r="T60">
        <v>120.9996</v>
      </c>
      <c r="U60" t="s">
        <v>198</v>
      </c>
      <c r="V60" t="str">
        <f>VLOOKUP(Table3[[#This Row],[Sale Ctr.]],LogisticsReport!AI:DD,74,FALSE)</f>
        <v>KCH/2027</v>
      </c>
      <c r="Y60" s="54">
        <v>34</v>
      </c>
      <c r="Z60" s="67">
        <f>VLOOKUP($Y60,Blends!$D:$AA,2, FALSE)</f>
        <v>0</v>
      </c>
      <c r="AA60" s="67">
        <f>VLOOKUP($Y60,Blends!$D:$AA,3, FALSE)</f>
        <v>0</v>
      </c>
      <c r="AB60" s="67">
        <f>VLOOKUP($Y60,Blends!$D:$AA,4, FALSE)</f>
        <v>0</v>
      </c>
      <c r="AC60" s="67">
        <f>VLOOKUP($Y60,Blends!$D:$AA,5, FALSE)</f>
        <v>0.33</v>
      </c>
      <c r="AD60" s="67">
        <f>VLOOKUP($Y60,Blends!$D:$AA,6, FALSE)</f>
        <v>0</v>
      </c>
      <c r="AE60" s="67">
        <f>VLOOKUP($Y60,Blends!$D:$AA,7, FALSE)</f>
        <v>0</v>
      </c>
      <c r="AF60" s="67">
        <f>VLOOKUP($Y60,Blends!$D:$AA,8, FALSE)</f>
        <v>7.0000000000000007E-2</v>
      </c>
      <c r="AG60" s="67">
        <f>VLOOKUP($Y60,Blends!$D:$AA,9, FALSE)</f>
        <v>0.2</v>
      </c>
      <c r="AH60" s="67">
        <f>VLOOKUP($Y60,Blends!$D:$AA,10, FALSE)</f>
        <v>0</v>
      </c>
      <c r="AI60" s="67">
        <f>VLOOKUP($Y60,Blends!$D:$AA,11, FALSE)</f>
        <v>0.15</v>
      </c>
      <c r="AJ60" s="67">
        <f>VLOOKUP($Y60,Blends!$D:$AA,12, FALSE)</f>
        <v>0.02</v>
      </c>
      <c r="AK60" s="130">
        <f>VLOOKUP($Y60,Blends!$D:$AA,13, FALSE)</f>
        <v>0</v>
      </c>
      <c r="AL60" s="67">
        <f>VLOOKUP($Y60,Blends!$D:$AA,14, FALSE)</f>
        <v>0.2</v>
      </c>
      <c r="AM60" s="67">
        <f>VLOOKUP($Y60,Blends!$D:$AA,15, FALSE)</f>
        <v>0</v>
      </c>
      <c r="AN60" s="67">
        <f>VLOOKUP($Y60,Blends!$D:$AA,16, FALSE)</f>
        <v>0</v>
      </c>
      <c r="AO60" s="67">
        <f>VLOOKUP($Y60,Blends!$D:$AA,17, FALSE)</f>
        <v>0.03</v>
      </c>
      <c r="AP60" s="67">
        <f>VLOOKUP($Y60,Blends!$D:$AA,18, FALSE)</f>
        <v>0</v>
      </c>
      <c r="AQ60" s="130">
        <f>VLOOKUP($Y60,Blends!$D:$AA,19, FALSE)</f>
        <v>0</v>
      </c>
      <c r="AR60" s="67">
        <f>VLOOKUP($Y60,Blends!$D:$AA,20, FALSE)</f>
        <v>0</v>
      </c>
      <c r="AS60" s="67">
        <f>VLOOKUP($Y60,Blends!$D:$AA,21, FALSE)</f>
        <v>0</v>
      </c>
      <c r="AT60" s="67">
        <f>VLOOKUP($Y60,Blends!$D:$AA,22, FALSE)</f>
        <v>0</v>
      </c>
      <c r="AU60" s="67">
        <f>VLOOKUP($Y60,Blends!$D:$AA,23, FALSE)</f>
        <v>0</v>
      </c>
      <c r="AV60" s="67">
        <f>VLOOKUP($Y60,Blends!$D:$AA,24, FALSE)</f>
        <v>0</v>
      </c>
      <c r="AW60" s="68">
        <f t="shared" si="29"/>
        <v>0</v>
      </c>
      <c r="AX60" s="68">
        <f t="shared" si="30"/>
        <v>0</v>
      </c>
      <c r="AY60" s="68">
        <f t="shared" si="31"/>
        <v>0</v>
      </c>
      <c r="AZ60" s="68">
        <f t="shared" si="32"/>
        <v>-237.60000000000002</v>
      </c>
      <c r="BA60" s="68">
        <f t="shared" si="33"/>
        <v>0</v>
      </c>
      <c r="BB60" s="68">
        <f t="shared" si="34"/>
        <v>0</v>
      </c>
      <c r="BC60" s="68">
        <f t="shared" si="35"/>
        <v>-50.400000000000006</v>
      </c>
      <c r="BD60" s="68">
        <f t="shared" si="36"/>
        <v>-144</v>
      </c>
      <c r="BE60" s="68">
        <f t="shared" si="37"/>
        <v>0</v>
      </c>
      <c r="BF60" s="68">
        <f t="shared" si="38"/>
        <v>-108</v>
      </c>
      <c r="BG60" s="68">
        <f t="shared" si="39"/>
        <v>-14.400000000000002</v>
      </c>
      <c r="BH60" s="68">
        <f t="shared" si="40"/>
        <v>0</v>
      </c>
      <c r="BI60" s="68">
        <f t="shared" si="41"/>
        <v>-144</v>
      </c>
      <c r="BJ60" s="68">
        <f t="shared" si="42"/>
        <v>0</v>
      </c>
      <c r="BK60" s="68">
        <f t="shared" si="43"/>
        <v>0</v>
      </c>
      <c r="BL60" s="68">
        <f t="shared" si="44"/>
        <v>-21.6</v>
      </c>
      <c r="BM60" s="68">
        <f t="shared" si="45"/>
        <v>0</v>
      </c>
      <c r="BN60" s="68">
        <f t="shared" si="46"/>
        <v>0</v>
      </c>
      <c r="BO60" s="68">
        <f t="shared" si="47"/>
        <v>0</v>
      </c>
      <c r="BP60" s="68">
        <f t="shared" si="48"/>
        <v>0</v>
      </c>
      <c r="BQ60" s="68">
        <f t="shared" si="49"/>
        <v>0</v>
      </c>
      <c r="BR60" s="68">
        <f t="shared" si="50"/>
        <v>0</v>
      </c>
      <c r="BS60" s="68">
        <f t="shared" si="51"/>
        <v>0</v>
      </c>
      <c r="BT60" s="140">
        <f t="shared" si="52"/>
        <v>1.0000000000000002</v>
      </c>
      <c r="BU60">
        <f>+VLOOKUP(E60,LogisticsReport!AI:HB,5,FALSE)</f>
        <v>-43.2</v>
      </c>
      <c r="BV60" s="205">
        <f t="shared" si="53"/>
        <v>0</v>
      </c>
    </row>
    <row r="61" spans="1:74" ht="15.75" x14ac:dyDescent="0.25">
      <c r="A61" t="s">
        <v>167</v>
      </c>
      <c r="B61" t="s">
        <v>168</v>
      </c>
      <c r="C61" t="s">
        <v>195</v>
      </c>
      <c r="D61" t="s">
        <v>170</v>
      </c>
      <c r="E61" t="s">
        <v>216</v>
      </c>
      <c r="F61" t="str">
        <f>VLOOKUP(E61,LogisticsReport!AI:AI,1,FALSE)</f>
        <v>SSKE-104940</v>
      </c>
      <c r="G61" t="str">
        <f>INDEX(DailyNetPosition!A:A,MATCH(E61,DailyNetPosition!B:B,0))</f>
        <v>Hedgeable</v>
      </c>
      <c r="H61" s="83" t="s">
        <v>195</v>
      </c>
      <c r="I61" t="s">
        <v>197</v>
      </c>
      <c r="J61" s="38">
        <v>46042</v>
      </c>
      <c r="K61">
        <v>-43.2</v>
      </c>
      <c r="L61" s="79">
        <v>-720</v>
      </c>
      <c r="M61" t="s">
        <v>173</v>
      </c>
      <c r="N61" t="s">
        <v>174</v>
      </c>
      <c r="O61" t="s">
        <v>189</v>
      </c>
      <c r="P61" t="str">
        <f>VLOOKUP(Table3[[#This Row],[Sale Ctr.]],LogisticsReport!AI:AW,15,FALSE)</f>
        <v>2026/11 All - 2026/11 All</v>
      </c>
      <c r="Q61" s="77" t="str">
        <f t="shared" si="27"/>
        <v>2026/11</v>
      </c>
      <c r="R61" s="37" t="str">
        <f t="shared" si="28"/>
        <v>11</v>
      </c>
      <c r="S61">
        <v>123</v>
      </c>
      <c r="T61">
        <v>111.0001</v>
      </c>
      <c r="U61" t="s">
        <v>200</v>
      </c>
      <c r="V61" t="str">
        <f>VLOOKUP(Table3[[#This Row],[Sale Ctr.]],LogisticsReport!AI:DD,74,FALSE)</f>
        <v>KCH/2027</v>
      </c>
      <c r="Y61" s="54">
        <v>34</v>
      </c>
      <c r="Z61" s="130">
        <f>VLOOKUP($Y61,Blends!$D:$AA,2, FALSE)</f>
        <v>0</v>
      </c>
      <c r="AA61" s="130">
        <f>VLOOKUP($Y61,Blends!$D:$AA,3, FALSE)</f>
        <v>0</v>
      </c>
      <c r="AB61" s="130">
        <f>VLOOKUP($Y61,Blends!$D:$AA,4, FALSE)</f>
        <v>0</v>
      </c>
      <c r="AC61" s="130">
        <f>VLOOKUP($Y61,Blends!$D:$AA,5, FALSE)</f>
        <v>0.33</v>
      </c>
      <c r="AD61" s="130">
        <f>VLOOKUP($Y61,Blends!$D:$AA,6, FALSE)</f>
        <v>0</v>
      </c>
      <c r="AE61" s="130">
        <f>VLOOKUP($Y61,Blends!$D:$AA,7, FALSE)</f>
        <v>0</v>
      </c>
      <c r="AF61" s="130">
        <f>VLOOKUP($Y61,Blends!$D:$AA,8, FALSE)</f>
        <v>7.0000000000000007E-2</v>
      </c>
      <c r="AG61" s="130">
        <f>VLOOKUP($Y61,Blends!$D:$AA,9, FALSE)</f>
        <v>0.2</v>
      </c>
      <c r="AH61" s="130">
        <f>VLOOKUP($Y61,Blends!$D:$AA,10, FALSE)</f>
        <v>0</v>
      </c>
      <c r="AI61" s="130">
        <f>VLOOKUP($Y61,Blends!$D:$AA,11, FALSE)</f>
        <v>0.15</v>
      </c>
      <c r="AJ61" s="130">
        <f>VLOOKUP($Y61,Blends!$D:$AA,12, FALSE)</f>
        <v>0.02</v>
      </c>
      <c r="AK61" s="130">
        <f>VLOOKUP($Y61,Blends!$D:$AA,13, FALSE)</f>
        <v>0</v>
      </c>
      <c r="AL61" s="130">
        <f>VLOOKUP($Y61,Blends!$D:$AA,14, FALSE)</f>
        <v>0.2</v>
      </c>
      <c r="AM61" s="130">
        <f>VLOOKUP($Y61,Blends!$D:$AA,15, FALSE)</f>
        <v>0</v>
      </c>
      <c r="AN61" s="130">
        <f>VLOOKUP($Y61,Blends!$D:$AA,16, FALSE)</f>
        <v>0</v>
      </c>
      <c r="AO61" s="130">
        <f>VLOOKUP($Y61,Blends!$D:$AA,17, FALSE)</f>
        <v>0.03</v>
      </c>
      <c r="AP61" s="130">
        <f>VLOOKUP($Y61,Blends!$D:$AA,18, FALSE)</f>
        <v>0</v>
      </c>
      <c r="AQ61" s="130">
        <f>VLOOKUP($Y61,Blends!$D:$AA,19, FALSE)</f>
        <v>0</v>
      </c>
      <c r="AR61" s="130">
        <f>VLOOKUP($Y61,Blends!$D:$AA,20, FALSE)</f>
        <v>0</v>
      </c>
      <c r="AS61" s="130">
        <f>VLOOKUP($Y61,Blends!$D:$AA,21, FALSE)</f>
        <v>0</v>
      </c>
      <c r="AT61" s="130">
        <f>VLOOKUP($Y61,Blends!$D:$AA,22, FALSE)</f>
        <v>0</v>
      </c>
      <c r="AU61" s="130">
        <f>VLOOKUP($Y61,Blends!$D:$AA,23, FALSE)</f>
        <v>0</v>
      </c>
      <c r="AV61" s="130">
        <f>VLOOKUP($Y61,Blends!$D:$AA,24, FALSE)</f>
        <v>0</v>
      </c>
      <c r="AW61" s="128">
        <f t="shared" si="29"/>
        <v>0</v>
      </c>
      <c r="AX61" s="128">
        <f t="shared" si="30"/>
        <v>0</v>
      </c>
      <c r="AY61" s="128">
        <f t="shared" si="31"/>
        <v>0</v>
      </c>
      <c r="AZ61" s="128">
        <f t="shared" si="32"/>
        <v>-237.60000000000002</v>
      </c>
      <c r="BA61" s="128">
        <f t="shared" si="33"/>
        <v>0</v>
      </c>
      <c r="BB61" s="128">
        <f t="shared" si="34"/>
        <v>0</v>
      </c>
      <c r="BC61" s="128">
        <f t="shared" si="35"/>
        <v>-50.400000000000006</v>
      </c>
      <c r="BD61" s="128">
        <f t="shared" si="36"/>
        <v>-144</v>
      </c>
      <c r="BE61" s="128">
        <f t="shared" si="37"/>
        <v>0</v>
      </c>
      <c r="BF61" s="128">
        <f t="shared" si="38"/>
        <v>-108</v>
      </c>
      <c r="BG61" s="128">
        <f t="shared" si="39"/>
        <v>-14.400000000000002</v>
      </c>
      <c r="BH61" s="128">
        <f t="shared" si="40"/>
        <v>0</v>
      </c>
      <c r="BI61" s="128">
        <f t="shared" si="41"/>
        <v>-144</v>
      </c>
      <c r="BJ61" s="128">
        <f t="shared" si="42"/>
        <v>0</v>
      </c>
      <c r="BK61" s="128">
        <f t="shared" si="43"/>
        <v>0</v>
      </c>
      <c r="BL61" s="128">
        <f t="shared" si="44"/>
        <v>-21.6</v>
      </c>
      <c r="BM61" s="128">
        <f t="shared" si="45"/>
        <v>0</v>
      </c>
      <c r="BN61" s="128">
        <f t="shared" si="46"/>
        <v>0</v>
      </c>
      <c r="BO61" s="128">
        <f t="shared" si="47"/>
        <v>0</v>
      </c>
      <c r="BP61" s="128">
        <f t="shared" si="48"/>
        <v>0</v>
      </c>
      <c r="BQ61" s="128">
        <f t="shared" si="49"/>
        <v>0</v>
      </c>
      <c r="BR61" s="128">
        <f t="shared" si="50"/>
        <v>0</v>
      </c>
      <c r="BS61" s="128">
        <f t="shared" si="51"/>
        <v>0</v>
      </c>
      <c r="BT61" s="140">
        <f t="shared" si="52"/>
        <v>1.0000000000000002</v>
      </c>
      <c r="BU61">
        <f>+VLOOKUP(E61,LogisticsReport!AI:HB,5,FALSE)</f>
        <v>-43.2</v>
      </c>
      <c r="BV61" s="205">
        <f t="shared" si="53"/>
        <v>0</v>
      </c>
    </row>
    <row r="62" spans="1:74" x14ac:dyDescent="0.25">
      <c r="K62" s="83"/>
    </row>
    <row r="63" spans="1:74" x14ac:dyDescent="0.25">
      <c r="K63" s="83"/>
    </row>
    <row r="64" spans="1:74" x14ac:dyDescent="0.25">
      <c r="K64" s="83"/>
    </row>
    <row r="65" spans="11:11" x14ac:dyDescent="0.25">
      <c r="K65" s="83"/>
    </row>
    <row r="66" spans="11:11" x14ac:dyDescent="0.25">
      <c r="K66" s="83"/>
    </row>
    <row r="67" spans="11:11" x14ac:dyDescent="0.25">
      <c r="K67" s="83"/>
    </row>
    <row r="68" spans="11:11" x14ac:dyDescent="0.25">
      <c r="K68" s="83"/>
    </row>
    <row r="69" spans="11:11" x14ac:dyDescent="0.25">
      <c r="K69" s="83"/>
    </row>
    <row r="70" spans="11:11" x14ac:dyDescent="0.25">
      <c r="K70" s="83"/>
    </row>
    <row r="71" spans="11:11" x14ac:dyDescent="0.25">
      <c r="K71" s="83"/>
    </row>
    <row r="72" spans="11:11" x14ac:dyDescent="0.25">
      <c r="K72" s="83"/>
    </row>
  </sheetData>
  <phoneticPr fontId="37" type="noConversion"/>
  <conditionalFormatting sqref="E48:E1048576 E1:E4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dxfId="9" priority="72"/>
  </conditionalFormatting>
  <conditionalFormatting sqref="F1:F1048576">
    <cfRule type="duplicateValues" dxfId="8" priority="21"/>
    <cfRule type="duplicateValues" dxfId="7" priority="22"/>
  </conditionalFormatting>
  <conditionalFormatting sqref="Y69:Y1048576 Y1:Y62">
    <cfRule type="duplicateValues" dxfId="6" priority="17"/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:AV61">
    <cfRule type="cellIs" dxfId="5" priority="3" operator="equal">
      <formula>0</formula>
    </cfRule>
    <cfRule type="cellIs" dxfId="4" priority="4" operator="greaterThan">
      <formula>0</formula>
    </cfRule>
  </conditionalFormatting>
  <conditionalFormatting sqref="AW2:BS61">
    <cfRule type="cellIs" dxfId="3" priority="1" operator="equal">
      <formula>0</formula>
    </cfRule>
    <cfRule type="cellIs" dxfId="2" priority="2" operator="lessThan">
      <formula>0</formula>
    </cfRule>
  </conditionalFormatting>
  <conditionalFormatting sqref="BT2:BT61">
    <cfRule type="cellIs" dxfId="1" priority="59" operator="lessThan">
      <formula>1</formula>
    </cfRule>
    <cfRule type="cellIs" dxfId="0" priority="60" operator="greaterThan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E2A379-2B6A-4FD8-9F14-A441CDD77FBA}">
          <x14:formula1>
            <xm:f>Blends!$D$2:$D$512</xm:f>
          </x14:formula1>
          <xm:sqref>Y2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3F5A9-1587-4C26-9923-B4EBBCBE28EC}">
  <sheetPr codeName="Sheet7">
    <tabColor rgb="FFFFC000"/>
  </sheetPr>
  <dimension ref="A1:AB124"/>
  <sheetViews>
    <sheetView zoomScale="70" zoomScaleNormal="70" workbookViewId="0">
      <pane ySplit="1" topLeftCell="A49" activePane="bottomLeft" state="frozen"/>
      <selection activeCell="I1" sqref="I1"/>
      <selection pane="bottomLeft" activeCell="D53" sqref="D53"/>
    </sheetView>
  </sheetViews>
  <sheetFormatPr defaultRowHeight="15" x14ac:dyDescent="0.25"/>
  <cols>
    <col min="1" max="1" width="30.85546875" bestFit="1" customWidth="1"/>
    <col min="2" max="2" width="13.5703125" style="54" bestFit="1" customWidth="1"/>
    <col min="3" max="3" width="18.28515625" style="54" bestFit="1" customWidth="1"/>
    <col min="4" max="4" width="11" style="55" bestFit="1" customWidth="1"/>
    <col min="5" max="5" width="11" style="55" customWidth="1"/>
    <col min="6" max="6" width="20.7109375" style="54" bestFit="1" customWidth="1"/>
    <col min="7" max="7" width="21.5703125" style="54" bestFit="1" customWidth="1"/>
    <col min="8" max="8" width="18.28515625" style="54" bestFit="1" customWidth="1"/>
    <col min="9" max="9" width="18.28515625" style="54" customWidth="1"/>
    <col min="10" max="10" width="19.85546875" style="54" bestFit="1" customWidth="1"/>
    <col min="11" max="11" width="22.5703125" style="54" bestFit="1" customWidth="1"/>
    <col min="12" max="14" width="19.140625" style="54" bestFit="1" customWidth="1"/>
    <col min="15" max="15" width="20.7109375" style="54" bestFit="1" customWidth="1"/>
    <col min="16" max="16" width="21.5703125" style="54" bestFit="1" customWidth="1"/>
    <col min="17" max="19" width="18.28515625" style="54" bestFit="1" customWidth="1"/>
    <col min="20" max="20" width="19.85546875" style="54" bestFit="1" customWidth="1"/>
    <col min="21" max="21" width="22.85546875" style="54" bestFit="1" customWidth="1"/>
    <col min="22" max="22" width="26.28515625" style="54" bestFit="1" customWidth="1"/>
    <col min="23" max="23" width="26.5703125" style="54" bestFit="1" customWidth="1"/>
    <col min="24" max="24" width="14.7109375" style="54" bestFit="1" customWidth="1"/>
    <col min="25" max="25" width="14.28515625" style="54" bestFit="1" customWidth="1"/>
    <col min="26" max="26" width="20.85546875" style="54" bestFit="1" customWidth="1"/>
    <col min="27" max="27" width="21" style="54" bestFit="1" customWidth="1"/>
  </cols>
  <sheetData>
    <row r="1" spans="1:28" ht="26.25" customHeight="1" x14ac:dyDescent="0.25">
      <c r="A1" s="57" t="s">
        <v>125</v>
      </c>
      <c r="B1" s="58" t="s">
        <v>119</v>
      </c>
      <c r="C1" s="58" t="s">
        <v>877</v>
      </c>
      <c r="D1" s="58" t="s">
        <v>141</v>
      </c>
      <c r="E1" s="107" t="s">
        <v>37</v>
      </c>
      <c r="F1" s="58" t="s">
        <v>41</v>
      </c>
      <c r="G1" s="58" t="s">
        <v>44</v>
      </c>
      <c r="H1" s="58" t="s">
        <v>47</v>
      </c>
      <c r="I1" s="58" t="s">
        <v>50</v>
      </c>
      <c r="J1" s="58" t="s">
        <v>52</v>
      </c>
      <c r="K1" s="58" t="s">
        <v>54</v>
      </c>
      <c r="L1" s="58" t="s">
        <v>56</v>
      </c>
      <c r="M1" s="58" t="s">
        <v>58</v>
      </c>
      <c r="N1" s="58" t="s">
        <v>60</v>
      </c>
      <c r="O1" s="58" t="s">
        <v>61</v>
      </c>
      <c r="P1" s="58" t="s">
        <v>64</v>
      </c>
      <c r="Q1" s="58" t="s">
        <v>66</v>
      </c>
      <c r="R1" s="58" t="s">
        <v>67</v>
      </c>
      <c r="S1" s="58" t="s">
        <v>68</v>
      </c>
      <c r="T1" s="58" t="s">
        <v>69</v>
      </c>
      <c r="U1" s="58" t="s">
        <v>115</v>
      </c>
      <c r="V1" s="58" t="s">
        <v>70</v>
      </c>
      <c r="W1" s="58" t="s">
        <v>71</v>
      </c>
      <c r="X1" s="58" t="s">
        <v>72</v>
      </c>
      <c r="Y1" s="58" t="s">
        <v>73</v>
      </c>
      <c r="Z1" s="58" t="s">
        <v>74</v>
      </c>
      <c r="AA1" s="58" t="s">
        <v>75</v>
      </c>
      <c r="AB1" s="59" t="s">
        <v>116</v>
      </c>
    </row>
    <row r="2" spans="1:28" x14ac:dyDescent="0.25">
      <c r="A2" s="61" t="s">
        <v>172</v>
      </c>
      <c r="B2" s="62" t="s">
        <v>878</v>
      </c>
      <c r="C2" s="62" t="s">
        <v>879</v>
      </c>
      <c r="D2" s="66">
        <v>74</v>
      </c>
      <c r="E2" s="63">
        <v>0</v>
      </c>
      <c r="F2" s="63">
        <v>0</v>
      </c>
      <c r="G2" s="63">
        <v>0</v>
      </c>
      <c r="H2" s="63">
        <v>0</v>
      </c>
      <c r="I2" s="63">
        <v>0</v>
      </c>
      <c r="J2" s="63">
        <v>0</v>
      </c>
      <c r="K2" s="63">
        <v>0</v>
      </c>
      <c r="L2" s="63">
        <v>0</v>
      </c>
      <c r="M2" s="63">
        <v>0</v>
      </c>
      <c r="N2" s="63">
        <v>0</v>
      </c>
      <c r="O2" s="63">
        <v>0</v>
      </c>
      <c r="P2" s="63">
        <v>0</v>
      </c>
      <c r="Q2" s="63">
        <v>0</v>
      </c>
      <c r="R2" s="63">
        <v>0</v>
      </c>
      <c r="S2" s="63">
        <v>0</v>
      </c>
      <c r="T2" s="63">
        <v>0</v>
      </c>
      <c r="U2" s="63">
        <v>0</v>
      </c>
      <c r="V2" s="63">
        <v>0</v>
      </c>
      <c r="W2" s="63">
        <v>0</v>
      </c>
      <c r="X2" s="63">
        <v>0</v>
      </c>
      <c r="Y2" s="63">
        <v>0</v>
      </c>
      <c r="Z2" s="63">
        <v>0</v>
      </c>
      <c r="AA2" s="63">
        <v>0</v>
      </c>
      <c r="AB2" s="60">
        <f t="shared" ref="AB2:AB33" si="0">SUM(F2:AA2)</f>
        <v>0</v>
      </c>
    </row>
    <row r="3" spans="1:28" x14ac:dyDescent="0.25">
      <c r="A3" s="61" t="s">
        <v>880</v>
      </c>
      <c r="B3" s="62" t="s">
        <v>881</v>
      </c>
      <c r="C3" s="62" t="s">
        <v>882</v>
      </c>
      <c r="D3" s="66">
        <v>1</v>
      </c>
      <c r="E3" s="63">
        <v>0</v>
      </c>
      <c r="F3" s="63">
        <v>0</v>
      </c>
      <c r="G3" s="63">
        <v>0</v>
      </c>
      <c r="H3" s="63">
        <v>0</v>
      </c>
      <c r="I3" s="63">
        <v>0</v>
      </c>
      <c r="J3" s="63">
        <v>0</v>
      </c>
      <c r="K3" s="63">
        <v>0</v>
      </c>
      <c r="L3" s="63">
        <v>0</v>
      </c>
      <c r="M3" s="63">
        <v>0</v>
      </c>
      <c r="N3" s="63">
        <v>0</v>
      </c>
      <c r="O3" s="63">
        <v>0</v>
      </c>
      <c r="P3" s="63">
        <v>0</v>
      </c>
      <c r="Q3" s="63">
        <v>0</v>
      </c>
      <c r="R3" s="63">
        <v>0</v>
      </c>
      <c r="S3" s="63">
        <v>0</v>
      </c>
      <c r="T3" s="63">
        <v>0</v>
      </c>
      <c r="U3" s="63">
        <v>0</v>
      </c>
      <c r="V3" s="63">
        <v>0</v>
      </c>
      <c r="W3" s="63">
        <v>0</v>
      </c>
      <c r="X3" s="63">
        <v>0</v>
      </c>
      <c r="Y3" s="63">
        <v>0</v>
      </c>
      <c r="Z3" s="63">
        <v>0</v>
      </c>
      <c r="AA3" s="63">
        <v>0</v>
      </c>
      <c r="AB3" s="60">
        <f t="shared" si="0"/>
        <v>0</v>
      </c>
    </row>
    <row r="4" spans="1:28" x14ac:dyDescent="0.25">
      <c r="A4" s="61" t="s">
        <v>883</v>
      </c>
      <c r="B4" s="62" t="s">
        <v>195</v>
      </c>
      <c r="C4" s="62" t="s">
        <v>228</v>
      </c>
      <c r="D4" s="66">
        <v>66</v>
      </c>
      <c r="E4" s="63">
        <v>0</v>
      </c>
      <c r="F4" s="63">
        <v>0</v>
      </c>
      <c r="G4" s="63">
        <v>0</v>
      </c>
      <c r="H4" s="63">
        <v>0</v>
      </c>
      <c r="I4" s="63">
        <v>0</v>
      </c>
      <c r="J4" s="63">
        <v>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  <c r="Q4" s="63">
        <v>0</v>
      </c>
      <c r="R4" s="63">
        <v>0</v>
      </c>
      <c r="S4" s="63">
        <v>0</v>
      </c>
      <c r="T4" s="63">
        <v>0</v>
      </c>
      <c r="U4" s="63">
        <v>0</v>
      </c>
      <c r="V4" s="63">
        <v>0</v>
      </c>
      <c r="W4" s="63">
        <v>0</v>
      </c>
      <c r="X4" s="63">
        <v>0</v>
      </c>
      <c r="Y4" s="63">
        <v>0</v>
      </c>
      <c r="Z4" s="63">
        <v>0</v>
      </c>
      <c r="AA4" s="63">
        <v>0</v>
      </c>
      <c r="AB4" s="60">
        <f t="shared" si="0"/>
        <v>0</v>
      </c>
    </row>
    <row r="5" spans="1:28" x14ac:dyDescent="0.25">
      <c r="A5" s="61" t="s">
        <v>308</v>
      </c>
      <c r="B5" s="62" t="s">
        <v>878</v>
      </c>
      <c r="C5" s="62" t="s">
        <v>267</v>
      </c>
      <c r="D5" s="66">
        <v>2</v>
      </c>
      <c r="E5" s="63">
        <v>0</v>
      </c>
      <c r="F5" s="63">
        <v>0</v>
      </c>
      <c r="G5" s="63">
        <v>0</v>
      </c>
      <c r="H5" s="63">
        <v>0</v>
      </c>
      <c r="I5" s="63">
        <v>0</v>
      </c>
      <c r="J5" s="63">
        <v>0</v>
      </c>
      <c r="K5" s="63">
        <v>0</v>
      </c>
      <c r="L5" s="63">
        <v>0</v>
      </c>
      <c r="M5" s="63">
        <v>0</v>
      </c>
      <c r="N5" s="63">
        <v>0</v>
      </c>
      <c r="O5" s="63">
        <v>0</v>
      </c>
      <c r="P5" s="63">
        <v>0</v>
      </c>
      <c r="Q5" s="63">
        <v>0</v>
      </c>
      <c r="R5" s="63">
        <v>0</v>
      </c>
      <c r="S5" s="63">
        <v>0</v>
      </c>
      <c r="T5" s="63">
        <v>0</v>
      </c>
      <c r="U5" s="63">
        <v>0</v>
      </c>
      <c r="V5" s="63">
        <v>1</v>
      </c>
      <c r="W5" s="63">
        <v>0</v>
      </c>
      <c r="X5" s="63">
        <v>0</v>
      </c>
      <c r="Y5" s="63">
        <v>0</v>
      </c>
      <c r="Z5" s="63">
        <v>0</v>
      </c>
      <c r="AA5" s="63">
        <v>0</v>
      </c>
      <c r="AB5" s="60">
        <f t="shared" si="0"/>
        <v>1</v>
      </c>
    </row>
    <row r="6" spans="1:28" x14ac:dyDescent="0.25">
      <c r="A6" s="61" t="s">
        <v>308</v>
      </c>
      <c r="B6" s="62" t="s">
        <v>195</v>
      </c>
      <c r="C6" s="62" t="s">
        <v>228</v>
      </c>
      <c r="D6" s="66">
        <v>73</v>
      </c>
      <c r="E6" s="63">
        <v>0</v>
      </c>
      <c r="F6" s="63">
        <v>0</v>
      </c>
      <c r="G6" s="63">
        <v>0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1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0">
        <f t="shared" si="0"/>
        <v>1</v>
      </c>
    </row>
    <row r="7" spans="1:28" x14ac:dyDescent="0.25">
      <c r="A7" s="61" t="s">
        <v>308</v>
      </c>
      <c r="B7" s="62" t="s">
        <v>267</v>
      </c>
      <c r="C7" s="62" t="s">
        <v>884</v>
      </c>
      <c r="D7" s="66">
        <v>97</v>
      </c>
      <c r="E7" s="63">
        <v>0</v>
      </c>
      <c r="F7" s="63">
        <v>0</v>
      </c>
      <c r="G7" s="63">
        <v>0</v>
      </c>
      <c r="H7" s="63">
        <v>0</v>
      </c>
      <c r="I7" s="63">
        <v>0</v>
      </c>
      <c r="J7" s="63">
        <v>0</v>
      </c>
      <c r="K7" s="63">
        <v>0</v>
      </c>
      <c r="L7" s="63">
        <v>0</v>
      </c>
      <c r="M7" s="63">
        <v>0</v>
      </c>
      <c r="N7" s="63">
        <v>0</v>
      </c>
      <c r="O7" s="63">
        <v>0</v>
      </c>
      <c r="P7" s="63">
        <v>0</v>
      </c>
      <c r="Q7" s="63">
        <v>0</v>
      </c>
      <c r="R7" s="63">
        <v>0</v>
      </c>
      <c r="S7" s="63">
        <v>0</v>
      </c>
      <c r="T7" s="63">
        <v>0</v>
      </c>
      <c r="U7" s="63">
        <v>0</v>
      </c>
      <c r="V7" s="63">
        <v>0</v>
      </c>
      <c r="W7" s="63">
        <v>1</v>
      </c>
      <c r="X7" s="63">
        <v>0</v>
      </c>
      <c r="Y7" s="63">
        <v>0</v>
      </c>
      <c r="Z7" s="63">
        <v>0</v>
      </c>
      <c r="AA7" s="63">
        <v>0</v>
      </c>
      <c r="AB7" s="60">
        <f t="shared" si="0"/>
        <v>1</v>
      </c>
    </row>
    <row r="8" spans="1:28" x14ac:dyDescent="0.25">
      <c r="A8" s="61" t="s">
        <v>385</v>
      </c>
      <c r="B8" s="62" t="s">
        <v>878</v>
      </c>
      <c r="C8" s="62" t="s">
        <v>267</v>
      </c>
      <c r="D8" s="66">
        <v>81</v>
      </c>
      <c r="E8" s="63">
        <v>0</v>
      </c>
      <c r="F8" s="63">
        <v>0</v>
      </c>
      <c r="G8" s="63">
        <v>0</v>
      </c>
      <c r="H8" s="63">
        <v>0</v>
      </c>
      <c r="I8" s="63">
        <v>0</v>
      </c>
      <c r="J8" s="63">
        <v>0</v>
      </c>
      <c r="K8" s="63">
        <v>0</v>
      </c>
      <c r="L8" s="63">
        <v>0</v>
      </c>
      <c r="M8" s="63">
        <v>0</v>
      </c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3">
        <v>0</v>
      </c>
      <c r="V8" s="63">
        <v>0</v>
      </c>
      <c r="W8" s="63">
        <v>0</v>
      </c>
      <c r="X8" s="63">
        <v>0</v>
      </c>
      <c r="Y8" s="63">
        <v>0</v>
      </c>
      <c r="Z8" s="63">
        <v>0</v>
      </c>
      <c r="AA8" s="63">
        <v>0</v>
      </c>
      <c r="AB8" s="60">
        <f t="shared" si="0"/>
        <v>0</v>
      </c>
    </row>
    <row r="9" spans="1:28" x14ac:dyDescent="0.25">
      <c r="A9" s="61" t="s">
        <v>611</v>
      </c>
      <c r="B9" s="62" t="s">
        <v>881</v>
      </c>
      <c r="C9" s="62" t="s">
        <v>228</v>
      </c>
      <c r="D9" s="66">
        <v>3</v>
      </c>
      <c r="E9" s="63">
        <v>0</v>
      </c>
      <c r="F9" s="63">
        <v>0</v>
      </c>
      <c r="G9" s="63">
        <v>0</v>
      </c>
      <c r="H9" s="63">
        <v>0</v>
      </c>
      <c r="I9" s="63">
        <v>0</v>
      </c>
      <c r="J9" s="63">
        <v>0</v>
      </c>
      <c r="K9" s="63">
        <v>0</v>
      </c>
      <c r="L9" s="63">
        <v>0</v>
      </c>
      <c r="M9" s="63">
        <v>0</v>
      </c>
      <c r="N9" s="63">
        <v>0</v>
      </c>
      <c r="O9" s="63">
        <v>0</v>
      </c>
      <c r="P9" s="63">
        <v>0</v>
      </c>
      <c r="Q9" s="63">
        <v>0</v>
      </c>
      <c r="R9" s="63">
        <v>0.6</v>
      </c>
      <c r="S9" s="63">
        <v>0.4</v>
      </c>
      <c r="T9" s="63">
        <v>0</v>
      </c>
      <c r="U9" s="63">
        <v>0</v>
      </c>
      <c r="V9" s="63">
        <v>0</v>
      </c>
      <c r="W9" s="63">
        <v>0</v>
      </c>
      <c r="X9" s="63">
        <v>0</v>
      </c>
      <c r="Y9" s="63">
        <v>0</v>
      </c>
      <c r="Z9" s="63">
        <v>0</v>
      </c>
      <c r="AA9" s="63">
        <v>0</v>
      </c>
      <c r="AB9" s="60">
        <f t="shared" si="0"/>
        <v>1</v>
      </c>
    </row>
    <row r="10" spans="1:28" x14ac:dyDescent="0.25">
      <c r="A10" s="61" t="s">
        <v>611</v>
      </c>
      <c r="B10" s="62" t="s">
        <v>878</v>
      </c>
      <c r="C10" s="62" t="s">
        <v>267</v>
      </c>
      <c r="D10" s="66">
        <v>4</v>
      </c>
      <c r="E10" s="63">
        <v>0</v>
      </c>
      <c r="F10" s="63">
        <v>0</v>
      </c>
      <c r="G10" s="63">
        <v>0</v>
      </c>
      <c r="H10" s="63">
        <v>0</v>
      </c>
      <c r="I10" s="63">
        <v>0</v>
      </c>
      <c r="J10" s="63">
        <v>0</v>
      </c>
      <c r="K10" s="63">
        <v>0</v>
      </c>
      <c r="L10" s="63">
        <v>0</v>
      </c>
      <c r="M10" s="63">
        <v>0</v>
      </c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3">
        <v>0</v>
      </c>
      <c r="V10" s="63">
        <v>0</v>
      </c>
      <c r="W10" s="63">
        <v>0</v>
      </c>
      <c r="X10" s="63">
        <v>0</v>
      </c>
      <c r="Y10" s="63">
        <v>0</v>
      </c>
      <c r="Z10" s="63">
        <v>0</v>
      </c>
      <c r="AA10" s="63">
        <v>0</v>
      </c>
      <c r="AB10" s="60">
        <f t="shared" si="0"/>
        <v>0</v>
      </c>
    </row>
    <row r="11" spans="1:28" x14ac:dyDescent="0.25">
      <c r="A11" s="61" t="s">
        <v>611</v>
      </c>
      <c r="B11" s="62" t="s">
        <v>195</v>
      </c>
      <c r="C11" s="62" t="s">
        <v>228</v>
      </c>
      <c r="D11" s="66">
        <v>68</v>
      </c>
      <c r="E11" s="63">
        <v>0</v>
      </c>
      <c r="F11" s="63">
        <v>0</v>
      </c>
      <c r="G11" s="63">
        <v>0</v>
      </c>
      <c r="H11" s="63">
        <v>0</v>
      </c>
      <c r="I11" s="63">
        <v>0</v>
      </c>
      <c r="J11" s="63">
        <v>0</v>
      </c>
      <c r="K11" s="63">
        <v>0</v>
      </c>
      <c r="L11" s="63">
        <v>0</v>
      </c>
      <c r="M11" s="63">
        <v>0</v>
      </c>
      <c r="N11" s="63">
        <v>0</v>
      </c>
      <c r="O11" s="63">
        <v>0</v>
      </c>
      <c r="P11" s="63">
        <v>0</v>
      </c>
      <c r="Q11" s="63">
        <v>0</v>
      </c>
      <c r="R11" s="63">
        <v>0</v>
      </c>
      <c r="S11" s="63">
        <v>0</v>
      </c>
      <c r="T11" s="63">
        <v>0</v>
      </c>
      <c r="U11" s="63">
        <v>0</v>
      </c>
      <c r="V11" s="63">
        <v>0</v>
      </c>
      <c r="W11" s="63">
        <v>0</v>
      </c>
      <c r="X11" s="63">
        <v>0</v>
      </c>
      <c r="Y11" s="63">
        <v>0</v>
      </c>
      <c r="Z11" s="63">
        <v>0</v>
      </c>
      <c r="AA11" s="63">
        <v>0</v>
      </c>
      <c r="AB11" s="60">
        <f t="shared" si="0"/>
        <v>0</v>
      </c>
    </row>
    <row r="12" spans="1:28" x14ac:dyDescent="0.25">
      <c r="A12" s="61" t="s">
        <v>885</v>
      </c>
      <c r="B12" s="62" t="s">
        <v>878</v>
      </c>
      <c r="C12" s="62" t="s">
        <v>879</v>
      </c>
      <c r="D12" s="66">
        <v>5</v>
      </c>
      <c r="E12" s="63">
        <v>0</v>
      </c>
      <c r="F12" s="63">
        <v>0</v>
      </c>
      <c r="G12" s="63">
        <v>0</v>
      </c>
      <c r="H12" s="63">
        <v>0</v>
      </c>
      <c r="I12" s="63">
        <v>0</v>
      </c>
      <c r="J12" s="63">
        <v>0</v>
      </c>
      <c r="K12" s="63">
        <v>0</v>
      </c>
      <c r="L12" s="63">
        <v>0</v>
      </c>
      <c r="M12" s="63">
        <v>0</v>
      </c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63">
        <v>0</v>
      </c>
      <c r="Y12" s="63">
        <v>0</v>
      </c>
      <c r="Z12" s="63">
        <v>0</v>
      </c>
      <c r="AA12" s="63">
        <v>0</v>
      </c>
      <c r="AB12" s="60">
        <f t="shared" si="0"/>
        <v>0</v>
      </c>
    </row>
    <row r="13" spans="1:28" x14ac:dyDescent="0.25">
      <c r="A13" s="61" t="s">
        <v>886</v>
      </c>
      <c r="B13" s="62" t="s">
        <v>179</v>
      </c>
      <c r="C13" s="62" t="s">
        <v>228</v>
      </c>
      <c r="D13" s="66">
        <v>103</v>
      </c>
      <c r="E13" s="63">
        <v>0</v>
      </c>
      <c r="F13" s="63">
        <v>0</v>
      </c>
      <c r="G13" s="63">
        <v>0</v>
      </c>
      <c r="H13" s="63">
        <v>0</v>
      </c>
      <c r="I13" s="63">
        <v>0</v>
      </c>
      <c r="J13" s="63">
        <v>0</v>
      </c>
      <c r="K13" s="63">
        <v>0</v>
      </c>
      <c r="L13" s="63">
        <v>0</v>
      </c>
      <c r="M13" s="63">
        <v>0</v>
      </c>
      <c r="N13" s="63">
        <v>0</v>
      </c>
      <c r="O13" s="63">
        <v>0</v>
      </c>
      <c r="P13" s="63">
        <v>1</v>
      </c>
      <c r="Q13" s="63">
        <v>0</v>
      </c>
      <c r="R13" s="63">
        <v>0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</v>
      </c>
      <c r="Y13" s="63">
        <v>0</v>
      </c>
      <c r="Z13" s="63">
        <v>0</v>
      </c>
      <c r="AA13" s="63">
        <v>0</v>
      </c>
      <c r="AB13" s="60">
        <f t="shared" si="0"/>
        <v>1</v>
      </c>
    </row>
    <row r="14" spans="1:28" x14ac:dyDescent="0.25">
      <c r="A14" s="61" t="s">
        <v>594</v>
      </c>
      <c r="B14" s="62" t="s">
        <v>195</v>
      </c>
      <c r="C14" s="62" t="s">
        <v>228</v>
      </c>
      <c r="D14" s="80">
        <v>51</v>
      </c>
      <c r="E14" s="63">
        <v>0</v>
      </c>
      <c r="F14" s="63">
        <v>0</v>
      </c>
      <c r="G14" s="63">
        <v>0</v>
      </c>
      <c r="H14" s="63">
        <v>0</v>
      </c>
      <c r="I14" s="63">
        <v>0</v>
      </c>
      <c r="J14" s="63">
        <v>0</v>
      </c>
      <c r="K14" s="63">
        <v>0</v>
      </c>
      <c r="L14" s="63">
        <v>0</v>
      </c>
      <c r="M14" s="63">
        <v>0</v>
      </c>
      <c r="N14" s="63">
        <v>0</v>
      </c>
      <c r="O14" s="63">
        <v>0</v>
      </c>
      <c r="P14" s="63">
        <v>0</v>
      </c>
      <c r="Q14" s="63">
        <v>1</v>
      </c>
      <c r="R14" s="63">
        <v>0</v>
      </c>
      <c r="S14" s="63">
        <v>0</v>
      </c>
      <c r="T14" s="63">
        <v>0</v>
      </c>
      <c r="U14" s="63">
        <v>0</v>
      </c>
      <c r="V14" s="63">
        <v>0</v>
      </c>
      <c r="W14" s="63">
        <v>0</v>
      </c>
      <c r="X14" s="63">
        <v>0</v>
      </c>
      <c r="Y14" s="63">
        <v>0</v>
      </c>
      <c r="Z14" s="63">
        <v>0</v>
      </c>
      <c r="AA14" s="63">
        <v>0</v>
      </c>
      <c r="AB14" s="60">
        <f t="shared" si="0"/>
        <v>1</v>
      </c>
    </row>
    <row r="15" spans="1:28" x14ac:dyDescent="0.25">
      <c r="A15" s="61" t="s">
        <v>887</v>
      </c>
      <c r="B15" s="62" t="s">
        <v>881</v>
      </c>
      <c r="C15" s="62" t="s">
        <v>228</v>
      </c>
      <c r="D15" s="66">
        <v>6</v>
      </c>
      <c r="E15" s="63">
        <v>0</v>
      </c>
      <c r="F15" s="63">
        <v>0</v>
      </c>
      <c r="G15" s="63">
        <v>0</v>
      </c>
      <c r="H15" s="63">
        <v>0</v>
      </c>
      <c r="I15" s="63">
        <v>0</v>
      </c>
      <c r="J15" s="63">
        <v>0</v>
      </c>
      <c r="K15" s="63">
        <v>0</v>
      </c>
      <c r="L15" s="63">
        <v>0</v>
      </c>
      <c r="M15" s="63">
        <v>0</v>
      </c>
      <c r="N15" s="63">
        <v>0</v>
      </c>
      <c r="O15" s="63">
        <v>0</v>
      </c>
      <c r="P15" s="63">
        <v>0</v>
      </c>
      <c r="Q15" s="63">
        <v>0</v>
      </c>
      <c r="R15" s="63">
        <v>0</v>
      </c>
      <c r="S15" s="63">
        <v>0</v>
      </c>
      <c r="T15" s="63">
        <v>0</v>
      </c>
      <c r="U15" s="63">
        <v>0</v>
      </c>
      <c r="V15" s="63">
        <v>0</v>
      </c>
      <c r="W15" s="63">
        <v>0</v>
      </c>
      <c r="X15" s="63">
        <v>0</v>
      </c>
      <c r="Y15" s="63">
        <v>0</v>
      </c>
      <c r="Z15" s="63">
        <v>0</v>
      </c>
      <c r="AA15" s="63">
        <v>0</v>
      </c>
      <c r="AB15" s="60">
        <f t="shared" si="0"/>
        <v>0</v>
      </c>
    </row>
    <row r="16" spans="1:28" x14ac:dyDescent="0.25">
      <c r="A16" s="61" t="s">
        <v>887</v>
      </c>
      <c r="B16" s="62" t="s">
        <v>878</v>
      </c>
      <c r="C16" s="62" t="s">
        <v>267</v>
      </c>
      <c r="D16" s="66">
        <v>7</v>
      </c>
      <c r="E16" s="63">
        <v>0</v>
      </c>
      <c r="F16" s="63">
        <v>0</v>
      </c>
      <c r="G16" s="63">
        <v>0</v>
      </c>
      <c r="H16" s="63">
        <v>0</v>
      </c>
      <c r="I16" s="63">
        <v>0</v>
      </c>
      <c r="J16" s="63">
        <v>0</v>
      </c>
      <c r="K16" s="63">
        <v>0</v>
      </c>
      <c r="L16" s="63">
        <v>0</v>
      </c>
      <c r="M16" s="63">
        <v>0</v>
      </c>
      <c r="N16" s="63">
        <v>0</v>
      </c>
      <c r="O16" s="63">
        <v>0</v>
      </c>
      <c r="P16" s="63">
        <v>0</v>
      </c>
      <c r="Q16" s="63">
        <v>0</v>
      </c>
      <c r="R16" s="63">
        <v>0</v>
      </c>
      <c r="S16" s="63">
        <v>0</v>
      </c>
      <c r="T16" s="63">
        <v>0</v>
      </c>
      <c r="U16" s="63">
        <v>0</v>
      </c>
      <c r="V16" s="63">
        <v>0</v>
      </c>
      <c r="W16" s="63">
        <v>0</v>
      </c>
      <c r="X16" s="63">
        <v>0</v>
      </c>
      <c r="Y16" s="63">
        <v>0</v>
      </c>
      <c r="Z16" s="63">
        <v>0</v>
      </c>
      <c r="AA16" s="63">
        <v>0</v>
      </c>
      <c r="AB16" s="60">
        <f t="shared" si="0"/>
        <v>0</v>
      </c>
    </row>
    <row r="17" spans="1:28" x14ac:dyDescent="0.25">
      <c r="A17" s="61" t="s">
        <v>888</v>
      </c>
      <c r="B17" s="62" t="s">
        <v>179</v>
      </c>
      <c r="C17" s="62" t="s">
        <v>228</v>
      </c>
      <c r="D17" s="66">
        <v>8</v>
      </c>
      <c r="E17" s="63">
        <v>0</v>
      </c>
      <c r="F17" s="63">
        <v>0</v>
      </c>
      <c r="G17" s="63">
        <v>0</v>
      </c>
      <c r="H17" s="63">
        <v>0</v>
      </c>
      <c r="I17" s="63">
        <v>0</v>
      </c>
      <c r="J17" s="63">
        <v>0</v>
      </c>
      <c r="K17" s="63">
        <v>0</v>
      </c>
      <c r="L17" s="63">
        <v>0</v>
      </c>
      <c r="M17" s="63">
        <v>0</v>
      </c>
      <c r="N17" s="63">
        <v>0</v>
      </c>
      <c r="O17" s="63">
        <v>0</v>
      </c>
      <c r="P17" s="63">
        <v>0</v>
      </c>
      <c r="Q17" s="63">
        <v>0</v>
      </c>
      <c r="R17" s="63">
        <v>0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0</v>
      </c>
      <c r="Y17" s="63">
        <v>0</v>
      </c>
      <c r="Z17" s="63">
        <v>0</v>
      </c>
      <c r="AA17" s="63">
        <v>0</v>
      </c>
      <c r="AB17" s="60">
        <f t="shared" si="0"/>
        <v>0</v>
      </c>
    </row>
    <row r="18" spans="1:28" x14ac:dyDescent="0.25">
      <c r="A18" s="61" t="s">
        <v>889</v>
      </c>
      <c r="B18" s="62" t="s">
        <v>179</v>
      </c>
      <c r="C18" s="62" t="s">
        <v>228</v>
      </c>
      <c r="D18" s="66">
        <v>9</v>
      </c>
      <c r="E18" s="63">
        <v>0</v>
      </c>
      <c r="F18" s="63">
        <v>0</v>
      </c>
      <c r="G18" s="63">
        <v>0</v>
      </c>
      <c r="H18" s="63">
        <v>0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63">
        <v>0</v>
      </c>
      <c r="Q18" s="63">
        <v>0</v>
      </c>
      <c r="R18" s="63">
        <v>0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0</v>
      </c>
      <c r="Y18" s="63">
        <v>0</v>
      </c>
      <c r="Z18" s="63">
        <v>0</v>
      </c>
      <c r="AA18" s="63">
        <v>0</v>
      </c>
      <c r="AB18" s="60">
        <f t="shared" si="0"/>
        <v>0</v>
      </c>
    </row>
    <row r="19" spans="1:28" x14ac:dyDescent="0.25">
      <c r="A19" s="61" t="s">
        <v>889</v>
      </c>
      <c r="B19" s="62" t="s">
        <v>179</v>
      </c>
      <c r="C19" s="62" t="s">
        <v>42</v>
      </c>
      <c r="D19" s="66">
        <v>10</v>
      </c>
      <c r="E19" s="63">
        <v>0</v>
      </c>
      <c r="F19" s="63">
        <v>0</v>
      </c>
      <c r="G19" s="63">
        <v>0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63">
        <v>0</v>
      </c>
      <c r="Q19" s="63">
        <v>0</v>
      </c>
      <c r="R19" s="63">
        <v>0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0</v>
      </c>
      <c r="Y19" s="63">
        <v>0</v>
      </c>
      <c r="Z19" s="63">
        <v>0</v>
      </c>
      <c r="AA19" s="63">
        <v>0</v>
      </c>
      <c r="AB19" s="60">
        <f t="shared" si="0"/>
        <v>0</v>
      </c>
    </row>
    <row r="20" spans="1:28" x14ac:dyDescent="0.25">
      <c r="A20" s="61" t="s">
        <v>890</v>
      </c>
      <c r="B20" s="62" t="s">
        <v>878</v>
      </c>
      <c r="C20" s="62" t="s">
        <v>879</v>
      </c>
      <c r="D20" s="66">
        <v>11</v>
      </c>
      <c r="E20" s="63">
        <v>0</v>
      </c>
      <c r="F20" s="63">
        <v>0</v>
      </c>
      <c r="G20" s="63">
        <v>0</v>
      </c>
      <c r="H20" s="63">
        <v>0</v>
      </c>
      <c r="I20" s="63">
        <v>0</v>
      </c>
      <c r="J20" s="63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63">
        <v>0</v>
      </c>
      <c r="Q20" s="63">
        <v>0</v>
      </c>
      <c r="R20" s="63">
        <v>0</v>
      </c>
      <c r="S20" s="63">
        <v>0</v>
      </c>
      <c r="T20" s="63">
        <v>0</v>
      </c>
      <c r="U20" s="63">
        <v>0</v>
      </c>
      <c r="V20" s="63">
        <v>0</v>
      </c>
      <c r="W20" s="63">
        <v>0</v>
      </c>
      <c r="X20" s="63">
        <v>0</v>
      </c>
      <c r="Y20" s="63">
        <v>0</v>
      </c>
      <c r="Z20" s="63">
        <v>0</v>
      </c>
      <c r="AA20" s="63">
        <v>0</v>
      </c>
      <c r="AB20" s="60">
        <f t="shared" si="0"/>
        <v>0</v>
      </c>
    </row>
    <row r="21" spans="1:28" x14ac:dyDescent="0.25">
      <c r="A21" s="61" t="s">
        <v>891</v>
      </c>
      <c r="B21" s="62" t="s">
        <v>878</v>
      </c>
      <c r="C21" s="62" t="s">
        <v>879</v>
      </c>
      <c r="D21" s="66">
        <v>12</v>
      </c>
      <c r="E21" s="63">
        <v>0</v>
      </c>
      <c r="F21" s="63">
        <v>0</v>
      </c>
      <c r="G21" s="63">
        <v>0</v>
      </c>
      <c r="H21" s="63">
        <v>0</v>
      </c>
      <c r="I21" s="63">
        <v>0</v>
      </c>
      <c r="J21" s="63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63">
        <v>0</v>
      </c>
      <c r="Q21" s="63">
        <v>0</v>
      </c>
      <c r="R21" s="63">
        <v>0</v>
      </c>
      <c r="S21" s="63">
        <v>0</v>
      </c>
      <c r="T21" s="63">
        <v>0</v>
      </c>
      <c r="U21" s="63">
        <v>0</v>
      </c>
      <c r="V21" s="63">
        <v>0</v>
      </c>
      <c r="W21" s="63">
        <v>0</v>
      </c>
      <c r="X21" s="63">
        <v>0</v>
      </c>
      <c r="Y21" s="63">
        <v>0</v>
      </c>
      <c r="Z21" s="63">
        <v>0</v>
      </c>
      <c r="AA21" s="63">
        <v>0</v>
      </c>
      <c r="AB21" s="60">
        <f t="shared" si="0"/>
        <v>0</v>
      </c>
    </row>
    <row r="22" spans="1:28" x14ac:dyDescent="0.25">
      <c r="A22" s="61" t="s">
        <v>892</v>
      </c>
      <c r="B22" s="62" t="s">
        <v>179</v>
      </c>
      <c r="C22" s="62" t="s">
        <v>228</v>
      </c>
      <c r="D22" s="66">
        <v>13</v>
      </c>
      <c r="E22" s="63">
        <v>0</v>
      </c>
      <c r="F22" s="63">
        <v>0</v>
      </c>
      <c r="G22" s="63">
        <v>0</v>
      </c>
      <c r="H22" s="63">
        <v>0</v>
      </c>
      <c r="I22" s="63">
        <v>0</v>
      </c>
      <c r="J22" s="63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63">
        <v>0.8</v>
      </c>
      <c r="Q22" s="63">
        <v>0</v>
      </c>
      <c r="R22" s="63">
        <v>0</v>
      </c>
      <c r="S22" s="63">
        <v>0</v>
      </c>
      <c r="T22" s="63">
        <v>0</v>
      </c>
      <c r="U22" s="63">
        <v>0</v>
      </c>
      <c r="V22" s="63">
        <v>0.2</v>
      </c>
      <c r="W22" s="63">
        <v>0</v>
      </c>
      <c r="X22" s="63">
        <v>0</v>
      </c>
      <c r="Y22" s="63">
        <v>0</v>
      </c>
      <c r="Z22" s="63">
        <v>0</v>
      </c>
      <c r="AA22" s="63">
        <v>0</v>
      </c>
      <c r="AB22" s="60">
        <f t="shared" si="0"/>
        <v>1</v>
      </c>
    </row>
    <row r="23" spans="1:28" x14ac:dyDescent="0.25">
      <c r="A23" s="61" t="s">
        <v>892</v>
      </c>
      <c r="B23" s="62" t="s">
        <v>893</v>
      </c>
      <c r="C23" s="62"/>
      <c r="D23" s="66">
        <v>101</v>
      </c>
      <c r="E23" s="63">
        <v>0</v>
      </c>
      <c r="F23" s="63">
        <v>0</v>
      </c>
      <c r="G23" s="63">
        <v>1</v>
      </c>
      <c r="H23" s="63">
        <v>0</v>
      </c>
      <c r="I23" s="63">
        <v>0</v>
      </c>
      <c r="J23" s="63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63">
        <v>0</v>
      </c>
      <c r="Q23" s="63">
        <v>0</v>
      </c>
      <c r="R23" s="63">
        <v>0</v>
      </c>
      <c r="S23" s="63">
        <v>0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0</v>
      </c>
      <c r="Z23" s="63">
        <v>0</v>
      </c>
      <c r="AA23" s="63">
        <v>0</v>
      </c>
      <c r="AB23" s="60">
        <f t="shared" si="0"/>
        <v>1</v>
      </c>
    </row>
    <row r="24" spans="1:28" x14ac:dyDescent="0.25">
      <c r="A24" s="61" t="s">
        <v>894</v>
      </c>
      <c r="B24" s="62" t="s">
        <v>195</v>
      </c>
      <c r="C24" s="62" t="s">
        <v>228</v>
      </c>
      <c r="D24" s="66">
        <v>69</v>
      </c>
      <c r="E24" s="63">
        <v>0</v>
      </c>
      <c r="F24" s="63">
        <v>0</v>
      </c>
      <c r="G24" s="63">
        <v>0</v>
      </c>
      <c r="H24" s="63">
        <v>0</v>
      </c>
      <c r="I24" s="63">
        <v>0</v>
      </c>
      <c r="J24" s="63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63">
        <v>0</v>
      </c>
      <c r="Q24" s="63">
        <v>0</v>
      </c>
      <c r="R24" s="63">
        <v>0</v>
      </c>
      <c r="S24" s="63">
        <v>0</v>
      </c>
      <c r="T24" s="63">
        <v>0</v>
      </c>
      <c r="U24" s="63">
        <v>0</v>
      </c>
      <c r="V24" s="63">
        <v>0</v>
      </c>
      <c r="W24" s="63">
        <v>0</v>
      </c>
      <c r="X24" s="63">
        <v>0</v>
      </c>
      <c r="Y24" s="63">
        <v>0</v>
      </c>
      <c r="Z24" s="63">
        <v>0</v>
      </c>
      <c r="AA24" s="63">
        <v>0</v>
      </c>
      <c r="AB24" s="60">
        <f t="shared" si="0"/>
        <v>0</v>
      </c>
    </row>
    <row r="25" spans="1:28" x14ac:dyDescent="0.25">
      <c r="A25" s="61" t="s">
        <v>895</v>
      </c>
      <c r="B25" s="62" t="s">
        <v>272</v>
      </c>
      <c r="C25" s="62" t="s">
        <v>878</v>
      </c>
      <c r="D25" s="66">
        <v>67</v>
      </c>
      <c r="E25" s="63">
        <v>0</v>
      </c>
      <c r="F25" s="63">
        <v>0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63">
        <v>0</v>
      </c>
      <c r="Q25" s="63">
        <v>0</v>
      </c>
      <c r="R25" s="63">
        <v>0</v>
      </c>
      <c r="S25" s="63">
        <v>0</v>
      </c>
      <c r="T25" s="63">
        <v>0</v>
      </c>
      <c r="U25" s="63">
        <v>0</v>
      </c>
      <c r="V25" s="63">
        <v>0</v>
      </c>
      <c r="W25" s="63">
        <v>0</v>
      </c>
      <c r="X25" s="63">
        <v>0</v>
      </c>
      <c r="Y25" s="63">
        <v>0</v>
      </c>
      <c r="Z25" s="63">
        <v>0</v>
      </c>
      <c r="AA25" s="63">
        <v>0</v>
      </c>
      <c r="AB25" s="60">
        <f t="shared" si="0"/>
        <v>0</v>
      </c>
    </row>
    <row r="26" spans="1:28" x14ac:dyDescent="0.25">
      <c r="A26" s="61" t="s">
        <v>896</v>
      </c>
      <c r="B26" s="62" t="s">
        <v>878</v>
      </c>
      <c r="C26" s="62" t="s">
        <v>879</v>
      </c>
      <c r="D26" s="66">
        <v>52</v>
      </c>
      <c r="E26" s="63">
        <v>0</v>
      </c>
      <c r="F26" s="63">
        <v>0</v>
      </c>
      <c r="G26" s="63">
        <v>0</v>
      </c>
      <c r="H26" s="63">
        <v>0</v>
      </c>
      <c r="I26" s="63">
        <v>0</v>
      </c>
      <c r="J26" s="63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63">
        <v>0</v>
      </c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63">
        <v>0</v>
      </c>
      <c r="Y26" s="63">
        <v>0</v>
      </c>
      <c r="Z26" s="63">
        <v>0</v>
      </c>
      <c r="AA26" s="63">
        <v>0</v>
      </c>
      <c r="AB26" s="60">
        <f t="shared" si="0"/>
        <v>0</v>
      </c>
    </row>
    <row r="27" spans="1:28" x14ac:dyDescent="0.25">
      <c r="A27" s="61" t="s">
        <v>897</v>
      </c>
      <c r="B27" s="62" t="s">
        <v>878</v>
      </c>
      <c r="C27" s="62" t="s">
        <v>878</v>
      </c>
      <c r="D27" s="66">
        <v>14</v>
      </c>
      <c r="E27" s="63">
        <v>0</v>
      </c>
      <c r="F27" s="63">
        <v>0</v>
      </c>
      <c r="G27" s="63">
        <v>0</v>
      </c>
      <c r="H27" s="63">
        <v>0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>
        <v>0</v>
      </c>
      <c r="T27" s="63">
        <v>0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63">
        <v>0</v>
      </c>
      <c r="AB27" s="60">
        <f t="shared" si="0"/>
        <v>0</v>
      </c>
    </row>
    <row r="28" spans="1:28" x14ac:dyDescent="0.25">
      <c r="A28" s="61" t="s">
        <v>854</v>
      </c>
      <c r="B28" s="62" t="s">
        <v>878</v>
      </c>
      <c r="C28" s="62" t="s">
        <v>879</v>
      </c>
      <c r="D28" s="66">
        <v>76</v>
      </c>
      <c r="E28" s="63">
        <v>0</v>
      </c>
      <c r="F28" s="63">
        <v>0</v>
      </c>
      <c r="G28" s="63">
        <v>0</v>
      </c>
      <c r="H28" s="63">
        <v>0</v>
      </c>
      <c r="I28" s="63">
        <v>0</v>
      </c>
      <c r="J28" s="63">
        <v>0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63">
        <v>0</v>
      </c>
      <c r="Q28" s="63">
        <v>0</v>
      </c>
      <c r="R28" s="63">
        <v>0</v>
      </c>
      <c r="S28" s="63">
        <v>0</v>
      </c>
      <c r="T28" s="63">
        <v>0</v>
      </c>
      <c r="U28" s="63">
        <v>0</v>
      </c>
      <c r="V28" s="63">
        <v>0</v>
      </c>
      <c r="W28" s="63">
        <v>0</v>
      </c>
      <c r="X28" s="63">
        <v>0</v>
      </c>
      <c r="Y28" s="63">
        <v>0</v>
      </c>
      <c r="Z28" s="63">
        <v>0</v>
      </c>
      <c r="AA28" s="63">
        <v>0</v>
      </c>
      <c r="AB28" s="60">
        <f t="shared" si="0"/>
        <v>0</v>
      </c>
    </row>
    <row r="29" spans="1:28" x14ac:dyDescent="0.25">
      <c r="A29" s="61" t="s">
        <v>898</v>
      </c>
      <c r="B29" s="62" t="s">
        <v>179</v>
      </c>
      <c r="C29" s="62" t="s">
        <v>228</v>
      </c>
      <c r="D29" s="66">
        <v>15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63">
        <v>0</v>
      </c>
      <c r="AB29" s="60">
        <f t="shared" si="0"/>
        <v>0</v>
      </c>
    </row>
    <row r="30" spans="1:28" x14ac:dyDescent="0.25">
      <c r="A30" s="61" t="s">
        <v>898</v>
      </c>
      <c r="B30" s="62" t="s">
        <v>195</v>
      </c>
      <c r="C30" s="62" t="s">
        <v>228</v>
      </c>
      <c r="D30" s="66">
        <v>16</v>
      </c>
      <c r="E30" s="63">
        <v>0</v>
      </c>
      <c r="F30" s="63">
        <v>0</v>
      </c>
      <c r="G30" s="63">
        <v>0</v>
      </c>
      <c r="H30" s="63">
        <v>0</v>
      </c>
      <c r="I30" s="63">
        <v>0</v>
      </c>
      <c r="J30" s="63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63">
        <v>0</v>
      </c>
      <c r="Q30" s="63">
        <v>0</v>
      </c>
      <c r="R30" s="63">
        <v>0</v>
      </c>
      <c r="S30" s="63">
        <v>0</v>
      </c>
      <c r="T30" s="63">
        <v>0</v>
      </c>
      <c r="U30" s="63">
        <v>0</v>
      </c>
      <c r="V30" s="63">
        <v>0</v>
      </c>
      <c r="W30" s="63">
        <v>0</v>
      </c>
      <c r="X30" s="63">
        <v>0</v>
      </c>
      <c r="Y30" s="63">
        <v>0</v>
      </c>
      <c r="Z30" s="63">
        <v>0</v>
      </c>
      <c r="AA30" s="63">
        <v>0</v>
      </c>
      <c r="AB30" s="60">
        <f t="shared" si="0"/>
        <v>0</v>
      </c>
    </row>
    <row r="31" spans="1:28" x14ac:dyDescent="0.25">
      <c r="A31" s="61" t="s">
        <v>899</v>
      </c>
      <c r="B31" s="62" t="s">
        <v>179</v>
      </c>
      <c r="C31" s="62" t="s">
        <v>228</v>
      </c>
      <c r="D31" s="66">
        <v>17</v>
      </c>
      <c r="E31" s="63">
        <v>0</v>
      </c>
      <c r="F31" s="63">
        <v>0</v>
      </c>
      <c r="G31" s="63">
        <v>0</v>
      </c>
      <c r="H31" s="63">
        <v>0</v>
      </c>
      <c r="I31" s="63">
        <v>0</v>
      </c>
      <c r="J31" s="63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63">
        <v>0</v>
      </c>
      <c r="Q31" s="63">
        <v>0</v>
      </c>
      <c r="R31" s="63">
        <v>0</v>
      </c>
      <c r="S31" s="63">
        <v>0</v>
      </c>
      <c r="T31" s="63">
        <v>0</v>
      </c>
      <c r="U31" s="63">
        <v>0</v>
      </c>
      <c r="V31" s="63">
        <v>0</v>
      </c>
      <c r="W31" s="63">
        <v>0</v>
      </c>
      <c r="X31" s="63">
        <v>0</v>
      </c>
      <c r="Y31" s="63">
        <v>0</v>
      </c>
      <c r="Z31" s="63">
        <v>0</v>
      </c>
      <c r="AA31" s="63">
        <v>0</v>
      </c>
      <c r="AB31" s="60">
        <f t="shared" si="0"/>
        <v>0</v>
      </c>
    </row>
    <row r="32" spans="1:28" x14ac:dyDescent="0.25">
      <c r="A32" s="61" t="s">
        <v>899</v>
      </c>
      <c r="B32" s="62" t="s">
        <v>179</v>
      </c>
      <c r="C32" s="62" t="s">
        <v>900</v>
      </c>
      <c r="D32" s="66">
        <v>18</v>
      </c>
      <c r="E32" s="63">
        <v>0</v>
      </c>
      <c r="F32" s="63">
        <v>0</v>
      </c>
      <c r="G32" s="63">
        <v>0.5</v>
      </c>
      <c r="H32" s="63">
        <v>0</v>
      </c>
      <c r="I32" s="63">
        <v>0</v>
      </c>
      <c r="J32" s="63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63">
        <v>0.5</v>
      </c>
      <c r="Q32" s="63">
        <v>0</v>
      </c>
      <c r="R32" s="63">
        <v>0</v>
      </c>
      <c r="S32" s="63">
        <v>0</v>
      </c>
      <c r="T32" s="63">
        <v>0</v>
      </c>
      <c r="U32" s="63">
        <v>0</v>
      </c>
      <c r="V32" s="63">
        <v>0</v>
      </c>
      <c r="W32" s="63">
        <v>0</v>
      </c>
      <c r="X32" s="63">
        <v>0</v>
      </c>
      <c r="Y32" s="63">
        <v>0</v>
      </c>
      <c r="Z32" s="63">
        <v>0</v>
      </c>
      <c r="AA32" s="63">
        <v>0</v>
      </c>
      <c r="AB32" s="60">
        <f t="shared" si="0"/>
        <v>1</v>
      </c>
    </row>
    <row r="33" spans="1:28" x14ac:dyDescent="0.25">
      <c r="A33" s="61" t="s">
        <v>899</v>
      </c>
      <c r="B33" s="62" t="s">
        <v>179</v>
      </c>
      <c r="C33" s="62" t="s">
        <v>42</v>
      </c>
      <c r="D33" s="66">
        <v>19</v>
      </c>
      <c r="E33" s="63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63">
        <v>0</v>
      </c>
      <c r="Q33" s="63">
        <v>0</v>
      </c>
      <c r="R33" s="63">
        <v>0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0</v>
      </c>
      <c r="Z33" s="63">
        <v>0</v>
      </c>
      <c r="AA33" s="63">
        <v>0</v>
      </c>
      <c r="AB33" s="60">
        <f t="shared" si="0"/>
        <v>0</v>
      </c>
    </row>
    <row r="34" spans="1:28" x14ac:dyDescent="0.25">
      <c r="A34" s="61" t="s">
        <v>899</v>
      </c>
      <c r="B34" s="62" t="s">
        <v>195</v>
      </c>
      <c r="C34" s="62" t="s">
        <v>901</v>
      </c>
      <c r="D34" s="66">
        <v>20</v>
      </c>
      <c r="E34" s="63">
        <v>0</v>
      </c>
      <c r="F34" s="63">
        <v>0</v>
      </c>
      <c r="G34" s="63">
        <v>0</v>
      </c>
      <c r="H34" s="63">
        <v>0</v>
      </c>
      <c r="I34" s="63">
        <v>0</v>
      </c>
      <c r="J34" s="63">
        <v>0</v>
      </c>
      <c r="K34" s="63">
        <v>0</v>
      </c>
      <c r="L34" s="63">
        <v>0</v>
      </c>
      <c r="M34" s="63">
        <v>0</v>
      </c>
      <c r="N34" s="63">
        <v>0</v>
      </c>
      <c r="O34" s="63">
        <v>0</v>
      </c>
      <c r="P34" s="63">
        <v>0</v>
      </c>
      <c r="Q34" s="63">
        <v>0</v>
      </c>
      <c r="R34" s="63">
        <v>0</v>
      </c>
      <c r="S34" s="63">
        <v>0</v>
      </c>
      <c r="T34" s="63">
        <v>0</v>
      </c>
      <c r="U34" s="63">
        <v>0</v>
      </c>
      <c r="V34" s="63">
        <v>0</v>
      </c>
      <c r="W34" s="63">
        <v>0</v>
      </c>
      <c r="X34" s="63">
        <v>0</v>
      </c>
      <c r="Y34" s="63">
        <v>0</v>
      </c>
      <c r="Z34" s="63">
        <v>0</v>
      </c>
      <c r="AA34" s="63">
        <v>0</v>
      </c>
      <c r="AB34" s="60">
        <f t="shared" ref="AB34:AB65" si="1">SUM(F34:AA34)</f>
        <v>0</v>
      </c>
    </row>
    <row r="35" spans="1:28" x14ac:dyDescent="0.25">
      <c r="A35" s="61" t="s">
        <v>899</v>
      </c>
      <c r="B35" s="62" t="s">
        <v>902</v>
      </c>
      <c r="C35" s="62" t="s">
        <v>228</v>
      </c>
      <c r="D35" s="66">
        <v>22</v>
      </c>
      <c r="E35" s="63">
        <v>0</v>
      </c>
      <c r="F35" s="63">
        <v>0</v>
      </c>
      <c r="G35" s="63">
        <v>0</v>
      </c>
      <c r="H35" s="63">
        <v>0</v>
      </c>
      <c r="I35" s="63">
        <v>0</v>
      </c>
      <c r="J35" s="63">
        <v>0</v>
      </c>
      <c r="K35" s="63">
        <v>0</v>
      </c>
      <c r="L35" s="63">
        <v>0</v>
      </c>
      <c r="M35" s="63">
        <v>0</v>
      </c>
      <c r="N35" s="63">
        <v>0</v>
      </c>
      <c r="O35" s="63">
        <v>0</v>
      </c>
      <c r="P35" s="63">
        <v>0</v>
      </c>
      <c r="Q35" s="63">
        <v>0</v>
      </c>
      <c r="R35" s="63">
        <v>0</v>
      </c>
      <c r="S35" s="63">
        <v>0</v>
      </c>
      <c r="T35" s="63">
        <v>0</v>
      </c>
      <c r="U35" s="63">
        <v>0</v>
      </c>
      <c r="V35" s="63">
        <v>0</v>
      </c>
      <c r="W35" s="63">
        <v>0</v>
      </c>
      <c r="X35" s="63">
        <v>0</v>
      </c>
      <c r="Y35" s="63">
        <v>0</v>
      </c>
      <c r="Z35" s="63">
        <v>0</v>
      </c>
      <c r="AA35" s="63">
        <v>0</v>
      </c>
      <c r="AB35" s="60">
        <f t="shared" si="1"/>
        <v>0</v>
      </c>
    </row>
    <row r="36" spans="1:28" x14ac:dyDescent="0.25">
      <c r="A36" s="61" t="s">
        <v>903</v>
      </c>
      <c r="B36" s="62" t="s">
        <v>881</v>
      </c>
      <c r="C36" s="62" t="s">
        <v>228</v>
      </c>
      <c r="D36" s="66">
        <v>21</v>
      </c>
      <c r="E36" s="63">
        <v>0</v>
      </c>
      <c r="F36" s="63">
        <v>0</v>
      </c>
      <c r="G36" s="63">
        <v>0</v>
      </c>
      <c r="H36" s="63">
        <v>0</v>
      </c>
      <c r="I36" s="63">
        <v>0</v>
      </c>
      <c r="J36" s="63">
        <v>0</v>
      </c>
      <c r="K36" s="63">
        <v>0</v>
      </c>
      <c r="L36" s="63">
        <v>0</v>
      </c>
      <c r="M36" s="63">
        <v>0</v>
      </c>
      <c r="N36" s="63">
        <v>0</v>
      </c>
      <c r="O36" s="63">
        <v>0</v>
      </c>
      <c r="P36" s="63">
        <v>0</v>
      </c>
      <c r="Q36" s="63">
        <v>0</v>
      </c>
      <c r="R36" s="63">
        <v>0</v>
      </c>
      <c r="S36" s="63">
        <v>0</v>
      </c>
      <c r="T36" s="63">
        <v>0</v>
      </c>
      <c r="U36" s="63">
        <v>0</v>
      </c>
      <c r="V36" s="63">
        <v>0</v>
      </c>
      <c r="W36" s="63">
        <v>0</v>
      </c>
      <c r="X36" s="63">
        <v>0</v>
      </c>
      <c r="Y36" s="63">
        <v>0</v>
      </c>
      <c r="Z36" s="63">
        <v>0</v>
      </c>
      <c r="AA36" s="63">
        <v>0</v>
      </c>
      <c r="AB36" s="60">
        <f t="shared" si="1"/>
        <v>0</v>
      </c>
    </row>
    <row r="37" spans="1:28" x14ac:dyDescent="0.25">
      <c r="A37" s="61" t="s">
        <v>204</v>
      </c>
      <c r="B37" s="62" t="s">
        <v>179</v>
      </c>
      <c r="C37" s="62" t="s">
        <v>228</v>
      </c>
      <c r="D37" s="66">
        <v>23</v>
      </c>
      <c r="E37" s="63">
        <v>0</v>
      </c>
      <c r="F37" s="63">
        <v>0</v>
      </c>
      <c r="G37" s="63">
        <v>0</v>
      </c>
      <c r="H37" s="63">
        <v>0</v>
      </c>
      <c r="I37" s="63">
        <v>0</v>
      </c>
      <c r="J37" s="63">
        <v>0</v>
      </c>
      <c r="K37" s="63">
        <v>0</v>
      </c>
      <c r="L37" s="63">
        <v>0</v>
      </c>
      <c r="M37" s="63">
        <v>0</v>
      </c>
      <c r="N37" s="63">
        <v>0</v>
      </c>
      <c r="O37" s="63">
        <v>0</v>
      </c>
      <c r="P37" s="63">
        <v>1</v>
      </c>
      <c r="Q37" s="63">
        <v>0</v>
      </c>
      <c r="R37" s="63">
        <v>0</v>
      </c>
      <c r="S37" s="63">
        <v>0</v>
      </c>
      <c r="T37" s="63">
        <v>0</v>
      </c>
      <c r="U37" s="63">
        <v>0</v>
      </c>
      <c r="V37" s="63">
        <v>0</v>
      </c>
      <c r="W37" s="63">
        <v>0</v>
      </c>
      <c r="X37" s="63">
        <v>0</v>
      </c>
      <c r="Y37" s="63">
        <v>0</v>
      </c>
      <c r="Z37" s="63">
        <v>0</v>
      </c>
      <c r="AA37" s="63">
        <v>0</v>
      </c>
      <c r="AB37" s="60">
        <f t="shared" si="1"/>
        <v>1</v>
      </c>
    </row>
    <row r="38" spans="1:28" x14ac:dyDescent="0.25">
      <c r="A38" s="61" t="s">
        <v>204</v>
      </c>
      <c r="B38" s="62" t="s">
        <v>179</v>
      </c>
      <c r="C38" s="62" t="s">
        <v>45</v>
      </c>
      <c r="D38" s="66">
        <v>24</v>
      </c>
      <c r="E38" s="63">
        <v>0</v>
      </c>
      <c r="F38" s="63">
        <v>0</v>
      </c>
      <c r="G38" s="63">
        <v>0</v>
      </c>
      <c r="H38" s="63">
        <v>0</v>
      </c>
      <c r="I38" s="63">
        <v>0</v>
      </c>
      <c r="J38" s="63">
        <v>0</v>
      </c>
      <c r="K38" s="63">
        <v>1</v>
      </c>
      <c r="L38" s="63">
        <v>0</v>
      </c>
      <c r="M38" s="63">
        <v>0</v>
      </c>
      <c r="N38" s="63">
        <v>0</v>
      </c>
      <c r="O38" s="63">
        <v>0</v>
      </c>
      <c r="P38" s="63">
        <v>0</v>
      </c>
      <c r="Q38" s="63">
        <v>0</v>
      </c>
      <c r="R38" s="63">
        <v>0</v>
      </c>
      <c r="S38" s="63">
        <v>0</v>
      </c>
      <c r="T38" s="63">
        <v>0</v>
      </c>
      <c r="U38" s="63">
        <v>0</v>
      </c>
      <c r="V38" s="63">
        <v>0</v>
      </c>
      <c r="W38" s="63">
        <v>0</v>
      </c>
      <c r="X38" s="63">
        <v>0</v>
      </c>
      <c r="Y38" s="63">
        <v>0</v>
      </c>
      <c r="Z38" s="63">
        <v>0</v>
      </c>
      <c r="AA38" s="63">
        <v>0</v>
      </c>
      <c r="AB38" s="60">
        <f t="shared" si="1"/>
        <v>1</v>
      </c>
    </row>
    <row r="39" spans="1:28" x14ac:dyDescent="0.25">
      <c r="A39" s="61" t="s">
        <v>37</v>
      </c>
      <c r="B39" s="62"/>
      <c r="C39" s="62"/>
      <c r="D39" s="66">
        <v>100</v>
      </c>
      <c r="E39" s="63">
        <v>1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0</v>
      </c>
      <c r="L39" s="63">
        <v>0</v>
      </c>
      <c r="M39" s="63">
        <v>0</v>
      </c>
      <c r="N39" s="63">
        <v>0</v>
      </c>
      <c r="O39" s="63">
        <v>0</v>
      </c>
      <c r="P39" s="63">
        <v>0</v>
      </c>
      <c r="Q39" s="63">
        <v>0</v>
      </c>
      <c r="R39" s="63">
        <v>0</v>
      </c>
      <c r="S39" s="63">
        <v>0</v>
      </c>
      <c r="T39" s="63">
        <v>0</v>
      </c>
      <c r="U39" s="63">
        <v>0</v>
      </c>
      <c r="V39" s="63">
        <v>0</v>
      </c>
      <c r="W39" s="63">
        <v>0</v>
      </c>
      <c r="X39" s="63">
        <v>0</v>
      </c>
      <c r="Y39" s="63">
        <v>0</v>
      </c>
      <c r="Z39" s="63">
        <v>0</v>
      </c>
      <c r="AA39" s="63">
        <v>0</v>
      </c>
      <c r="AB39" s="60">
        <f t="shared" si="1"/>
        <v>0</v>
      </c>
    </row>
    <row r="40" spans="1:28" x14ac:dyDescent="0.25">
      <c r="A40" s="61" t="s">
        <v>904</v>
      </c>
      <c r="B40" s="62" t="s">
        <v>179</v>
      </c>
      <c r="C40" s="62" t="s">
        <v>228</v>
      </c>
      <c r="D40" s="66">
        <v>53</v>
      </c>
      <c r="E40" s="63">
        <v>0</v>
      </c>
      <c r="F40" s="63">
        <v>0</v>
      </c>
      <c r="G40" s="63">
        <v>0</v>
      </c>
      <c r="H40" s="63">
        <v>0</v>
      </c>
      <c r="I40" s="63">
        <v>0</v>
      </c>
      <c r="J40" s="63">
        <v>0</v>
      </c>
      <c r="K40" s="63">
        <v>0</v>
      </c>
      <c r="L40" s="63">
        <v>0</v>
      </c>
      <c r="M40" s="63">
        <v>0</v>
      </c>
      <c r="N40" s="63">
        <v>0</v>
      </c>
      <c r="O40" s="63">
        <v>0</v>
      </c>
      <c r="P40" s="63">
        <v>0</v>
      </c>
      <c r="Q40" s="63">
        <v>0</v>
      </c>
      <c r="R40" s="63">
        <v>0</v>
      </c>
      <c r="S40" s="63">
        <v>0</v>
      </c>
      <c r="T40" s="63">
        <v>0</v>
      </c>
      <c r="U40" s="63">
        <v>0</v>
      </c>
      <c r="V40" s="63">
        <v>0</v>
      </c>
      <c r="W40" s="63">
        <v>0</v>
      </c>
      <c r="X40" s="63">
        <v>0</v>
      </c>
      <c r="Y40" s="63">
        <v>0</v>
      </c>
      <c r="Z40" s="63">
        <v>0</v>
      </c>
      <c r="AA40" s="63">
        <v>0</v>
      </c>
      <c r="AB40" s="60">
        <f t="shared" si="1"/>
        <v>0</v>
      </c>
    </row>
    <row r="41" spans="1:28" x14ac:dyDescent="0.25">
      <c r="A41" s="61" t="s">
        <v>502</v>
      </c>
      <c r="B41" s="62" t="s">
        <v>179</v>
      </c>
      <c r="C41" s="62" t="s">
        <v>228</v>
      </c>
      <c r="D41" s="66">
        <v>78</v>
      </c>
      <c r="E41" s="63">
        <v>0</v>
      </c>
      <c r="F41" s="63">
        <v>0</v>
      </c>
      <c r="G41" s="63">
        <v>0</v>
      </c>
      <c r="H41" s="63">
        <v>0</v>
      </c>
      <c r="I41" s="63">
        <v>0</v>
      </c>
      <c r="J41" s="63">
        <v>0</v>
      </c>
      <c r="K41" s="63">
        <v>0</v>
      </c>
      <c r="L41" s="63">
        <v>0</v>
      </c>
      <c r="M41" s="63">
        <v>0</v>
      </c>
      <c r="N41" s="63">
        <v>0</v>
      </c>
      <c r="O41" s="63">
        <v>0</v>
      </c>
      <c r="P41" s="63">
        <v>1</v>
      </c>
      <c r="Q41" s="63">
        <v>0</v>
      </c>
      <c r="R41" s="63">
        <v>0</v>
      </c>
      <c r="S41" s="63">
        <v>0</v>
      </c>
      <c r="T41" s="63">
        <v>0</v>
      </c>
      <c r="U41" s="63">
        <v>0</v>
      </c>
      <c r="V41" s="63">
        <v>0</v>
      </c>
      <c r="W41" s="63">
        <v>0</v>
      </c>
      <c r="X41" s="63">
        <v>0</v>
      </c>
      <c r="Y41" s="63">
        <v>0</v>
      </c>
      <c r="Z41" s="63">
        <v>0</v>
      </c>
      <c r="AA41" s="63">
        <v>0</v>
      </c>
      <c r="AB41" s="60">
        <f t="shared" si="1"/>
        <v>1</v>
      </c>
    </row>
    <row r="42" spans="1:28" x14ac:dyDescent="0.25">
      <c r="A42" s="61" t="s">
        <v>227</v>
      </c>
      <c r="B42" s="62" t="s">
        <v>179</v>
      </c>
      <c r="C42" s="62" t="s">
        <v>228</v>
      </c>
      <c r="D42" s="66">
        <v>25</v>
      </c>
      <c r="E42" s="63">
        <v>0</v>
      </c>
      <c r="F42" s="63">
        <v>0</v>
      </c>
      <c r="G42" s="63">
        <v>0</v>
      </c>
      <c r="H42" s="63">
        <v>0</v>
      </c>
      <c r="I42" s="63">
        <v>0</v>
      </c>
      <c r="J42" s="63">
        <v>0</v>
      </c>
      <c r="K42" s="63">
        <v>0</v>
      </c>
      <c r="L42" s="63">
        <v>0</v>
      </c>
      <c r="M42" s="63">
        <v>0</v>
      </c>
      <c r="N42" s="63">
        <v>0</v>
      </c>
      <c r="O42" s="63">
        <v>0</v>
      </c>
      <c r="P42" s="63">
        <v>0.62</v>
      </c>
      <c r="Q42" s="63">
        <v>0</v>
      </c>
      <c r="R42" s="63">
        <v>0</v>
      </c>
      <c r="S42" s="63">
        <v>0</v>
      </c>
      <c r="T42" s="63">
        <v>0</v>
      </c>
      <c r="U42" s="63">
        <v>0</v>
      </c>
      <c r="V42" s="63">
        <v>0.38</v>
      </c>
      <c r="W42" s="63">
        <v>0</v>
      </c>
      <c r="X42" s="63">
        <v>0</v>
      </c>
      <c r="Y42" s="63">
        <v>0</v>
      </c>
      <c r="Z42" s="63">
        <v>0</v>
      </c>
      <c r="AA42" s="63">
        <v>0</v>
      </c>
      <c r="AB42" s="60">
        <f t="shared" si="1"/>
        <v>1</v>
      </c>
    </row>
    <row r="43" spans="1:28" x14ac:dyDescent="0.25">
      <c r="A43" s="61" t="s">
        <v>227</v>
      </c>
      <c r="B43" s="62" t="s">
        <v>179</v>
      </c>
      <c r="C43" s="62" t="s">
        <v>42</v>
      </c>
      <c r="D43" s="66">
        <v>26</v>
      </c>
      <c r="E43" s="63">
        <v>0</v>
      </c>
      <c r="F43" s="63">
        <v>0</v>
      </c>
      <c r="G43" s="63">
        <v>0</v>
      </c>
      <c r="H43" s="63">
        <v>0</v>
      </c>
      <c r="I43" s="63">
        <v>0</v>
      </c>
      <c r="J43" s="63">
        <v>0</v>
      </c>
      <c r="K43" s="63">
        <v>0</v>
      </c>
      <c r="L43" s="63">
        <v>0</v>
      </c>
      <c r="M43" s="63">
        <v>0</v>
      </c>
      <c r="N43" s="63">
        <v>0</v>
      </c>
      <c r="O43" s="63">
        <v>0</v>
      </c>
      <c r="P43" s="63">
        <v>0</v>
      </c>
      <c r="Q43" s="63">
        <v>0</v>
      </c>
      <c r="R43" s="63">
        <v>0</v>
      </c>
      <c r="S43" s="63">
        <v>0</v>
      </c>
      <c r="T43" s="63">
        <v>0</v>
      </c>
      <c r="U43" s="63">
        <v>0</v>
      </c>
      <c r="V43" s="63">
        <v>0</v>
      </c>
      <c r="W43" s="63">
        <v>0</v>
      </c>
      <c r="X43" s="63">
        <v>0</v>
      </c>
      <c r="Y43" s="63">
        <v>0</v>
      </c>
      <c r="Z43" s="63">
        <v>0</v>
      </c>
      <c r="AA43" s="63">
        <v>0</v>
      </c>
      <c r="AB43" s="60">
        <f t="shared" si="1"/>
        <v>0</v>
      </c>
    </row>
    <row r="44" spans="1:28" x14ac:dyDescent="0.25">
      <c r="A44" s="61" t="s">
        <v>227</v>
      </c>
      <c r="B44" s="62" t="s">
        <v>195</v>
      </c>
      <c r="C44" s="62" t="s">
        <v>42</v>
      </c>
      <c r="D44" s="66">
        <v>27</v>
      </c>
      <c r="E44" s="64">
        <v>0</v>
      </c>
      <c r="F44" s="64">
        <v>0</v>
      </c>
      <c r="G44" s="64">
        <v>0</v>
      </c>
      <c r="H44" s="64">
        <v>0</v>
      </c>
      <c r="I44" s="64">
        <v>0</v>
      </c>
      <c r="J44" s="64">
        <v>0</v>
      </c>
      <c r="K44" s="64">
        <v>0</v>
      </c>
      <c r="L44" s="64">
        <v>0</v>
      </c>
      <c r="M44" s="63">
        <v>0</v>
      </c>
      <c r="N44" s="63">
        <v>0</v>
      </c>
      <c r="O44" s="63">
        <v>0</v>
      </c>
      <c r="P44" s="63">
        <v>0</v>
      </c>
      <c r="Q44" s="63">
        <v>0</v>
      </c>
      <c r="R44" s="63">
        <v>0</v>
      </c>
      <c r="S44" s="63">
        <v>0</v>
      </c>
      <c r="T44" s="63">
        <v>0</v>
      </c>
      <c r="U44" s="63">
        <v>0</v>
      </c>
      <c r="V44" s="63">
        <v>0</v>
      </c>
      <c r="W44" s="63">
        <v>0</v>
      </c>
      <c r="X44" s="63">
        <v>0</v>
      </c>
      <c r="Y44" s="63">
        <v>0</v>
      </c>
      <c r="Z44" s="63">
        <v>0</v>
      </c>
      <c r="AA44" s="63">
        <v>0</v>
      </c>
      <c r="AB44" s="60">
        <f t="shared" si="1"/>
        <v>0</v>
      </c>
    </row>
    <row r="45" spans="1:28" x14ac:dyDescent="0.25">
      <c r="A45" s="61" t="s">
        <v>227</v>
      </c>
      <c r="B45" s="62" t="s">
        <v>195</v>
      </c>
      <c r="C45" s="62" t="s">
        <v>228</v>
      </c>
      <c r="D45" s="66">
        <v>54</v>
      </c>
      <c r="E45" s="64">
        <v>0</v>
      </c>
      <c r="F45" s="64">
        <v>0</v>
      </c>
      <c r="G45" s="64">
        <v>0</v>
      </c>
      <c r="H45" s="64">
        <v>0</v>
      </c>
      <c r="I45" s="64">
        <v>0</v>
      </c>
      <c r="J45" s="64">
        <v>0</v>
      </c>
      <c r="K45" s="64">
        <v>0</v>
      </c>
      <c r="L45" s="64">
        <v>0</v>
      </c>
      <c r="M45" s="63">
        <v>0</v>
      </c>
      <c r="N45" s="63">
        <v>0</v>
      </c>
      <c r="O45" s="63">
        <v>0</v>
      </c>
      <c r="P45" s="63">
        <v>0</v>
      </c>
      <c r="Q45" s="63">
        <v>0</v>
      </c>
      <c r="R45" s="63">
        <v>0</v>
      </c>
      <c r="S45" s="63">
        <v>0</v>
      </c>
      <c r="T45" s="63">
        <v>0</v>
      </c>
      <c r="U45" s="63">
        <v>0</v>
      </c>
      <c r="V45" s="63">
        <v>0</v>
      </c>
      <c r="W45" s="63">
        <v>0</v>
      </c>
      <c r="X45" s="63">
        <v>0</v>
      </c>
      <c r="Y45" s="63">
        <v>0</v>
      </c>
      <c r="Z45" s="63">
        <v>0</v>
      </c>
      <c r="AA45" s="63">
        <v>0</v>
      </c>
      <c r="AB45" s="60">
        <f t="shared" si="1"/>
        <v>0</v>
      </c>
    </row>
    <row r="46" spans="1:28" x14ac:dyDescent="0.25">
      <c r="A46" s="61" t="s">
        <v>770</v>
      </c>
      <c r="B46" s="62" t="s">
        <v>878</v>
      </c>
      <c r="C46" s="62" t="s">
        <v>878</v>
      </c>
      <c r="D46" s="66">
        <v>28</v>
      </c>
      <c r="E46" s="64">
        <v>0</v>
      </c>
      <c r="F46" s="64">
        <v>0</v>
      </c>
      <c r="G46" s="64">
        <v>0</v>
      </c>
      <c r="H46" s="64">
        <v>0</v>
      </c>
      <c r="I46" s="64">
        <v>0</v>
      </c>
      <c r="J46" s="64">
        <v>0</v>
      </c>
      <c r="K46" s="64">
        <v>0</v>
      </c>
      <c r="L46" s="64">
        <v>0</v>
      </c>
      <c r="M46" s="63">
        <v>0</v>
      </c>
      <c r="N46" s="63">
        <v>0</v>
      </c>
      <c r="O46" s="63">
        <v>0</v>
      </c>
      <c r="P46" s="63">
        <v>0</v>
      </c>
      <c r="Q46" s="63">
        <v>0</v>
      </c>
      <c r="R46" s="63">
        <v>0</v>
      </c>
      <c r="S46" s="63">
        <v>0</v>
      </c>
      <c r="T46" s="63">
        <v>0</v>
      </c>
      <c r="U46" s="63">
        <v>0</v>
      </c>
      <c r="V46" s="63">
        <v>0</v>
      </c>
      <c r="W46" s="63">
        <v>0</v>
      </c>
      <c r="X46" s="63">
        <v>0</v>
      </c>
      <c r="Y46" s="63">
        <v>0</v>
      </c>
      <c r="Z46" s="63">
        <v>0</v>
      </c>
      <c r="AA46" s="63">
        <v>0</v>
      </c>
      <c r="AB46" s="60">
        <f t="shared" si="1"/>
        <v>0</v>
      </c>
    </row>
    <row r="47" spans="1:28" x14ac:dyDescent="0.25">
      <c r="A47" s="61" t="s">
        <v>248</v>
      </c>
      <c r="B47" s="62" t="s">
        <v>878</v>
      </c>
      <c r="C47" s="62" t="s">
        <v>879</v>
      </c>
      <c r="D47" s="66">
        <v>29</v>
      </c>
      <c r="E47" s="64">
        <v>0</v>
      </c>
      <c r="F47" s="64">
        <v>1</v>
      </c>
      <c r="G47" s="64">
        <v>0</v>
      </c>
      <c r="H47" s="64">
        <v>0</v>
      </c>
      <c r="I47" s="64">
        <v>0</v>
      </c>
      <c r="J47" s="64">
        <v>0</v>
      </c>
      <c r="K47" s="64">
        <v>0</v>
      </c>
      <c r="L47" s="64">
        <v>0</v>
      </c>
      <c r="M47" s="63">
        <v>0</v>
      </c>
      <c r="N47" s="63">
        <v>0</v>
      </c>
      <c r="O47" s="63">
        <v>0</v>
      </c>
      <c r="P47" s="63">
        <v>0</v>
      </c>
      <c r="Q47" s="63">
        <v>0</v>
      </c>
      <c r="R47" s="63">
        <v>0</v>
      </c>
      <c r="S47" s="63">
        <v>0</v>
      </c>
      <c r="T47" s="63">
        <v>0</v>
      </c>
      <c r="U47" s="63">
        <v>0</v>
      </c>
      <c r="V47" s="63">
        <v>0</v>
      </c>
      <c r="W47" s="63">
        <v>0</v>
      </c>
      <c r="X47" s="63">
        <v>0</v>
      </c>
      <c r="Y47" s="63">
        <v>0</v>
      </c>
      <c r="Z47" s="63">
        <v>0</v>
      </c>
      <c r="AA47" s="63">
        <v>0</v>
      </c>
      <c r="AB47" s="60">
        <f t="shared" si="1"/>
        <v>1</v>
      </c>
    </row>
    <row r="48" spans="1:28" x14ac:dyDescent="0.25">
      <c r="A48" s="61" t="s">
        <v>248</v>
      </c>
      <c r="B48" s="62" t="s">
        <v>881</v>
      </c>
      <c r="C48" s="62" t="s">
        <v>228</v>
      </c>
      <c r="D48" s="66">
        <v>55</v>
      </c>
      <c r="E48" s="64">
        <v>0</v>
      </c>
      <c r="F48" s="64">
        <v>0</v>
      </c>
      <c r="G48" s="64">
        <v>0</v>
      </c>
      <c r="H48" s="64">
        <v>0</v>
      </c>
      <c r="I48" s="64">
        <v>0</v>
      </c>
      <c r="J48" s="64">
        <v>0</v>
      </c>
      <c r="K48" s="64">
        <v>0</v>
      </c>
      <c r="L48" s="64">
        <v>0</v>
      </c>
      <c r="M48" s="63">
        <v>0</v>
      </c>
      <c r="N48" s="63">
        <v>0</v>
      </c>
      <c r="O48" s="63">
        <v>0</v>
      </c>
      <c r="P48" s="63">
        <v>0</v>
      </c>
      <c r="Q48" s="63">
        <v>0</v>
      </c>
      <c r="R48" s="63">
        <v>0</v>
      </c>
      <c r="S48" s="63">
        <v>0.5</v>
      </c>
      <c r="T48" s="63">
        <v>0</v>
      </c>
      <c r="U48" s="63">
        <v>0</v>
      </c>
      <c r="V48" s="63">
        <v>0.5</v>
      </c>
      <c r="W48" s="63">
        <v>0</v>
      </c>
      <c r="X48" s="63">
        <v>0</v>
      </c>
      <c r="Y48" s="63">
        <v>0</v>
      </c>
      <c r="Z48" s="63">
        <v>0</v>
      </c>
      <c r="AA48" s="63">
        <v>0</v>
      </c>
      <c r="AB48" s="60">
        <f t="shared" si="1"/>
        <v>1</v>
      </c>
    </row>
    <row r="49" spans="1:28" x14ac:dyDescent="0.25">
      <c r="A49" s="61" t="s">
        <v>905</v>
      </c>
      <c r="B49" s="62" t="s">
        <v>195</v>
      </c>
      <c r="C49" s="62" t="s">
        <v>228</v>
      </c>
      <c r="D49" s="66">
        <v>82</v>
      </c>
      <c r="E49" s="64">
        <v>0</v>
      </c>
      <c r="F49" s="64">
        <v>0</v>
      </c>
      <c r="G49" s="64">
        <v>0</v>
      </c>
      <c r="H49" s="64">
        <v>0</v>
      </c>
      <c r="I49" s="64">
        <v>0</v>
      </c>
      <c r="J49" s="64">
        <v>0</v>
      </c>
      <c r="K49" s="64">
        <v>0</v>
      </c>
      <c r="L49" s="64">
        <v>0</v>
      </c>
      <c r="M49" s="63">
        <v>0</v>
      </c>
      <c r="N49" s="63">
        <v>0</v>
      </c>
      <c r="O49" s="63">
        <v>0</v>
      </c>
      <c r="P49" s="63">
        <v>0</v>
      </c>
      <c r="Q49" s="63">
        <v>0.5</v>
      </c>
      <c r="R49" s="63">
        <v>0.5</v>
      </c>
      <c r="S49" s="63">
        <v>0</v>
      </c>
      <c r="T49" s="63">
        <v>0</v>
      </c>
      <c r="U49" s="63">
        <v>0</v>
      </c>
      <c r="V49" s="63">
        <v>0</v>
      </c>
      <c r="W49" s="63">
        <v>0</v>
      </c>
      <c r="X49" s="63">
        <v>0</v>
      </c>
      <c r="Y49" s="63">
        <v>0</v>
      </c>
      <c r="Z49" s="63">
        <v>0</v>
      </c>
      <c r="AA49" s="63">
        <v>0</v>
      </c>
      <c r="AB49" s="60">
        <f t="shared" si="1"/>
        <v>1</v>
      </c>
    </row>
    <row r="50" spans="1:28" x14ac:dyDescent="0.25">
      <c r="A50" s="61" t="s">
        <v>905</v>
      </c>
      <c r="B50" s="62" t="s">
        <v>267</v>
      </c>
      <c r="C50" s="62" t="s">
        <v>267</v>
      </c>
      <c r="D50" s="66">
        <v>83</v>
      </c>
      <c r="E50" s="64">
        <v>0</v>
      </c>
      <c r="F50" s="64">
        <v>0</v>
      </c>
      <c r="G50" s="64">
        <v>0</v>
      </c>
      <c r="H50" s="64">
        <v>0</v>
      </c>
      <c r="I50" s="64">
        <v>0</v>
      </c>
      <c r="J50" s="64">
        <v>0</v>
      </c>
      <c r="K50" s="64">
        <v>0</v>
      </c>
      <c r="L50" s="64">
        <v>0</v>
      </c>
      <c r="M50" s="63">
        <v>0</v>
      </c>
      <c r="N50" s="63">
        <v>0</v>
      </c>
      <c r="O50" s="63">
        <v>0</v>
      </c>
      <c r="P50" s="63">
        <v>0</v>
      </c>
      <c r="Q50" s="63">
        <v>0</v>
      </c>
      <c r="R50" s="63">
        <v>0</v>
      </c>
      <c r="S50" s="63">
        <v>0</v>
      </c>
      <c r="T50" s="63">
        <v>0</v>
      </c>
      <c r="U50" s="63">
        <v>0</v>
      </c>
      <c r="V50" s="63">
        <v>0</v>
      </c>
      <c r="W50" s="63">
        <v>0</v>
      </c>
      <c r="X50" s="63">
        <v>0</v>
      </c>
      <c r="Y50" s="63">
        <v>0</v>
      </c>
      <c r="Z50" s="63">
        <v>0</v>
      </c>
      <c r="AA50" s="63">
        <v>0</v>
      </c>
      <c r="AB50" s="60">
        <f t="shared" si="1"/>
        <v>0</v>
      </c>
    </row>
    <row r="51" spans="1:28" x14ac:dyDescent="0.25">
      <c r="A51" s="61" t="s">
        <v>906</v>
      </c>
      <c r="B51" s="62" t="s">
        <v>195</v>
      </c>
      <c r="C51" s="62" t="s">
        <v>228</v>
      </c>
      <c r="D51" s="66">
        <v>77</v>
      </c>
      <c r="E51" s="64">
        <v>0</v>
      </c>
      <c r="F51" s="64">
        <v>0</v>
      </c>
      <c r="G51" s="64">
        <v>0</v>
      </c>
      <c r="H51" s="64">
        <v>0</v>
      </c>
      <c r="I51" s="64">
        <v>0</v>
      </c>
      <c r="J51" s="64">
        <v>0</v>
      </c>
      <c r="K51" s="64">
        <v>0</v>
      </c>
      <c r="L51" s="64">
        <v>0</v>
      </c>
      <c r="M51" s="63">
        <v>0</v>
      </c>
      <c r="N51" s="63">
        <v>0</v>
      </c>
      <c r="O51" s="63">
        <v>0</v>
      </c>
      <c r="P51" s="63">
        <v>0</v>
      </c>
      <c r="Q51" s="63">
        <v>0</v>
      </c>
      <c r="R51" s="63">
        <v>0</v>
      </c>
      <c r="S51" s="63">
        <v>0</v>
      </c>
      <c r="T51" s="63">
        <v>0</v>
      </c>
      <c r="U51" s="63">
        <v>0</v>
      </c>
      <c r="V51" s="63">
        <v>0</v>
      </c>
      <c r="W51" s="63">
        <v>0</v>
      </c>
      <c r="X51" s="63">
        <v>0</v>
      </c>
      <c r="Y51" s="63">
        <v>0</v>
      </c>
      <c r="Z51" s="63">
        <v>0</v>
      </c>
      <c r="AA51" s="63">
        <v>0</v>
      </c>
      <c r="AB51" s="60">
        <f t="shared" si="1"/>
        <v>0</v>
      </c>
    </row>
    <row r="52" spans="1:28" x14ac:dyDescent="0.25">
      <c r="A52" s="61" t="s">
        <v>907</v>
      </c>
      <c r="B52" s="62" t="s">
        <v>878</v>
      </c>
      <c r="C52" s="62" t="s">
        <v>878</v>
      </c>
      <c r="D52" s="66">
        <v>30</v>
      </c>
      <c r="E52" s="64">
        <v>0</v>
      </c>
      <c r="F52" s="64">
        <v>0</v>
      </c>
      <c r="G52" s="64">
        <v>0</v>
      </c>
      <c r="H52" s="64">
        <v>0</v>
      </c>
      <c r="I52" s="64">
        <v>0</v>
      </c>
      <c r="J52" s="64">
        <v>0</v>
      </c>
      <c r="K52" s="64">
        <v>0</v>
      </c>
      <c r="L52" s="64">
        <v>0</v>
      </c>
      <c r="M52" s="63">
        <v>0</v>
      </c>
      <c r="N52" s="63">
        <v>0</v>
      </c>
      <c r="O52" s="63">
        <v>0</v>
      </c>
      <c r="P52" s="63">
        <v>0</v>
      </c>
      <c r="Q52" s="63">
        <v>0</v>
      </c>
      <c r="R52" s="63">
        <v>0</v>
      </c>
      <c r="S52" s="63">
        <v>0</v>
      </c>
      <c r="T52" s="63">
        <v>0</v>
      </c>
      <c r="U52" s="63">
        <v>0</v>
      </c>
      <c r="V52" s="63">
        <v>0</v>
      </c>
      <c r="W52" s="63">
        <v>0</v>
      </c>
      <c r="X52" s="63">
        <v>0</v>
      </c>
      <c r="Y52" s="63">
        <v>0</v>
      </c>
      <c r="Z52" s="63">
        <v>0</v>
      </c>
      <c r="AA52" s="63">
        <v>0</v>
      </c>
      <c r="AB52" s="60">
        <f t="shared" si="1"/>
        <v>0</v>
      </c>
    </row>
    <row r="53" spans="1:28" x14ac:dyDescent="0.25">
      <c r="A53" s="61" t="s">
        <v>242</v>
      </c>
      <c r="B53" s="62" t="s">
        <v>195</v>
      </c>
      <c r="C53" s="62" t="s">
        <v>228</v>
      </c>
      <c r="D53" s="66">
        <v>31</v>
      </c>
      <c r="E53" s="64">
        <v>0</v>
      </c>
      <c r="F53" s="64">
        <v>0</v>
      </c>
      <c r="G53" s="64">
        <v>0</v>
      </c>
      <c r="H53" s="64">
        <v>0</v>
      </c>
      <c r="I53" s="64">
        <v>0</v>
      </c>
      <c r="J53" s="64">
        <v>0</v>
      </c>
      <c r="K53" s="64">
        <v>0</v>
      </c>
      <c r="L53" s="64">
        <v>0</v>
      </c>
      <c r="M53" s="63">
        <v>0</v>
      </c>
      <c r="N53" s="63">
        <v>0</v>
      </c>
      <c r="O53" s="63">
        <v>0</v>
      </c>
      <c r="P53" s="63">
        <v>0</v>
      </c>
      <c r="Q53" s="63">
        <v>1</v>
      </c>
      <c r="R53" s="63">
        <v>0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3">
        <v>0</v>
      </c>
      <c r="AB53" s="60">
        <f t="shared" si="1"/>
        <v>1</v>
      </c>
    </row>
    <row r="54" spans="1:28" x14ac:dyDescent="0.25">
      <c r="A54" s="61" t="s">
        <v>242</v>
      </c>
      <c r="B54" s="62" t="s">
        <v>195</v>
      </c>
      <c r="C54" s="62" t="s">
        <v>1271</v>
      </c>
      <c r="D54" s="66">
        <v>32</v>
      </c>
      <c r="E54" s="64">
        <v>0</v>
      </c>
      <c r="F54" s="64">
        <v>0</v>
      </c>
      <c r="G54" s="64">
        <v>0</v>
      </c>
      <c r="H54" s="64">
        <v>0</v>
      </c>
      <c r="I54" s="64">
        <v>0</v>
      </c>
      <c r="J54" s="64">
        <v>0</v>
      </c>
      <c r="K54" s="64">
        <v>0</v>
      </c>
      <c r="L54" s="64">
        <v>0</v>
      </c>
      <c r="M54" s="63">
        <v>0</v>
      </c>
      <c r="N54" s="63">
        <v>0</v>
      </c>
      <c r="O54" s="63">
        <v>0</v>
      </c>
      <c r="P54" s="63">
        <v>0</v>
      </c>
      <c r="Q54" s="63">
        <v>0.25</v>
      </c>
      <c r="R54" s="63">
        <v>0</v>
      </c>
      <c r="S54" s="63">
        <v>0</v>
      </c>
      <c r="T54" s="63">
        <v>0</v>
      </c>
      <c r="U54" s="63">
        <v>0</v>
      </c>
      <c r="V54" s="63">
        <v>0.75</v>
      </c>
      <c r="W54" s="63">
        <v>0</v>
      </c>
      <c r="X54" s="63">
        <v>0</v>
      </c>
      <c r="Y54" s="63">
        <v>0</v>
      </c>
      <c r="Z54" s="63">
        <v>0</v>
      </c>
      <c r="AA54" s="63">
        <v>0</v>
      </c>
      <c r="AB54" s="60">
        <f t="shared" si="1"/>
        <v>1</v>
      </c>
    </row>
    <row r="55" spans="1:28" s="37" customFormat="1" x14ac:dyDescent="0.25">
      <c r="A55" s="61" t="s">
        <v>242</v>
      </c>
      <c r="B55" s="62" t="s">
        <v>195</v>
      </c>
      <c r="C55" s="62" t="s">
        <v>228</v>
      </c>
      <c r="D55" s="66">
        <v>320425</v>
      </c>
      <c r="E55" s="64">
        <v>0</v>
      </c>
      <c r="F55" s="64">
        <v>0</v>
      </c>
      <c r="G55" s="64">
        <v>0</v>
      </c>
      <c r="H55" s="64">
        <v>0</v>
      </c>
      <c r="I55" s="64">
        <v>0</v>
      </c>
      <c r="J55" s="64">
        <v>0</v>
      </c>
      <c r="K55" s="64">
        <v>0</v>
      </c>
      <c r="L55" s="64">
        <v>0</v>
      </c>
      <c r="M55" s="63">
        <v>0</v>
      </c>
      <c r="N55" s="63">
        <v>0</v>
      </c>
      <c r="O55" s="63">
        <v>0</v>
      </c>
      <c r="P55" s="63">
        <v>0</v>
      </c>
      <c r="Q55" s="63">
        <v>1</v>
      </c>
      <c r="R55" s="63">
        <v>0</v>
      </c>
      <c r="S55" s="63">
        <v>0</v>
      </c>
      <c r="T55" s="63">
        <v>0</v>
      </c>
      <c r="U55" s="63">
        <v>0</v>
      </c>
      <c r="V55" s="63">
        <v>0</v>
      </c>
      <c r="W55" s="63">
        <v>0</v>
      </c>
      <c r="X55" s="63">
        <v>0</v>
      </c>
      <c r="Y55" s="63">
        <v>0</v>
      </c>
      <c r="Z55" s="63">
        <v>0</v>
      </c>
      <c r="AA55" s="63">
        <v>0</v>
      </c>
      <c r="AB55" s="60">
        <f t="shared" si="1"/>
        <v>1</v>
      </c>
    </row>
    <row r="56" spans="1:28" x14ac:dyDescent="0.25">
      <c r="A56" s="61" t="s">
        <v>242</v>
      </c>
      <c r="B56" s="61" t="s">
        <v>881</v>
      </c>
      <c r="C56" s="62" t="s">
        <v>228</v>
      </c>
      <c r="D56" s="66">
        <v>94</v>
      </c>
      <c r="E56" s="64">
        <v>0</v>
      </c>
      <c r="F56" s="64">
        <v>0</v>
      </c>
      <c r="G56" s="64">
        <v>0</v>
      </c>
      <c r="H56" s="64">
        <v>0</v>
      </c>
      <c r="I56" s="64">
        <v>0</v>
      </c>
      <c r="J56" s="64">
        <v>0</v>
      </c>
      <c r="K56" s="64">
        <v>0</v>
      </c>
      <c r="L56" s="64">
        <v>0</v>
      </c>
      <c r="M56" s="63">
        <v>0</v>
      </c>
      <c r="N56" s="63">
        <v>0</v>
      </c>
      <c r="O56" s="63">
        <v>0</v>
      </c>
      <c r="P56" s="63">
        <v>0</v>
      </c>
      <c r="Q56" s="63">
        <v>0</v>
      </c>
      <c r="R56" s="63">
        <v>0</v>
      </c>
      <c r="S56" s="63">
        <v>0</v>
      </c>
      <c r="T56" s="63">
        <v>0</v>
      </c>
      <c r="U56" s="63">
        <v>0</v>
      </c>
      <c r="V56" s="63">
        <v>0</v>
      </c>
      <c r="W56" s="63">
        <v>0</v>
      </c>
      <c r="X56" s="63">
        <v>0</v>
      </c>
      <c r="Y56" s="63">
        <v>0</v>
      </c>
      <c r="Z56" s="63">
        <v>0</v>
      </c>
      <c r="AA56" s="63">
        <v>0</v>
      </c>
      <c r="AB56" s="60">
        <f t="shared" si="1"/>
        <v>0</v>
      </c>
    </row>
    <row r="57" spans="1:28" x14ac:dyDescent="0.25">
      <c r="A57" s="61" t="s">
        <v>242</v>
      </c>
      <c r="B57" s="62" t="s">
        <v>908</v>
      </c>
      <c r="C57" s="62" t="s">
        <v>267</v>
      </c>
      <c r="D57" s="66">
        <v>104</v>
      </c>
      <c r="E57" s="64">
        <v>0</v>
      </c>
      <c r="F57" s="64">
        <v>0</v>
      </c>
      <c r="G57" s="64">
        <v>0</v>
      </c>
      <c r="H57" s="64">
        <v>0</v>
      </c>
      <c r="I57" s="64">
        <v>0</v>
      </c>
      <c r="J57" s="64">
        <v>0</v>
      </c>
      <c r="K57" s="64">
        <v>0</v>
      </c>
      <c r="L57" s="64">
        <v>0</v>
      </c>
      <c r="M57" s="63">
        <v>0</v>
      </c>
      <c r="N57" s="63">
        <v>0</v>
      </c>
      <c r="O57" s="63">
        <v>0</v>
      </c>
      <c r="P57" s="63">
        <v>0</v>
      </c>
      <c r="Q57" s="63">
        <v>0</v>
      </c>
      <c r="R57" s="63">
        <v>0</v>
      </c>
      <c r="S57" s="63">
        <v>0</v>
      </c>
      <c r="T57" s="63">
        <v>0</v>
      </c>
      <c r="U57" s="63">
        <v>0</v>
      </c>
      <c r="V57" s="63">
        <v>1</v>
      </c>
      <c r="W57" s="63">
        <v>0</v>
      </c>
      <c r="X57" s="63">
        <v>0</v>
      </c>
      <c r="Y57" s="63">
        <v>0</v>
      </c>
      <c r="Z57" s="63">
        <v>0</v>
      </c>
      <c r="AA57" s="63">
        <v>0</v>
      </c>
      <c r="AB57" s="60">
        <f t="shared" si="1"/>
        <v>1</v>
      </c>
    </row>
    <row r="58" spans="1:28" x14ac:dyDescent="0.25">
      <c r="A58" s="116" t="s">
        <v>242</v>
      </c>
      <c r="B58" s="91" t="s">
        <v>909</v>
      </c>
      <c r="C58" s="92" t="s">
        <v>267</v>
      </c>
      <c r="D58" s="80">
        <v>105</v>
      </c>
      <c r="E58" s="154">
        <v>0</v>
      </c>
      <c r="F58" s="154">
        <v>0</v>
      </c>
      <c r="G58" s="154">
        <v>0</v>
      </c>
      <c r="H58" s="154">
        <v>0</v>
      </c>
      <c r="I58" s="154">
        <v>0</v>
      </c>
      <c r="J58" s="154">
        <v>0</v>
      </c>
      <c r="K58" s="154">
        <v>0</v>
      </c>
      <c r="L58" s="154">
        <v>0</v>
      </c>
      <c r="M58" s="155">
        <v>0</v>
      </c>
      <c r="N58" s="155">
        <v>0</v>
      </c>
      <c r="O58" s="155">
        <v>0</v>
      </c>
      <c r="P58" s="155">
        <v>0</v>
      </c>
      <c r="Q58" s="155">
        <v>0</v>
      </c>
      <c r="R58" s="155">
        <v>0</v>
      </c>
      <c r="S58" s="155">
        <v>0</v>
      </c>
      <c r="T58" s="155">
        <v>0</v>
      </c>
      <c r="U58" s="155">
        <v>0</v>
      </c>
      <c r="V58" s="155">
        <v>0.25</v>
      </c>
      <c r="W58" s="155">
        <v>0.75</v>
      </c>
      <c r="X58" s="155">
        <v>0</v>
      </c>
      <c r="Y58" s="155">
        <v>0</v>
      </c>
      <c r="Z58" s="155">
        <v>0</v>
      </c>
      <c r="AA58" s="155">
        <v>0</v>
      </c>
      <c r="AB58" s="93">
        <f t="shared" si="1"/>
        <v>1</v>
      </c>
    </row>
    <row r="59" spans="1:28" x14ac:dyDescent="0.25">
      <c r="A59" s="65" t="s">
        <v>245</v>
      </c>
      <c r="B59" s="61" t="s">
        <v>179</v>
      </c>
      <c r="C59" s="62" t="s">
        <v>228</v>
      </c>
      <c r="D59" s="66">
        <v>84</v>
      </c>
      <c r="E59" s="64">
        <v>0</v>
      </c>
      <c r="F59" s="64">
        <v>0</v>
      </c>
      <c r="G59" s="64">
        <v>0</v>
      </c>
      <c r="H59" s="64">
        <v>0</v>
      </c>
      <c r="I59" s="64">
        <v>0</v>
      </c>
      <c r="J59" s="64">
        <v>0</v>
      </c>
      <c r="K59" s="64">
        <v>0</v>
      </c>
      <c r="L59" s="64">
        <v>0</v>
      </c>
      <c r="M59" s="63">
        <v>0</v>
      </c>
      <c r="N59" s="63">
        <v>0</v>
      </c>
      <c r="O59" s="63">
        <v>0</v>
      </c>
      <c r="P59" s="63">
        <v>1</v>
      </c>
      <c r="Q59" s="63">
        <v>0</v>
      </c>
      <c r="R59" s="63">
        <v>0</v>
      </c>
      <c r="S59" s="63">
        <v>0</v>
      </c>
      <c r="T59" s="63">
        <v>0</v>
      </c>
      <c r="U59" s="63">
        <v>0</v>
      </c>
      <c r="V59" s="63">
        <v>0</v>
      </c>
      <c r="W59" s="63">
        <v>0</v>
      </c>
      <c r="X59" s="63">
        <v>0</v>
      </c>
      <c r="Y59" s="63">
        <v>0</v>
      </c>
      <c r="Z59" s="63">
        <v>0</v>
      </c>
      <c r="AA59" s="63">
        <v>0</v>
      </c>
      <c r="AB59" s="60">
        <f t="shared" si="1"/>
        <v>1</v>
      </c>
    </row>
    <row r="60" spans="1:28" x14ac:dyDescent="0.25">
      <c r="A60" s="65" t="s">
        <v>910</v>
      </c>
      <c r="B60" s="62" t="s">
        <v>881</v>
      </c>
      <c r="C60" s="62" t="s">
        <v>878</v>
      </c>
      <c r="D60" s="66">
        <v>33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3">
        <v>0</v>
      </c>
      <c r="N60" s="63">
        <v>0</v>
      </c>
      <c r="O60" s="63">
        <v>0</v>
      </c>
      <c r="P60" s="63">
        <v>0</v>
      </c>
      <c r="Q60" s="63">
        <v>0</v>
      </c>
      <c r="R60" s="63">
        <v>0</v>
      </c>
      <c r="S60" s="63">
        <v>0</v>
      </c>
      <c r="T60" s="63">
        <v>0</v>
      </c>
      <c r="U60" s="63">
        <v>0</v>
      </c>
      <c r="V60" s="63">
        <v>0</v>
      </c>
      <c r="W60" s="63">
        <v>0</v>
      </c>
      <c r="X60" s="63">
        <v>0</v>
      </c>
      <c r="Y60" s="63">
        <v>0</v>
      </c>
      <c r="Z60" s="63">
        <v>0</v>
      </c>
      <c r="AA60" s="63">
        <v>0</v>
      </c>
      <c r="AB60" s="60">
        <f t="shared" si="1"/>
        <v>0</v>
      </c>
    </row>
    <row r="61" spans="1:28" x14ac:dyDescent="0.25">
      <c r="A61" s="61" t="s">
        <v>911</v>
      </c>
      <c r="B61" s="62" t="s">
        <v>179</v>
      </c>
      <c r="C61" s="62" t="s">
        <v>45</v>
      </c>
      <c r="D61" s="66">
        <v>85</v>
      </c>
      <c r="E61" s="64">
        <v>0</v>
      </c>
      <c r="F61" s="64">
        <v>0</v>
      </c>
      <c r="G61" s="64">
        <v>0</v>
      </c>
      <c r="H61" s="64">
        <v>0</v>
      </c>
      <c r="I61" s="64">
        <v>0</v>
      </c>
      <c r="J61" s="64">
        <v>0</v>
      </c>
      <c r="K61" s="64">
        <v>0</v>
      </c>
      <c r="L61" s="64">
        <v>0</v>
      </c>
      <c r="M61" s="63">
        <v>0</v>
      </c>
      <c r="N61" s="63">
        <v>0</v>
      </c>
      <c r="O61" s="63">
        <v>0</v>
      </c>
      <c r="P61" s="63">
        <v>0</v>
      </c>
      <c r="Q61" s="63">
        <v>0</v>
      </c>
      <c r="R61" s="63">
        <v>0</v>
      </c>
      <c r="S61" s="63">
        <v>0</v>
      </c>
      <c r="T61" s="63">
        <v>0</v>
      </c>
      <c r="U61" s="63">
        <v>0</v>
      </c>
      <c r="V61" s="63">
        <v>0</v>
      </c>
      <c r="W61" s="63">
        <v>0</v>
      </c>
      <c r="X61" s="63">
        <v>0</v>
      </c>
      <c r="Y61" s="63">
        <v>0</v>
      </c>
      <c r="Z61" s="63">
        <v>0</v>
      </c>
      <c r="AA61" s="63">
        <v>0</v>
      </c>
      <c r="AB61" s="60">
        <f t="shared" si="1"/>
        <v>0</v>
      </c>
    </row>
    <row r="62" spans="1:28" x14ac:dyDescent="0.25">
      <c r="A62" s="61" t="s">
        <v>911</v>
      </c>
      <c r="B62" s="62" t="s">
        <v>195</v>
      </c>
      <c r="C62" s="62" t="s">
        <v>45</v>
      </c>
      <c r="D62" s="66">
        <v>86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3">
        <v>0</v>
      </c>
      <c r="N62" s="63">
        <v>0</v>
      </c>
      <c r="O62" s="63">
        <v>0</v>
      </c>
      <c r="P62" s="63">
        <v>0</v>
      </c>
      <c r="Q62" s="63">
        <v>0</v>
      </c>
      <c r="R62" s="63">
        <v>0</v>
      </c>
      <c r="S62" s="63">
        <v>0</v>
      </c>
      <c r="T62" s="63">
        <v>0</v>
      </c>
      <c r="U62" s="63">
        <v>0</v>
      </c>
      <c r="V62" s="63">
        <v>0</v>
      </c>
      <c r="W62" s="63">
        <v>0</v>
      </c>
      <c r="X62" s="63">
        <v>0</v>
      </c>
      <c r="Y62" s="63">
        <v>0</v>
      </c>
      <c r="Z62" s="63">
        <v>0</v>
      </c>
      <c r="AA62" s="63">
        <v>0</v>
      </c>
      <c r="AB62" s="60">
        <f t="shared" si="1"/>
        <v>0</v>
      </c>
    </row>
    <row r="63" spans="1:28" x14ac:dyDescent="0.25">
      <c r="A63" s="163" t="s">
        <v>911</v>
      </c>
      <c r="B63" s="61" t="s">
        <v>902</v>
      </c>
      <c r="C63" s="62" t="s">
        <v>45</v>
      </c>
      <c r="D63" s="66">
        <v>87</v>
      </c>
      <c r="E63" s="64">
        <v>0</v>
      </c>
      <c r="F63" s="64">
        <v>0</v>
      </c>
      <c r="G63" s="64">
        <v>0</v>
      </c>
      <c r="H63" s="64">
        <v>0</v>
      </c>
      <c r="I63" s="64">
        <v>0</v>
      </c>
      <c r="J63" s="64">
        <v>0</v>
      </c>
      <c r="K63" s="64">
        <v>0</v>
      </c>
      <c r="L63" s="64">
        <v>0</v>
      </c>
      <c r="M63" s="63">
        <v>0</v>
      </c>
      <c r="N63" s="63">
        <v>0</v>
      </c>
      <c r="O63" s="63">
        <v>0</v>
      </c>
      <c r="P63" s="63">
        <v>0</v>
      </c>
      <c r="Q63" s="63">
        <v>0</v>
      </c>
      <c r="R63" s="63">
        <v>0</v>
      </c>
      <c r="S63" s="63">
        <v>0</v>
      </c>
      <c r="T63" s="63">
        <v>0</v>
      </c>
      <c r="U63" s="63">
        <v>0</v>
      </c>
      <c r="V63" s="63">
        <v>0</v>
      </c>
      <c r="W63" s="63">
        <v>0</v>
      </c>
      <c r="X63" s="63">
        <v>0</v>
      </c>
      <c r="Y63" s="63">
        <v>0</v>
      </c>
      <c r="Z63" s="63">
        <v>0</v>
      </c>
      <c r="AA63" s="63">
        <v>0</v>
      </c>
      <c r="AB63" s="60">
        <f t="shared" si="1"/>
        <v>0</v>
      </c>
    </row>
    <row r="64" spans="1:28" x14ac:dyDescent="0.25">
      <c r="A64" s="65" t="s">
        <v>911</v>
      </c>
      <c r="B64" s="62" t="s">
        <v>179</v>
      </c>
      <c r="C64" s="62" t="s">
        <v>42</v>
      </c>
      <c r="D64" s="66">
        <v>90</v>
      </c>
      <c r="E64" s="64">
        <v>0</v>
      </c>
      <c r="F64" s="64">
        <v>0</v>
      </c>
      <c r="G64" s="64">
        <v>1</v>
      </c>
      <c r="H64" s="64">
        <v>0</v>
      </c>
      <c r="I64" s="64">
        <v>0</v>
      </c>
      <c r="J64" s="64">
        <v>0</v>
      </c>
      <c r="K64" s="64">
        <v>0</v>
      </c>
      <c r="L64" s="64">
        <v>0</v>
      </c>
      <c r="M64" s="63">
        <v>0</v>
      </c>
      <c r="N64" s="63">
        <v>0</v>
      </c>
      <c r="O64" s="63">
        <v>0</v>
      </c>
      <c r="P64" s="63">
        <v>0</v>
      </c>
      <c r="Q64" s="63">
        <v>0</v>
      </c>
      <c r="R64" s="63">
        <v>0</v>
      </c>
      <c r="S64" s="63">
        <v>0</v>
      </c>
      <c r="T64" s="63">
        <v>0</v>
      </c>
      <c r="U64" s="63">
        <v>0</v>
      </c>
      <c r="V64" s="63">
        <v>0</v>
      </c>
      <c r="W64" s="63">
        <v>0</v>
      </c>
      <c r="X64" s="63">
        <v>0</v>
      </c>
      <c r="Y64" s="63">
        <v>0</v>
      </c>
      <c r="Z64" s="63">
        <v>0</v>
      </c>
      <c r="AA64" s="63">
        <v>0</v>
      </c>
      <c r="AB64" s="60">
        <f t="shared" si="1"/>
        <v>1</v>
      </c>
    </row>
    <row r="65" spans="1:28" x14ac:dyDescent="0.25">
      <c r="A65" s="61" t="s">
        <v>911</v>
      </c>
      <c r="B65" s="62"/>
      <c r="C65" s="62" t="s">
        <v>879</v>
      </c>
      <c r="D65" s="66">
        <v>91</v>
      </c>
      <c r="E65" s="64">
        <v>0</v>
      </c>
      <c r="F65" s="64">
        <v>1</v>
      </c>
      <c r="G65" s="64">
        <v>0</v>
      </c>
      <c r="H65" s="64">
        <v>0</v>
      </c>
      <c r="I65" s="64">
        <v>0</v>
      </c>
      <c r="J65" s="64">
        <v>0</v>
      </c>
      <c r="K65" s="64">
        <v>0</v>
      </c>
      <c r="L65" s="64">
        <v>0</v>
      </c>
      <c r="M65" s="63">
        <v>0</v>
      </c>
      <c r="N65" s="63">
        <v>0</v>
      </c>
      <c r="O65" s="63">
        <v>0</v>
      </c>
      <c r="P65" s="63">
        <v>0</v>
      </c>
      <c r="Q65" s="63">
        <v>0</v>
      </c>
      <c r="R65" s="63">
        <v>0</v>
      </c>
      <c r="S65" s="63">
        <v>0</v>
      </c>
      <c r="T65" s="63">
        <v>0</v>
      </c>
      <c r="U65" s="63">
        <v>0</v>
      </c>
      <c r="V65" s="63">
        <v>0</v>
      </c>
      <c r="W65" s="63">
        <v>0</v>
      </c>
      <c r="X65" s="63">
        <v>0</v>
      </c>
      <c r="Y65" s="63">
        <v>0</v>
      </c>
      <c r="Z65" s="63">
        <v>0</v>
      </c>
      <c r="AA65" s="63">
        <v>0</v>
      </c>
      <c r="AB65" s="60">
        <f t="shared" si="1"/>
        <v>1</v>
      </c>
    </row>
    <row r="66" spans="1:28" x14ac:dyDescent="0.25">
      <c r="A66" s="61" t="s">
        <v>911</v>
      </c>
      <c r="B66" s="62" t="s">
        <v>195</v>
      </c>
      <c r="C66" s="62" t="s">
        <v>42</v>
      </c>
      <c r="D66" s="66">
        <v>92</v>
      </c>
      <c r="E66" s="64">
        <v>0</v>
      </c>
      <c r="F66" s="64">
        <v>0</v>
      </c>
      <c r="G66" s="64">
        <v>0</v>
      </c>
      <c r="H66" s="64">
        <v>1</v>
      </c>
      <c r="I66" s="64">
        <v>0</v>
      </c>
      <c r="J66" s="64">
        <v>0</v>
      </c>
      <c r="K66" s="64">
        <v>0</v>
      </c>
      <c r="L66" s="64">
        <v>0</v>
      </c>
      <c r="M66" s="63">
        <v>0</v>
      </c>
      <c r="N66" s="63">
        <v>0</v>
      </c>
      <c r="O66" s="63">
        <v>0</v>
      </c>
      <c r="P66" s="63">
        <v>0</v>
      </c>
      <c r="Q66" s="63">
        <v>0</v>
      </c>
      <c r="R66" s="63">
        <v>0</v>
      </c>
      <c r="S66" s="63">
        <v>0</v>
      </c>
      <c r="T66" s="63">
        <v>0</v>
      </c>
      <c r="U66" s="63">
        <v>0</v>
      </c>
      <c r="V66" s="63">
        <v>0</v>
      </c>
      <c r="W66" s="63">
        <v>0</v>
      </c>
      <c r="X66" s="63">
        <v>0</v>
      </c>
      <c r="Y66" s="63">
        <v>0</v>
      </c>
      <c r="Z66" s="63">
        <v>0</v>
      </c>
      <c r="AA66" s="63">
        <v>0</v>
      </c>
      <c r="AB66" s="60">
        <f t="shared" ref="AB66:AB97" si="2">SUM(F66:AA66)</f>
        <v>1</v>
      </c>
    </row>
    <row r="67" spans="1:28" x14ac:dyDescent="0.25">
      <c r="A67" s="61" t="s">
        <v>911</v>
      </c>
      <c r="B67" s="62" t="s">
        <v>902</v>
      </c>
      <c r="C67" s="62" t="s">
        <v>42</v>
      </c>
      <c r="D67" s="66">
        <v>93</v>
      </c>
      <c r="E67" s="64">
        <v>0</v>
      </c>
      <c r="F67" s="64">
        <v>0</v>
      </c>
      <c r="G67" s="64">
        <v>0</v>
      </c>
      <c r="H67" s="64">
        <v>0</v>
      </c>
      <c r="I67" s="64">
        <v>0</v>
      </c>
      <c r="J67" s="64">
        <v>1</v>
      </c>
      <c r="K67" s="64">
        <v>0</v>
      </c>
      <c r="L67" s="64">
        <v>0</v>
      </c>
      <c r="M67" s="63">
        <v>0</v>
      </c>
      <c r="N67" s="63">
        <v>0</v>
      </c>
      <c r="O67" s="63">
        <v>0</v>
      </c>
      <c r="P67" s="63">
        <v>0</v>
      </c>
      <c r="Q67" s="63">
        <v>0</v>
      </c>
      <c r="R67" s="63">
        <v>0</v>
      </c>
      <c r="S67" s="63">
        <v>0</v>
      </c>
      <c r="T67" s="63">
        <v>0</v>
      </c>
      <c r="U67" s="63">
        <v>0</v>
      </c>
      <c r="V67" s="63">
        <v>0</v>
      </c>
      <c r="W67" s="63">
        <v>0</v>
      </c>
      <c r="X67" s="63">
        <v>0</v>
      </c>
      <c r="Y67" s="63">
        <v>0</v>
      </c>
      <c r="Z67" s="63">
        <v>0</v>
      </c>
      <c r="AA67" s="63">
        <v>0</v>
      </c>
      <c r="AB67" s="60">
        <f t="shared" si="2"/>
        <v>1</v>
      </c>
    </row>
    <row r="68" spans="1:28" x14ac:dyDescent="0.25">
      <c r="A68" s="61" t="s">
        <v>912</v>
      </c>
      <c r="B68" s="62" t="s">
        <v>195</v>
      </c>
      <c r="C68" s="62" t="s">
        <v>42</v>
      </c>
      <c r="D68" s="66">
        <v>34</v>
      </c>
      <c r="E68" s="64">
        <v>0</v>
      </c>
      <c r="F68" s="64">
        <v>0</v>
      </c>
      <c r="G68" s="64">
        <v>0</v>
      </c>
      <c r="H68" s="64">
        <v>0.33</v>
      </c>
      <c r="I68" s="64">
        <v>0</v>
      </c>
      <c r="J68" s="64">
        <v>0</v>
      </c>
      <c r="K68" s="64">
        <v>7.0000000000000007E-2</v>
      </c>
      <c r="L68" s="64">
        <v>0.2</v>
      </c>
      <c r="M68" s="63">
        <v>0</v>
      </c>
      <c r="N68" s="63">
        <v>0.15</v>
      </c>
      <c r="O68" s="63">
        <v>0.02</v>
      </c>
      <c r="P68" s="63">
        <v>0</v>
      </c>
      <c r="Q68" s="63">
        <v>0.2</v>
      </c>
      <c r="R68" s="63">
        <v>0</v>
      </c>
      <c r="S68" s="63">
        <v>0</v>
      </c>
      <c r="T68" s="63">
        <v>0.03</v>
      </c>
      <c r="U68" s="63">
        <v>0</v>
      </c>
      <c r="V68" s="63">
        <v>0</v>
      </c>
      <c r="W68" s="63">
        <v>0</v>
      </c>
      <c r="X68" s="63">
        <v>0</v>
      </c>
      <c r="Y68" s="63">
        <v>0</v>
      </c>
      <c r="Z68" s="63">
        <v>0</v>
      </c>
      <c r="AA68" s="63">
        <v>0</v>
      </c>
      <c r="AB68" s="60">
        <f t="shared" si="2"/>
        <v>1.0000000000000002</v>
      </c>
    </row>
    <row r="69" spans="1:28" x14ac:dyDescent="0.25">
      <c r="A69" s="61" t="s">
        <v>912</v>
      </c>
      <c r="B69" s="62" t="s">
        <v>195</v>
      </c>
      <c r="C69" s="62" t="s">
        <v>42</v>
      </c>
      <c r="D69" s="66">
        <v>3434</v>
      </c>
      <c r="E69" s="64">
        <v>0</v>
      </c>
      <c r="F69" s="64">
        <v>0</v>
      </c>
      <c r="G69" s="64">
        <v>0</v>
      </c>
      <c r="H69" s="64">
        <v>0</v>
      </c>
      <c r="I69" s="64">
        <v>0</v>
      </c>
      <c r="J69" s="64">
        <v>0.02</v>
      </c>
      <c r="K69" s="64">
        <v>0</v>
      </c>
      <c r="L69" s="64">
        <v>0.37</v>
      </c>
      <c r="M69" s="63">
        <v>0</v>
      </c>
      <c r="N69" s="63">
        <v>0</v>
      </c>
      <c r="O69" s="63">
        <v>0.09</v>
      </c>
      <c r="P69" s="63">
        <v>0</v>
      </c>
      <c r="Q69" s="63">
        <v>0.25</v>
      </c>
      <c r="R69" s="63">
        <v>0.18</v>
      </c>
      <c r="S69" s="63">
        <v>0</v>
      </c>
      <c r="T69" s="63">
        <v>0.09</v>
      </c>
      <c r="U69" s="63">
        <v>0</v>
      </c>
      <c r="V69" s="63">
        <v>0</v>
      </c>
      <c r="W69" s="63">
        <v>0</v>
      </c>
      <c r="X69" s="63">
        <v>0</v>
      </c>
      <c r="Y69" s="63">
        <v>0</v>
      </c>
      <c r="Z69" s="63">
        <v>0</v>
      </c>
      <c r="AA69" s="63">
        <v>0</v>
      </c>
      <c r="AB69" s="60">
        <f t="shared" si="2"/>
        <v>0.99999999999999989</v>
      </c>
    </row>
    <row r="70" spans="1:28" x14ac:dyDescent="0.25">
      <c r="A70" s="61" t="s">
        <v>912</v>
      </c>
      <c r="B70" s="62" t="s">
        <v>881</v>
      </c>
      <c r="C70" s="62" t="s">
        <v>228</v>
      </c>
      <c r="D70" s="66">
        <v>35</v>
      </c>
      <c r="E70" s="64">
        <v>0</v>
      </c>
      <c r="F70" s="64">
        <v>0</v>
      </c>
      <c r="G70" s="64">
        <v>0</v>
      </c>
      <c r="H70" s="64">
        <v>0</v>
      </c>
      <c r="I70" s="64">
        <v>0</v>
      </c>
      <c r="J70" s="64">
        <v>0</v>
      </c>
      <c r="K70" s="64">
        <v>0</v>
      </c>
      <c r="L70" s="64">
        <v>0</v>
      </c>
      <c r="M70" s="63">
        <v>0</v>
      </c>
      <c r="N70" s="63">
        <v>0</v>
      </c>
      <c r="O70" s="63">
        <v>0</v>
      </c>
      <c r="P70" s="63">
        <v>0</v>
      </c>
      <c r="Q70" s="63">
        <v>0</v>
      </c>
      <c r="R70" s="63">
        <v>0</v>
      </c>
      <c r="S70" s="63">
        <v>0</v>
      </c>
      <c r="T70" s="63">
        <v>0</v>
      </c>
      <c r="U70" s="63">
        <v>0</v>
      </c>
      <c r="V70" s="63">
        <v>0</v>
      </c>
      <c r="W70" s="63">
        <v>0</v>
      </c>
      <c r="X70" s="63">
        <v>0</v>
      </c>
      <c r="Y70" s="63">
        <v>0</v>
      </c>
      <c r="Z70" s="63">
        <v>0</v>
      </c>
      <c r="AA70" s="63">
        <v>0</v>
      </c>
      <c r="AB70" s="60">
        <f t="shared" si="2"/>
        <v>0</v>
      </c>
    </row>
    <row r="71" spans="1:28" x14ac:dyDescent="0.25">
      <c r="A71" s="61" t="s">
        <v>913</v>
      </c>
      <c r="B71" s="62" t="s">
        <v>179</v>
      </c>
      <c r="C71" s="62" t="s">
        <v>42</v>
      </c>
      <c r="D71" s="66">
        <v>36</v>
      </c>
      <c r="E71" s="64">
        <v>0</v>
      </c>
      <c r="F71" s="64">
        <v>0</v>
      </c>
      <c r="G71" s="64">
        <v>0</v>
      </c>
      <c r="H71" s="64">
        <v>0</v>
      </c>
      <c r="I71" s="64">
        <v>0</v>
      </c>
      <c r="J71" s="64">
        <v>0</v>
      </c>
      <c r="K71" s="64">
        <v>0</v>
      </c>
      <c r="L71" s="64">
        <v>0</v>
      </c>
      <c r="M71" s="63">
        <v>0</v>
      </c>
      <c r="N71" s="63">
        <v>0</v>
      </c>
      <c r="O71" s="63">
        <v>0</v>
      </c>
      <c r="P71" s="63">
        <v>0</v>
      </c>
      <c r="Q71" s="63">
        <v>0</v>
      </c>
      <c r="R71" s="63">
        <v>0</v>
      </c>
      <c r="S71" s="63">
        <v>0</v>
      </c>
      <c r="T71" s="63">
        <v>0</v>
      </c>
      <c r="U71" s="63">
        <v>0</v>
      </c>
      <c r="V71" s="63">
        <v>0</v>
      </c>
      <c r="W71" s="63">
        <v>0</v>
      </c>
      <c r="X71" s="63">
        <v>0</v>
      </c>
      <c r="Y71" s="63">
        <v>0</v>
      </c>
      <c r="Z71" s="63">
        <v>0</v>
      </c>
      <c r="AA71" s="63">
        <v>0</v>
      </c>
      <c r="AB71" s="60">
        <f t="shared" si="2"/>
        <v>0</v>
      </c>
    </row>
    <row r="72" spans="1:28" x14ac:dyDescent="0.25">
      <c r="A72" s="61" t="s">
        <v>913</v>
      </c>
      <c r="B72" s="62" t="s">
        <v>179</v>
      </c>
      <c r="C72" s="62" t="s">
        <v>42</v>
      </c>
      <c r="D72" s="66">
        <v>99</v>
      </c>
      <c r="E72" s="64">
        <v>0</v>
      </c>
      <c r="F72" s="64">
        <v>0</v>
      </c>
      <c r="G72" s="64">
        <v>1</v>
      </c>
      <c r="H72" s="64">
        <v>0</v>
      </c>
      <c r="I72" s="64">
        <v>0</v>
      </c>
      <c r="J72" s="64">
        <v>0</v>
      </c>
      <c r="K72" s="64">
        <v>0</v>
      </c>
      <c r="L72" s="64">
        <v>0</v>
      </c>
      <c r="M72" s="63">
        <v>0</v>
      </c>
      <c r="N72" s="63">
        <v>0</v>
      </c>
      <c r="O72" s="63">
        <v>0</v>
      </c>
      <c r="P72" s="63">
        <v>0</v>
      </c>
      <c r="Q72" s="63">
        <v>0</v>
      </c>
      <c r="R72" s="63">
        <v>0</v>
      </c>
      <c r="S72" s="63">
        <v>0</v>
      </c>
      <c r="T72" s="63">
        <v>0</v>
      </c>
      <c r="U72" s="63">
        <v>0</v>
      </c>
      <c r="V72" s="63">
        <v>0</v>
      </c>
      <c r="W72" s="63">
        <v>0</v>
      </c>
      <c r="X72" s="63">
        <v>0</v>
      </c>
      <c r="Y72" s="63">
        <v>0</v>
      </c>
      <c r="Z72" s="63">
        <v>0</v>
      </c>
      <c r="AA72" s="63">
        <v>0</v>
      </c>
      <c r="AB72" s="60">
        <f t="shared" si="2"/>
        <v>1</v>
      </c>
    </row>
    <row r="73" spans="1:28" x14ac:dyDescent="0.25">
      <c r="A73" s="61" t="s">
        <v>913</v>
      </c>
      <c r="B73" s="62" t="s">
        <v>179</v>
      </c>
      <c r="C73" s="62" t="s">
        <v>42</v>
      </c>
      <c r="D73" s="66">
        <v>98</v>
      </c>
      <c r="E73" s="64">
        <v>0</v>
      </c>
      <c r="F73" s="64">
        <v>0</v>
      </c>
      <c r="G73" s="64">
        <v>0</v>
      </c>
      <c r="H73" s="64">
        <v>0</v>
      </c>
      <c r="I73" s="64">
        <v>0</v>
      </c>
      <c r="J73" s="64">
        <v>0</v>
      </c>
      <c r="K73" s="64">
        <v>0</v>
      </c>
      <c r="L73" s="64">
        <v>0</v>
      </c>
      <c r="M73" s="63">
        <v>0</v>
      </c>
      <c r="N73" s="63">
        <v>0</v>
      </c>
      <c r="O73" s="63">
        <v>0</v>
      </c>
      <c r="P73" s="63">
        <v>0</v>
      </c>
      <c r="Q73" s="63">
        <v>0</v>
      </c>
      <c r="R73" s="63">
        <v>0</v>
      </c>
      <c r="S73" s="63">
        <v>0</v>
      </c>
      <c r="T73" s="63">
        <v>0</v>
      </c>
      <c r="U73" s="63">
        <v>0</v>
      </c>
      <c r="V73" s="63">
        <v>0</v>
      </c>
      <c r="W73" s="63">
        <v>0</v>
      </c>
      <c r="X73" s="63">
        <v>0</v>
      </c>
      <c r="Y73" s="63">
        <v>0</v>
      </c>
      <c r="Z73" s="63">
        <v>0</v>
      </c>
      <c r="AA73" s="63">
        <v>0</v>
      </c>
      <c r="AB73" s="60">
        <f t="shared" si="2"/>
        <v>0</v>
      </c>
    </row>
    <row r="74" spans="1:28" x14ac:dyDescent="0.25">
      <c r="A74" s="61" t="s">
        <v>914</v>
      </c>
      <c r="B74" s="62" t="s">
        <v>179</v>
      </c>
      <c r="C74" s="62" t="s">
        <v>42</v>
      </c>
      <c r="D74" s="66">
        <v>425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3">
        <v>0</v>
      </c>
      <c r="N74" s="63">
        <v>0</v>
      </c>
      <c r="O74" s="63">
        <v>0</v>
      </c>
      <c r="P74" s="63">
        <v>0</v>
      </c>
      <c r="Q74" s="63">
        <v>0</v>
      </c>
      <c r="R74" s="63">
        <v>0</v>
      </c>
      <c r="S74" s="63">
        <v>0</v>
      </c>
      <c r="T74" s="63">
        <v>0</v>
      </c>
      <c r="U74" s="63">
        <v>0</v>
      </c>
      <c r="V74" s="63">
        <v>0</v>
      </c>
      <c r="W74" s="63">
        <v>0</v>
      </c>
      <c r="X74" s="63">
        <v>0</v>
      </c>
      <c r="Y74" s="63">
        <v>0</v>
      </c>
      <c r="Z74" s="63">
        <v>0</v>
      </c>
      <c r="AA74" s="63">
        <v>0</v>
      </c>
      <c r="AB74" s="60">
        <f t="shared" si="2"/>
        <v>0</v>
      </c>
    </row>
    <row r="75" spans="1:28" x14ac:dyDescent="0.25">
      <c r="A75" s="61" t="s">
        <v>914</v>
      </c>
      <c r="B75" s="62" t="s">
        <v>179</v>
      </c>
      <c r="C75" s="62" t="s">
        <v>42</v>
      </c>
      <c r="D75" s="66">
        <v>525</v>
      </c>
      <c r="E75" s="64">
        <v>0</v>
      </c>
      <c r="F75" s="64">
        <v>0</v>
      </c>
      <c r="G75" s="64">
        <v>0</v>
      </c>
      <c r="H75" s="64">
        <v>0</v>
      </c>
      <c r="I75" s="64">
        <v>0</v>
      </c>
      <c r="J75" s="64">
        <v>0</v>
      </c>
      <c r="K75" s="64">
        <v>0</v>
      </c>
      <c r="L75" s="64">
        <v>0</v>
      </c>
      <c r="M75" s="63">
        <v>0</v>
      </c>
      <c r="N75" s="63">
        <v>0</v>
      </c>
      <c r="O75" s="63">
        <v>0</v>
      </c>
      <c r="P75" s="63">
        <v>0</v>
      </c>
      <c r="Q75" s="63">
        <v>0</v>
      </c>
      <c r="R75" s="63">
        <v>0</v>
      </c>
      <c r="S75" s="63">
        <v>0</v>
      </c>
      <c r="T75" s="63">
        <v>0</v>
      </c>
      <c r="U75" s="63">
        <v>0</v>
      </c>
      <c r="V75" s="63">
        <v>0</v>
      </c>
      <c r="W75" s="63">
        <v>0</v>
      </c>
      <c r="X75" s="63">
        <v>0</v>
      </c>
      <c r="Y75" s="63">
        <v>0</v>
      </c>
      <c r="Z75" s="63">
        <v>0</v>
      </c>
      <c r="AA75" s="63">
        <v>0</v>
      </c>
      <c r="AB75" s="60">
        <f t="shared" si="2"/>
        <v>0</v>
      </c>
    </row>
    <row r="76" spans="1:28" x14ac:dyDescent="0.25">
      <c r="A76" s="61" t="s">
        <v>914</v>
      </c>
      <c r="B76" s="62" t="s">
        <v>179</v>
      </c>
      <c r="C76" s="62" t="s">
        <v>42</v>
      </c>
      <c r="D76" s="66">
        <v>625</v>
      </c>
      <c r="E76" s="64">
        <v>0</v>
      </c>
      <c r="F76" s="64">
        <v>0</v>
      </c>
      <c r="G76" s="64">
        <v>0.25</v>
      </c>
      <c r="H76" s="64">
        <v>0</v>
      </c>
      <c r="I76" s="64">
        <v>0</v>
      </c>
      <c r="J76" s="64">
        <v>0</v>
      </c>
      <c r="K76" s="64">
        <v>0.35</v>
      </c>
      <c r="L76" s="64">
        <v>0</v>
      </c>
      <c r="M76" s="63">
        <v>0</v>
      </c>
      <c r="N76" s="63">
        <v>0</v>
      </c>
      <c r="O76" s="63">
        <v>0</v>
      </c>
      <c r="P76" s="63">
        <v>0.4</v>
      </c>
      <c r="Q76" s="63">
        <v>0</v>
      </c>
      <c r="R76" s="63">
        <v>0</v>
      </c>
      <c r="S76" s="63">
        <v>0</v>
      </c>
      <c r="T76" s="63">
        <v>0</v>
      </c>
      <c r="U76" s="63">
        <v>0</v>
      </c>
      <c r="V76" s="63">
        <v>0</v>
      </c>
      <c r="W76" s="63">
        <v>0</v>
      </c>
      <c r="X76" s="63">
        <v>0</v>
      </c>
      <c r="Y76" s="63">
        <v>0</v>
      </c>
      <c r="Z76" s="63">
        <v>0</v>
      </c>
      <c r="AA76" s="63">
        <v>0</v>
      </c>
      <c r="AB76" s="60">
        <f t="shared" si="2"/>
        <v>1</v>
      </c>
    </row>
    <row r="77" spans="1:28" x14ac:dyDescent="0.25">
      <c r="A77" s="61" t="s">
        <v>915</v>
      </c>
      <c r="B77" s="62" t="s">
        <v>195</v>
      </c>
      <c r="C77" s="62" t="s">
        <v>228</v>
      </c>
      <c r="D77" s="66">
        <v>56</v>
      </c>
      <c r="E77" s="64">
        <v>0</v>
      </c>
      <c r="F77" s="64">
        <v>0</v>
      </c>
      <c r="G77" s="64">
        <v>0</v>
      </c>
      <c r="H77" s="64">
        <v>0</v>
      </c>
      <c r="I77" s="64">
        <v>0</v>
      </c>
      <c r="J77" s="64">
        <v>0</v>
      </c>
      <c r="K77" s="64">
        <v>0</v>
      </c>
      <c r="L77" s="64">
        <v>0</v>
      </c>
      <c r="M77" s="63">
        <v>0</v>
      </c>
      <c r="N77" s="63">
        <v>0</v>
      </c>
      <c r="O77" s="63">
        <v>0</v>
      </c>
      <c r="P77" s="63">
        <v>0</v>
      </c>
      <c r="Q77" s="63">
        <v>0</v>
      </c>
      <c r="R77" s="63">
        <v>0</v>
      </c>
      <c r="S77" s="63">
        <v>0</v>
      </c>
      <c r="T77" s="63">
        <v>0</v>
      </c>
      <c r="U77" s="63">
        <v>0</v>
      </c>
      <c r="V77" s="63">
        <v>0</v>
      </c>
      <c r="W77" s="63">
        <v>0</v>
      </c>
      <c r="X77" s="63">
        <v>0</v>
      </c>
      <c r="Y77" s="63">
        <v>0</v>
      </c>
      <c r="Z77" s="63">
        <v>0</v>
      </c>
      <c r="AA77" s="63">
        <v>0</v>
      </c>
      <c r="AB77" s="60">
        <f t="shared" si="2"/>
        <v>0</v>
      </c>
    </row>
    <row r="78" spans="1:28" x14ac:dyDescent="0.25">
      <c r="A78" s="61" t="s">
        <v>916</v>
      </c>
      <c r="B78" s="62" t="s">
        <v>878</v>
      </c>
      <c r="C78" s="62" t="s">
        <v>878</v>
      </c>
      <c r="D78" s="66">
        <v>37</v>
      </c>
      <c r="E78" s="64">
        <v>0</v>
      </c>
      <c r="F78" s="64">
        <v>0</v>
      </c>
      <c r="G78" s="64">
        <v>0</v>
      </c>
      <c r="H78" s="64">
        <v>0</v>
      </c>
      <c r="I78" s="64">
        <v>0</v>
      </c>
      <c r="J78" s="64">
        <v>0</v>
      </c>
      <c r="K78" s="64">
        <v>0</v>
      </c>
      <c r="L78" s="64">
        <v>0</v>
      </c>
      <c r="M78" s="63">
        <v>0</v>
      </c>
      <c r="N78" s="63">
        <v>0</v>
      </c>
      <c r="O78" s="63">
        <v>0</v>
      </c>
      <c r="P78" s="63">
        <v>0</v>
      </c>
      <c r="Q78" s="63">
        <v>0</v>
      </c>
      <c r="R78" s="63">
        <v>0</v>
      </c>
      <c r="S78" s="63">
        <v>0</v>
      </c>
      <c r="T78" s="63">
        <v>0</v>
      </c>
      <c r="U78" s="63">
        <v>0</v>
      </c>
      <c r="V78" s="63">
        <v>0</v>
      </c>
      <c r="W78" s="63">
        <v>0</v>
      </c>
      <c r="X78" s="63">
        <v>0</v>
      </c>
      <c r="Y78" s="63">
        <v>0</v>
      </c>
      <c r="Z78" s="63">
        <v>0</v>
      </c>
      <c r="AA78" s="63">
        <v>0</v>
      </c>
      <c r="AB78" s="60">
        <f t="shared" si="2"/>
        <v>0</v>
      </c>
    </row>
    <row r="79" spans="1:28" x14ac:dyDescent="0.25">
      <c r="A79" s="61" t="s">
        <v>917</v>
      </c>
      <c r="B79" s="62" t="s">
        <v>195</v>
      </c>
      <c r="C79" s="62" t="s">
        <v>228</v>
      </c>
      <c r="D79" s="66">
        <v>95</v>
      </c>
      <c r="E79" s="64">
        <v>0</v>
      </c>
      <c r="F79" s="64">
        <v>0</v>
      </c>
      <c r="G79" s="64">
        <v>0</v>
      </c>
      <c r="H79" s="64">
        <v>0</v>
      </c>
      <c r="I79" s="64">
        <v>0</v>
      </c>
      <c r="J79" s="64">
        <v>0</v>
      </c>
      <c r="K79" s="64">
        <v>0</v>
      </c>
      <c r="L79" s="64">
        <v>0</v>
      </c>
      <c r="M79" s="63">
        <v>0</v>
      </c>
      <c r="N79" s="63">
        <v>0</v>
      </c>
      <c r="O79" s="63">
        <v>0</v>
      </c>
      <c r="P79" s="63">
        <v>0</v>
      </c>
      <c r="Q79" s="63">
        <v>0.5</v>
      </c>
      <c r="R79" s="63">
        <v>0.5</v>
      </c>
      <c r="S79" s="63">
        <v>0</v>
      </c>
      <c r="T79" s="63">
        <v>0</v>
      </c>
      <c r="U79" s="63">
        <v>0</v>
      </c>
      <c r="V79" s="63">
        <v>0</v>
      </c>
      <c r="W79" s="63">
        <v>0</v>
      </c>
      <c r="X79" s="63">
        <v>0</v>
      </c>
      <c r="Y79" s="63">
        <v>0</v>
      </c>
      <c r="Z79" s="63">
        <v>0</v>
      </c>
      <c r="AA79" s="63">
        <v>0</v>
      </c>
      <c r="AB79" s="60">
        <f t="shared" si="2"/>
        <v>1</v>
      </c>
    </row>
    <row r="80" spans="1:28" x14ac:dyDescent="0.25">
      <c r="A80" s="61" t="s">
        <v>253</v>
      </c>
      <c r="B80" s="62" t="s">
        <v>195</v>
      </c>
      <c r="C80" s="62" t="s">
        <v>45</v>
      </c>
      <c r="D80" s="66">
        <v>57</v>
      </c>
      <c r="E80" s="64">
        <v>0</v>
      </c>
      <c r="F80" s="64">
        <v>0</v>
      </c>
      <c r="G80" s="64">
        <v>0</v>
      </c>
      <c r="H80" s="64">
        <v>0</v>
      </c>
      <c r="I80" s="64">
        <v>0</v>
      </c>
      <c r="J80" s="64">
        <v>0</v>
      </c>
      <c r="K80" s="64">
        <v>0</v>
      </c>
      <c r="L80" s="64">
        <v>0</v>
      </c>
      <c r="M80" s="63">
        <v>0</v>
      </c>
      <c r="N80" s="63">
        <v>0</v>
      </c>
      <c r="O80" s="63">
        <v>0</v>
      </c>
      <c r="P80" s="63">
        <v>0</v>
      </c>
      <c r="Q80" s="63">
        <v>0</v>
      </c>
      <c r="R80" s="63">
        <v>0</v>
      </c>
      <c r="S80" s="63">
        <v>0</v>
      </c>
      <c r="T80" s="63">
        <v>0</v>
      </c>
      <c r="U80" s="63">
        <v>0</v>
      </c>
      <c r="V80" s="63">
        <v>0</v>
      </c>
      <c r="W80" s="63">
        <v>0</v>
      </c>
      <c r="X80" s="63">
        <v>0</v>
      </c>
      <c r="Y80" s="63">
        <v>0</v>
      </c>
      <c r="Z80" s="63">
        <v>0</v>
      </c>
      <c r="AA80" s="63">
        <v>0</v>
      </c>
      <c r="AB80" s="60">
        <f t="shared" si="2"/>
        <v>0</v>
      </c>
    </row>
    <row r="81" spans="1:28" x14ac:dyDescent="0.25">
      <c r="A81" s="61" t="s">
        <v>918</v>
      </c>
      <c r="B81" s="62" t="s">
        <v>878</v>
      </c>
      <c r="C81" s="62" t="s">
        <v>919</v>
      </c>
      <c r="D81" s="66">
        <v>39</v>
      </c>
      <c r="E81" s="64">
        <v>0</v>
      </c>
      <c r="F81" s="64">
        <v>0</v>
      </c>
      <c r="G81" s="64">
        <v>0</v>
      </c>
      <c r="H81" s="64">
        <v>0</v>
      </c>
      <c r="I81" s="64">
        <v>0</v>
      </c>
      <c r="J81" s="64">
        <v>0</v>
      </c>
      <c r="K81" s="64">
        <v>0</v>
      </c>
      <c r="L81" s="64">
        <v>0</v>
      </c>
      <c r="M81" s="63">
        <v>0</v>
      </c>
      <c r="N81" s="63">
        <v>0</v>
      </c>
      <c r="O81" s="63">
        <v>0</v>
      </c>
      <c r="P81" s="63">
        <v>0</v>
      </c>
      <c r="Q81" s="63">
        <v>0</v>
      </c>
      <c r="R81" s="63">
        <v>0</v>
      </c>
      <c r="S81" s="63">
        <v>0</v>
      </c>
      <c r="T81" s="63">
        <v>0</v>
      </c>
      <c r="U81" s="63">
        <v>0</v>
      </c>
      <c r="V81" s="63">
        <v>0</v>
      </c>
      <c r="W81" s="63">
        <v>0</v>
      </c>
      <c r="X81" s="63">
        <v>0</v>
      </c>
      <c r="Y81" s="63">
        <v>0</v>
      </c>
      <c r="Z81" s="63">
        <v>0</v>
      </c>
      <c r="AA81" s="63">
        <v>0</v>
      </c>
      <c r="AB81" s="60">
        <f t="shared" si="2"/>
        <v>0</v>
      </c>
    </row>
    <row r="82" spans="1:28" x14ac:dyDescent="0.25">
      <c r="A82" s="61" t="s">
        <v>918</v>
      </c>
      <c r="B82" s="62" t="s">
        <v>881</v>
      </c>
      <c r="C82" s="62" t="s">
        <v>882</v>
      </c>
      <c r="D82" s="66">
        <v>38</v>
      </c>
      <c r="E82" s="64">
        <v>0</v>
      </c>
      <c r="F82" s="64">
        <v>0</v>
      </c>
      <c r="G82" s="64">
        <v>0</v>
      </c>
      <c r="H82" s="64">
        <v>0</v>
      </c>
      <c r="I82" s="64">
        <v>0</v>
      </c>
      <c r="J82" s="64">
        <v>0</v>
      </c>
      <c r="K82" s="64">
        <v>0</v>
      </c>
      <c r="L82" s="64">
        <v>0</v>
      </c>
      <c r="M82" s="63">
        <v>0</v>
      </c>
      <c r="N82" s="63">
        <v>0</v>
      </c>
      <c r="O82" s="63">
        <v>0</v>
      </c>
      <c r="P82" s="63">
        <v>0</v>
      </c>
      <c r="Q82" s="63">
        <v>0</v>
      </c>
      <c r="R82" s="63">
        <v>0</v>
      </c>
      <c r="S82" s="63">
        <v>0</v>
      </c>
      <c r="T82" s="63">
        <v>0</v>
      </c>
      <c r="U82" s="63">
        <v>0</v>
      </c>
      <c r="V82" s="63">
        <v>0</v>
      </c>
      <c r="W82" s="63">
        <v>0</v>
      </c>
      <c r="X82" s="63">
        <v>0</v>
      </c>
      <c r="Y82" s="63">
        <v>0</v>
      </c>
      <c r="Z82" s="63">
        <v>0</v>
      </c>
      <c r="AA82" s="63">
        <v>0</v>
      </c>
      <c r="AB82" s="60">
        <f t="shared" si="2"/>
        <v>0</v>
      </c>
    </row>
    <row r="83" spans="1:28" x14ac:dyDescent="0.25">
      <c r="A83" s="61" t="s">
        <v>920</v>
      </c>
      <c r="B83" s="62" t="s">
        <v>878</v>
      </c>
      <c r="C83" s="62" t="s">
        <v>878</v>
      </c>
      <c r="D83" s="66">
        <v>40</v>
      </c>
      <c r="E83" s="64">
        <v>0</v>
      </c>
      <c r="F83" s="64">
        <v>0</v>
      </c>
      <c r="G83" s="64">
        <v>0</v>
      </c>
      <c r="H83" s="64">
        <v>0</v>
      </c>
      <c r="I83" s="64">
        <v>0</v>
      </c>
      <c r="J83" s="64">
        <v>0</v>
      </c>
      <c r="K83" s="64">
        <v>0</v>
      </c>
      <c r="L83" s="64">
        <v>0</v>
      </c>
      <c r="M83" s="63">
        <v>0</v>
      </c>
      <c r="N83" s="63">
        <v>0</v>
      </c>
      <c r="O83" s="63">
        <v>0</v>
      </c>
      <c r="P83" s="63">
        <v>0</v>
      </c>
      <c r="Q83" s="63">
        <v>0</v>
      </c>
      <c r="R83" s="63">
        <v>0</v>
      </c>
      <c r="S83" s="63">
        <v>0</v>
      </c>
      <c r="T83" s="63">
        <v>0</v>
      </c>
      <c r="U83" s="63">
        <v>0</v>
      </c>
      <c r="V83" s="63">
        <v>0</v>
      </c>
      <c r="W83" s="63">
        <v>0</v>
      </c>
      <c r="X83" s="63">
        <v>0</v>
      </c>
      <c r="Y83" s="63">
        <v>0</v>
      </c>
      <c r="Z83" s="63">
        <v>0</v>
      </c>
      <c r="AA83" s="63">
        <v>0</v>
      </c>
      <c r="AB83" s="60">
        <f t="shared" si="2"/>
        <v>0</v>
      </c>
    </row>
    <row r="84" spans="1:28" x14ac:dyDescent="0.25">
      <c r="A84" s="61" t="s">
        <v>921</v>
      </c>
      <c r="B84" s="62" t="s">
        <v>878</v>
      </c>
      <c r="C84" s="62" t="s">
        <v>878</v>
      </c>
      <c r="D84" s="66">
        <v>41</v>
      </c>
      <c r="E84" s="64">
        <v>0</v>
      </c>
      <c r="F84" s="64">
        <v>0</v>
      </c>
      <c r="G84" s="64">
        <v>0</v>
      </c>
      <c r="H84" s="64">
        <v>0</v>
      </c>
      <c r="I84" s="64">
        <v>0</v>
      </c>
      <c r="J84" s="64">
        <v>0</v>
      </c>
      <c r="K84" s="64">
        <v>0</v>
      </c>
      <c r="L84" s="64">
        <v>0</v>
      </c>
      <c r="M84" s="63">
        <v>0</v>
      </c>
      <c r="N84" s="63">
        <v>0</v>
      </c>
      <c r="O84" s="63">
        <v>0</v>
      </c>
      <c r="P84" s="63">
        <v>0</v>
      </c>
      <c r="Q84" s="63">
        <v>0</v>
      </c>
      <c r="R84" s="63">
        <v>0</v>
      </c>
      <c r="S84" s="63">
        <v>0</v>
      </c>
      <c r="T84" s="63">
        <v>0</v>
      </c>
      <c r="U84" s="63">
        <v>0</v>
      </c>
      <c r="V84" s="63">
        <v>0</v>
      </c>
      <c r="W84" s="63">
        <v>0</v>
      </c>
      <c r="X84" s="63">
        <v>0</v>
      </c>
      <c r="Y84" s="63">
        <v>0</v>
      </c>
      <c r="Z84" s="63">
        <v>0</v>
      </c>
      <c r="AA84" s="63">
        <v>0</v>
      </c>
      <c r="AB84" s="60">
        <f t="shared" si="2"/>
        <v>0</v>
      </c>
    </row>
    <row r="85" spans="1:28" x14ac:dyDescent="0.25">
      <c r="A85" s="61" t="s">
        <v>922</v>
      </c>
      <c r="B85" s="62" t="s">
        <v>878</v>
      </c>
      <c r="C85" s="62" t="s">
        <v>919</v>
      </c>
      <c r="D85" s="66">
        <v>42</v>
      </c>
      <c r="E85" s="64">
        <v>0</v>
      </c>
      <c r="F85" s="64">
        <v>0</v>
      </c>
      <c r="G85" s="64">
        <v>0</v>
      </c>
      <c r="H85" s="64">
        <v>0</v>
      </c>
      <c r="I85" s="64">
        <v>0</v>
      </c>
      <c r="J85" s="64">
        <v>0</v>
      </c>
      <c r="K85" s="64">
        <v>0</v>
      </c>
      <c r="L85" s="64">
        <v>0</v>
      </c>
      <c r="M85" s="63">
        <v>0</v>
      </c>
      <c r="N85" s="63">
        <v>0</v>
      </c>
      <c r="O85" s="63">
        <v>0</v>
      </c>
      <c r="P85" s="63">
        <v>0</v>
      </c>
      <c r="Q85" s="63">
        <v>0</v>
      </c>
      <c r="R85" s="63">
        <v>0</v>
      </c>
      <c r="S85" s="63">
        <v>0</v>
      </c>
      <c r="T85" s="63">
        <v>0</v>
      </c>
      <c r="U85" s="63">
        <v>0</v>
      </c>
      <c r="V85" s="63">
        <v>0</v>
      </c>
      <c r="W85" s="63">
        <v>0</v>
      </c>
      <c r="X85" s="63">
        <v>0</v>
      </c>
      <c r="Y85" s="63">
        <v>0</v>
      </c>
      <c r="Z85" s="63">
        <v>0</v>
      </c>
      <c r="AA85" s="63">
        <v>1</v>
      </c>
      <c r="AB85" s="60">
        <f t="shared" si="2"/>
        <v>1</v>
      </c>
    </row>
    <row r="86" spans="1:28" x14ac:dyDescent="0.25">
      <c r="A86" s="61" t="s">
        <v>923</v>
      </c>
      <c r="B86" s="62" t="s">
        <v>179</v>
      </c>
      <c r="C86" s="62" t="s">
        <v>228</v>
      </c>
      <c r="D86" s="66">
        <v>71</v>
      </c>
      <c r="E86" s="64">
        <v>0</v>
      </c>
      <c r="F86" s="64">
        <v>0</v>
      </c>
      <c r="G86" s="64">
        <v>0</v>
      </c>
      <c r="H86" s="64">
        <v>0</v>
      </c>
      <c r="I86" s="64">
        <v>0</v>
      </c>
      <c r="J86" s="64">
        <v>0</v>
      </c>
      <c r="K86" s="64">
        <v>0</v>
      </c>
      <c r="L86" s="64">
        <v>0</v>
      </c>
      <c r="M86" s="63">
        <v>0</v>
      </c>
      <c r="N86" s="63">
        <v>0</v>
      </c>
      <c r="O86" s="63">
        <v>0</v>
      </c>
      <c r="P86" s="63">
        <v>0</v>
      </c>
      <c r="Q86" s="63">
        <v>0</v>
      </c>
      <c r="R86" s="63">
        <v>0</v>
      </c>
      <c r="S86" s="63">
        <v>0</v>
      </c>
      <c r="T86" s="63">
        <v>0</v>
      </c>
      <c r="U86" s="63">
        <v>0</v>
      </c>
      <c r="V86" s="63">
        <v>0</v>
      </c>
      <c r="W86" s="63">
        <v>0</v>
      </c>
      <c r="X86" s="63">
        <v>0</v>
      </c>
      <c r="Y86" s="63">
        <v>0</v>
      </c>
      <c r="Z86" s="63">
        <v>0</v>
      </c>
      <c r="AA86" s="63">
        <v>0</v>
      </c>
      <c r="AB86" s="60">
        <f t="shared" si="2"/>
        <v>0</v>
      </c>
    </row>
    <row r="87" spans="1:28" x14ac:dyDescent="0.25">
      <c r="A87" s="61" t="s">
        <v>923</v>
      </c>
      <c r="B87" s="62" t="s">
        <v>179</v>
      </c>
      <c r="C87" s="62" t="s">
        <v>42</v>
      </c>
      <c r="D87" s="66">
        <v>720425</v>
      </c>
      <c r="E87" s="64">
        <v>0</v>
      </c>
      <c r="F87" s="64">
        <v>0</v>
      </c>
      <c r="G87" s="64">
        <v>0</v>
      </c>
      <c r="H87" s="64">
        <v>0</v>
      </c>
      <c r="I87" s="64">
        <v>0</v>
      </c>
      <c r="J87" s="64">
        <v>0</v>
      </c>
      <c r="K87" s="64">
        <v>0</v>
      </c>
      <c r="L87" s="64">
        <v>0</v>
      </c>
      <c r="M87" s="63">
        <v>0</v>
      </c>
      <c r="N87" s="63">
        <v>0</v>
      </c>
      <c r="O87" s="63">
        <v>0</v>
      </c>
      <c r="P87" s="63">
        <v>0</v>
      </c>
      <c r="Q87" s="63">
        <v>0</v>
      </c>
      <c r="R87" s="63">
        <v>0</v>
      </c>
      <c r="S87" s="63">
        <v>0</v>
      </c>
      <c r="T87" s="63">
        <v>0</v>
      </c>
      <c r="U87" s="63">
        <v>0</v>
      </c>
      <c r="V87" s="63">
        <v>0</v>
      </c>
      <c r="W87" s="63">
        <v>0</v>
      </c>
      <c r="X87" s="63">
        <v>0</v>
      </c>
      <c r="Y87" s="63">
        <v>0</v>
      </c>
      <c r="Z87" s="63">
        <v>0</v>
      </c>
      <c r="AA87" s="63">
        <v>0</v>
      </c>
      <c r="AB87" s="60">
        <f t="shared" si="2"/>
        <v>0</v>
      </c>
    </row>
    <row r="88" spans="1:28" x14ac:dyDescent="0.25">
      <c r="A88" s="61" t="s">
        <v>923</v>
      </c>
      <c r="B88" s="62" t="s">
        <v>179</v>
      </c>
      <c r="C88" s="62" t="s">
        <v>42</v>
      </c>
      <c r="D88" s="66">
        <v>72</v>
      </c>
      <c r="E88" s="64">
        <v>0</v>
      </c>
      <c r="F88" s="64">
        <v>0</v>
      </c>
      <c r="G88" s="64">
        <v>0</v>
      </c>
      <c r="H88" s="64">
        <v>0</v>
      </c>
      <c r="I88" s="64">
        <v>0</v>
      </c>
      <c r="J88" s="64">
        <v>0</v>
      </c>
      <c r="K88" s="64">
        <v>0</v>
      </c>
      <c r="L88" s="64">
        <v>0</v>
      </c>
      <c r="M88" s="63">
        <v>0</v>
      </c>
      <c r="N88" s="63">
        <v>0</v>
      </c>
      <c r="O88" s="63">
        <v>0</v>
      </c>
      <c r="P88" s="63">
        <v>0</v>
      </c>
      <c r="Q88" s="63">
        <v>0</v>
      </c>
      <c r="R88" s="63">
        <v>0</v>
      </c>
      <c r="S88" s="63">
        <v>0</v>
      </c>
      <c r="T88" s="63">
        <v>0</v>
      </c>
      <c r="U88" s="63">
        <v>0</v>
      </c>
      <c r="V88" s="63">
        <v>0</v>
      </c>
      <c r="W88" s="63">
        <v>0</v>
      </c>
      <c r="X88" s="63">
        <v>0</v>
      </c>
      <c r="Y88" s="63">
        <v>0</v>
      </c>
      <c r="Z88" s="63">
        <v>0</v>
      </c>
      <c r="AA88" s="63">
        <v>0</v>
      </c>
      <c r="AB88" s="60">
        <f t="shared" si="2"/>
        <v>0</v>
      </c>
    </row>
    <row r="89" spans="1:28" x14ac:dyDescent="0.25">
      <c r="A89" s="61" t="s">
        <v>588</v>
      </c>
      <c r="B89" s="62" t="s">
        <v>924</v>
      </c>
      <c r="C89" s="62" t="s">
        <v>45</v>
      </c>
      <c r="D89" s="66">
        <v>102</v>
      </c>
      <c r="E89" s="64">
        <v>0</v>
      </c>
      <c r="F89" s="64">
        <v>0</v>
      </c>
      <c r="G89" s="64">
        <v>0</v>
      </c>
      <c r="H89" s="64">
        <v>0</v>
      </c>
      <c r="I89" s="64">
        <v>0</v>
      </c>
      <c r="J89" s="64">
        <v>0</v>
      </c>
      <c r="K89" s="64">
        <v>0</v>
      </c>
      <c r="L89" s="64">
        <v>0.4</v>
      </c>
      <c r="M89" s="63">
        <v>0</v>
      </c>
      <c r="N89" s="63">
        <v>0</v>
      </c>
      <c r="O89" s="63">
        <v>0</v>
      </c>
      <c r="P89" s="63">
        <v>0</v>
      </c>
      <c r="Q89" s="63">
        <v>0.6</v>
      </c>
      <c r="R89" s="63">
        <v>0</v>
      </c>
      <c r="S89" s="63">
        <v>0</v>
      </c>
      <c r="T89" s="63">
        <v>0</v>
      </c>
      <c r="U89" s="63">
        <v>0</v>
      </c>
      <c r="V89" s="63">
        <v>0</v>
      </c>
      <c r="W89" s="63">
        <v>0</v>
      </c>
      <c r="X89" s="63">
        <v>0</v>
      </c>
      <c r="Y89" s="63">
        <v>0</v>
      </c>
      <c r="Z89" s="63">
        <v>0</v>
      </c>
      <c r="AA89" s="63">
        <v>0</v>
      </c>
      <c r="AB89" s="60">
        <f t="shared" si="2"/>
        <v>1</v>
      </c>
    </row>
    <row r="90" spans="1:28" x14ac:dyDescent="0.25">
      <c r="A90" s="61" t="s">
        <v>925</v>
      </c>
      <c r="B90" s="62" t="s">
        <v>878</v>
      </c>
      <c r="C90" s="62" t="s">
        <v>878</v>
      </c>
      <c r="D90" s="66">
        <v>43</v>
      </c>
      <c r="E90" s="64">
        <v>0</v>
      </c>
      <c r="F90" s="64">
        <v>0</v>
      </c>
      <c r="G90" s="64">
        <v>0</v>
      </c>
      <c r="H90" s="64">
        <v>0</v>
      </c>
      <c r="I90" s="64">
        <v>0</v>
      </c>
      <c r="J90" s="64">
        <v>0</v>
      </c>
      <c r="K90" s="64">
        <v>0</v>
      </c>
      <c r="L90" s="64">
        <v>0</v>
      </c>
      <c r="M90" s="63">
        <v>0</v>
      </c>
      <c r="N90" s="63">
        <v>0</v>
      </c>
      <c r="O90" s="63">
        <v>0</v>
      </c>
      <c r="P90" s="63">
        <v>0</v>
      </c>
      <c r="Q90" s="63">
        <v>0</v>
      </c>
      <c r="R90" s="63">
        <v>0</v>
      </c>
      <c r="S90" s="63">
        <v>0</v>
      </c>
      <c r="T90" s="63">
        <v>0</v>
      </c>
      <c r="U90" s="63">
        <v>0</v>
      </c>
      <c r="V90" s="63">
        <v>0</v>
      </c>
      <c r="W90" s="63">
        <v>0</v>
      </c>
      <c r="X90" s="63">
        <v>0</v>
      </c>
      <c r="Y90" s="63">
        <v>0</v>
      </c>
      <c r="Z90" s="63">
        <v>0</v>
      </c>
      <c r="AA90" s="63">
        <v>0</v>
      </c>
      <c r="AB90" s="60">
        <f t="shared" si="2"/>
        <v>0</v>
      </c>
    </row>
    <row r="91" spans="1:28" x14ac:dyDescent="0.25">
      <c r="A91" s="61" t="s">
        <v>925</v>
      </c>
      <c r="B91" s="62" t="s">
        <v>878</v>
      </c>
      <c r="C91" s="62" t="s">
        <v>879</v>
      </c>
      <c r="D91" s="66">
        <v>70</v>
      </c>
      <c r="E91" s="64">
        <v>0</v>
      </c>
      <c r="F91" s="64">
        <v>0</v>
      </c>
      <c r="G91" s="64">
        <v>0</v>
      </c>
      <c r="H91" s="64">
        <v>0</v>
      </c>
      <c r="I91" s="64">
        <v>0</v>
      </c>
      <c r="J91" s="64">
        <v>0</v>
      </c>
      <c r="K91" s="64">
        <v>0</v>
      </c>
      <c r="L91" s="64">
        <v>0</v>
      </c>
      <c r="M91" s="63">
        <v>0</v>
      </c>
      <c r="N91" s="63">
        <v>0</v>
      </c>
      <c r="O91" s="63">
        <v>0</v>
      </c>
      <c r="P91" s="63">
        <v>0</v>
      </c>
      <c r="Q91" s="63">
        <v>0</v>
      </c>
      <c r="R91" s="63">
        <v>0</v>
      </c>
      <c r="S91" s="63">
        <v>0</v>
      </c>
      <c r="T91" s="63">
        <v>0</v>
      </c>
      <c r="U91" s="63">
        <v>0</v>
      </c>
      <c r="V91" s="63">
        <v>0</v>
      </c>
      <c r="W91" s="63">
        <v>0</v>
      </c>
      <c r="X91" s="63">
        <v>0</v>
      </c>
      <c r="Y91" s="63">
        <v>0</v>
      </c>
      <c r="Z91" s="63">
        <v>0</v>
      </c>
      <c r="AA91" s="63">
        <v>0</v>
      </c>
      <c r="AB91" s="60">
        <f t="shared" si="2"/>
        <v>0</v>
      </c>
    </row>
    <row r="92" spans="1:28" x14ac:dyDescent="0.25">
      <c r="A92" s="61" t="s">
        <v>926</v>
      </c>
      <c r="B92" s="62" t="s">
        <v>881</v>
      </c>
      <c r="C92" s="62" t="s">
        <v>228</v>
      </c>
      <c r="D92" s="66">
        <v>106</v>
      </c>
      <c r="E92" s="64">
        <v>0</v>
      </c>
      <c r="F92" s="64">
        <v>0</v>
      </c>
      <c r="G92" s="64">
        <v>0</v>
      </c>
      <c r="H92" s="64">
        <v>0</v>
      </c>
      <c r="I92" s="64">
        <v>0</v>
      </c>
      <c r="J92" s="64">
        <v>0</v>
      </c>
      <c r="K92" s="64">
        <v>0</v>
      </c>
      <c r="L92" s="64">
        <v>0</v>
      </c>
      <c r="M92" s="63">
        <v>0</v>
      </c>
      <c r="N92" s="63">
        <v>0</v>
      </c>
      <c r="O92" s="63">
        <v>0</v>
      </c>
      <c r="P92" s="63">
        <v>0</v>
      </c>
      <c r="Q92" s="63">
        <v>0.25</v>
      </c>
      <c r="R92" s="63">
        <v>0</v>
      </c>
      <c r="S92" s="63">
        <v>0.75</v>
      </c>
      <c r="T92" s="63">
        <v>0</v>
      </c>
      <c r="U92" s="63">
        <v>0</v>
      </c>
      <c r="V92" s="63">
        <v>0</v>
      </c>
      <c r="W92" s="63">
        <v>0</v>
      </c>
      <c r="X92" s="63">
        <v>0</v>
      </c>
      <c r="Y92" s="63">
        <v>0</v>
      </c>
      <c r="Z92" s="63">
        <v>0</v>
      </c>
      <c r="AA92" s="63">
        <v>0</v>
      </c>
      <c r="AB92" s="60">
        <f t="shared" si="2"/>
        <v>1</v>
      </c>
    </row>
    <row r="93" spans="1:28" x14ac:dyDescent="0.25">
      <c r="A93" s="61" t="s">
        <v>305</v>
      </c>
      <c r="B93" s="62" t="s">
        <v>878</v>
      </c>
      <c r="C93" s="62" t="s">
        <v>879</v>
      </c>
      <c r="D93" s="66">
        <v>58</v>
      </c>
      <c r="E93" s="64">
        <v>0</v>
      </c>
      <c r="F93" s="64">
        <v>0</v>
      </c>
      <c r="G93" s="64">
        <v>0</v>
      </c>
      <c r="H93" s="64">
        <v>0</v>
      </c>
      <c r="I93" s="64">
        <v>0</v>
      </c>
      <c r="J93" s="64">
        <v>0</v>
      </c>
      <c r="K93" s="64">
        <v>0</v>
      </c>
      <c r="L93" s="64">
        <v>0</v>
      </c>
      <c r="M93" s="63">
        <v>0</v>
      </c>
      <c r="N93" s="63">
        <v>0</v>
      </c>
      <c r="O93" s="63">
        <v>0</v>
      </c>
      <c r="P93" s="63">
        <v>0</v>
      </c>
      <c r="Q93" s="63">
        <v>0</v>
      </c>
      <c r="R93" s="63">
        <v>0</v>
      </c>
      <c r="S93" s="63">
        <v>0</v>
      </c>
      <c r="T93" s="63">
        <v>0</v>
      </c>
      <c r="U93" s="63">
        <v>0</v>
      </c>
      <c r="V93" s="63">
        <v>0</v>
      </c>
      <c r="W93" s="63">
        <v>0</v>
      </c>
      <c r="X93" s="63">
        <v>0</v>
      </c>
      <c r="Y93" s="63">
        <v>0</v>
      </c>
      <c r="Z93" s="63">
        <v>0</v>
      </c>
      <c r="AA93" s="63">
        <v>0</v>
      </c>
      <c r="AB93" s="60">
        <f t="shared" si="2"/>
        <v>0</v>
      </c>
    </row>
    <row r="94" spans="1:28" x14ac:dyDescent="0.25">
      <c r="A94" s="61" t="s">
        <v>305</v>
      </c>
      <c r="B94" s="62" t="s">
        <v>195</v>
      </c>
      <c r="C94" s="62" t="s">
        <v>228</v>
      </c>
      <c r="D94" s="66">
        <v>44</v>
      </c>
      <c r="E94" s="64">
        <v>0</v>
      </c>
      <c r="F94" s="64">
        <v>0</v>
      </c>
      <c r="G94" s="64">
        <v>0</v>
      </c>
      <c r="H94" s="64">
        <v>0</v>
      </c>
      <c r="I94" s="64">
        <v>0</v>
      </c>
      <c r="J94" s="64">
        <v>0</v>
      </c>
      <c r="K94" s="64">
        <v>0</v>
      </c>
      <c r="L94" s="64">
        <v>0</v>
      </c>
      <c r="M94" s="63">
        <v>0</v>
      </c>
      <c r="N94" s="63">
        <v>0</v>
      </c>
      <c r="O94" s="63">
        <v>0</v>
      </c>
      <c r="P94" s="63">
        <v>0</v>
      </c>
      <c r="Q94" s="63">
        <v>0.5</v>
      </c>
      <c r="R94" s="63">
        <v>0.5</v>
      </c>
      <c r="S94" s="63">
        <v>0</v>
      </c>
      <c r="T94" s="63">
        <v>0</v>
      </c>
      <c r="U94" s="63">
        <v>0</v>
      </c>
      <c r="V94" s="63">
        <v>0</v>
      </c>
      <c r="W94" s="63">
        <v>0</v>
      </c>
      <c r="X94" s="63">
        <v>0</v>
      </c>
      <c r="Y94" s="63">
        <v>0</v>
      </c>
      <c r="Z94" s="63">
        <v>0</v>
      </c>
      <c r="AA94" s="63">
        <v>0</v>
      </c>
      <c r="AB94" s="60">
        <f t="shared" si="2"/>
        <v>1</v>
      </c>
    </row>
    <row r="95" spans="1:28" x14ac:dyDescent="0.25">
      <c r="A95" s="61" t="s">
        <v>292</v>
      </c>
      <c r="B95" s="62" t="s">
        <v>881</v>
      </c>
      <c r="C95" s="62" t="s">
        <v>45</v>
      </c>
      <c r="D95" s="66">
        <v>45</v>
      </c>
      <c r="E95" s="64">
        <v>0</v>
      </c>
      <c r="F95" s="64">
        <v>0</v>
      </c>
      <c r="G95" s="64">
        <v>0</v>
      </c>
      <c r="H95" s="64">
        <v>0</v>
      </c>
      <c r="I95" s="64">
        <v>0</v>
      </c>
      <c r="J95" s="64">
        <v>0</v>
      </c>
      <c r="K95" s="64">
        <v>0</v>
      </c>
      <c r="L95" s="64">
        <v>0</v>
      </c>
      <c r="M95" s="63">
        <v>1</v>
      </c>
      <c r="N95" s="63">
        <v>0</v>
      </c>
      <c r="O95" s="63">
        <v>0</v>
      </c>
      <c r="P95" s="63">
        <v>0</v>
      </c>
      <c r="Q95" s="63">
        <v>0</v>
      </c>
      <c r="R95" s="63">
        <v>0</v>
      </c>
      <c r="S95" s="63">
        <v>0</v>
      </c>
      <c r="T95" s="63">
        <v>0</v>
      </c>
      <c r="U95" s="63">
        <v>0</v>
      </c>
      <c r="V95" s="63">
        <v>0</v>
      </c>
      <c r="W95" s="63">
        <v>0</v>
      </c>
      <c r="X95" s="63">
        <v>0</v>
      </c>
      <c r="Y95" s="63">
        <v>0</v>
      </c>
      <c r="Z95" s="63">
        <v>0</v>
      </c>
      <c r="AA95" s="63">
        <v>0</v>
      </c>
      <c r="AB95" s="60">
        <f t="shared" si="2"/>
        <v>1</v>
      </c>
    </row>
    <row r="96" spans="1:28" x14ac:dyDescent="0.25">
      <c r="A96" s="61" t="s">
        <v>292</v>
      </c>
      <c r="B96" s="62" t="s">
        <v>878</v>
      </c>
      <c r="C96" s="62" t="s">
        <v>879</v>
      </c>
      <c r="D96" s="66">
        <v>79</v>
      </c>
      <c r="E96" s="64">
        <v>0</v>
      </c>
      <c r="F96" s="64">
        <v>0</v>
      </c>
      <c r="G96" s="64">
        <v>0</v>
      </c>
      <c r="H96" s="64">
        <v>0</v>
      </c>
      <c r="I96" s="64">
        <v>0</v>
      </c>
      <c r="J96" s="64">
        <v>0</v>
      </c>
      <c r="K96" s="64">
        <v>0</v>
      </c>
      <c r="L96" s="64">
        <v>0</v>
      </c>
      <c r="M96" s="63">
        <v>0</v>
      </c>
      <c r="N96" s="63">
        <v>0</v>
      </c>
      <c r="O96" s="63">
        <v>0</v>
      </c>
      <c r="P96" s="63">
        <v>0</v>
      </c>
      <c r="Q96" s="63">
        <v>0</v>
      </c>
      <c r="R96" s="63">
        <v>0</v>
      </c>
      <c r="S96" s="63">
        <v>0</v>
      </c>
      <c r="T96" s="63">
        <v>0</v>
      </c>
      <c r="U96" s="63">
        <v>0</v>
      </c>
      <c r="V96" s="63">
        <v>0</v>
      </c>
      <c r="W96" s="63">
        <v>0</v>
      </c>
      <c r="X96" s="63">
        <v>0</v>
      </c>
      <c r="Y96" s="63">
        <v>0</v>
      </c>
      <c r="Z96" s="63">
        <v>0</v>
      </c>
      <c r="AA96" s="63">
        <v>0</v>
      </c>
      <c r="AB96" s="60">
        <f t="shared" si="2"/>
        <v>0</v>
      </c>
    </row>
    <row r="97" spans="1:28" x14ac:dyDescent="0.25">
      <c r="A97" s="61" t="s">
        <v>927</v>
      </c>
      <c r="B97" s="62" t="s">
        <v>179</v>
      </c>
      <c r="C97" s="62" t="s">
        <v>45</v>
      </c>
      <c r="D97" s="66">
        <v>47</v>
      </c>
      <c r="E97" s="64">
        <v>0</v>
      </c>
      <c r="F97" s="64">
        <v>0</v>
      </c>
      <c r="G97" s="64">
        <v>0</v>
      </c>
      <c r="H97" s="64">
        <v>0</v>
      </c>
      <c r="I97" s="64">
        <v>0</v>
      </c>
      <c r="J97" s="64">
        <v>0</v>
      </c>
      <c r="K97" s="64">
        <v>0</v>
      </c>
      <c r="L97" s="64">
        <v>0</v>
      </c>
      <c r="M97" s="63">
        <v>0</v>
      </c>
      <c r="N97" s="63">
        <v>0</v>
      </c>
      <c r="O97" s="63">
        <v>0</v>
      </c>
      <c r="P97" s="63">
        <v>0</v>
      </c>
      <c r="Q97" s="63">
        <v>0</v>
      </c>
      <c r="R97" s="63">
        <v>0</v>
      </c>
      <c r="S97" s="63">
        <v>0</v>
      </c>
      <c r="T97" s="63">
        <v>0</v>
      </c>
      <c r="U97" s="63">
        <v>0</v>
      </c>
      <c r="V97" s="63">
        <v>0</v>
      </c>
      <c r="W97" s="63">
        <v>0</v>
      </c>
      <c r="X97" s="63">
        <v>0</v>
      </c>
      <c r="Y97" s="63">
        <v>0</v>
      </c>
      <c r="Z97" s="63">
        <v>0</v>
      </c>
      <c r="AA97" s="63">
        <v>0</v>
      </c>
      <c r="AB97" s="60">
        <f t="shared" si="2"/>
        <v>0</v>
      </c>
    </row>
    <row r="98" spans="1:28" x14ac:dyDescent="0.25">
      <c r="A98" s="61" t="s">
        <v>927</v>
      </c>
      <c r="B98" s="62" t="s">
        <v>179</v>
      </c>
      <c r="C98" s="62" t="s">
        <v>228</v>
      </c>
      <c r="D98" s="66">
        <v>48</v>
      </c>
      <c r="E98" s="64">
        <v>0</v>
      </c>
      <c r="F98" s="64">
        <v>0</v>
      </c>
      <c r="G98" s="64">
        <v>0</v>
      </c>
      <c r="H98" s="64">
        <v>0</v>
      </c>
      <c r="I98" s="64">
        <v>0</v>
      </c>
      <c r="J98" s="64">
        <v>0</v>
      </c>
      <c r="K98" s="64">
        <v>0</v>
      </c>
      <c r="L98" s="64">
        <v>0</v>
      </c>
      <c r="M98" s="63">
        <v>0</v>
      </c>
      <c r="N98" s="63">
        <v>0</v>
      </c>
      <c r="O98" s="63">
        <v>0</v>
      </c>
      <c r="P98" s="63">
        <v>0</v>
      </c>
      <c r="Q98" s="63">
        <v>0</v>
      </c>
      <c r="R98" s="63">
        <v>0</v>
      </c>
      <c r="S98" s="63">
        <v>0</v>
      </c>
      <c r="T98" s="63">
        <v>0</v>
      </c>
      <c r="U98" s="63">
        <v>0</v>
      </c>
      <c r="V98" s="63">
        <v>0</v>
      </c>
      <c r="W98" s="63">
        <v>0</v>
      </c>
      <c r="X98" s="63">
        <v>0</v>
      </c>
      <c r="Y98" s="63">
        <v>0</v>
      </c>
      <c r="Z98" s="63">
        <v>0</v>
      </c>
      <c r="AA98" s="63">
        <v>0</v>
      </c>
      <c r="AB98" s="60">
        <f t="shared" ref="AB98:AB113" si="3">SUM(F98:AA98)</f>
        <v>0</v>
      </c>
    </row>
    <row r="99" spans="1:28" x14ac:dyDescent="0.25">
      <c r="A99" s="91" t="s">
        <v>927</v>
      </c>
      <c r="B99" s="92" t="s">
        <v>195</v>
      </c>
      <c r="C99" s="92" t="s">
        <v>45</v>
      </c>
      <c r="D99" s="80">
        <v>49</v>
      </c>
      <c r="E99" s="64">
        <v>0</v>
      </c>
      <c r="F99" s="64">
        <v>0</v>
      </c>
      <c r="G99" s="64">
        <v>0</v>
      </c>
      <c r="H99" s="64">
        <v>0</v>
      </c>
      <c r="I99" s="64">
        <v>0</v>
      </c>
      <c r="J99" s="64">
        <v>0</v>
      </c>
      <c r="K99" s="64">
        <v>0</v>
      </c>
      <c r="L99" s="64">
        <v>0</v>
      </c>
      <c r="M99" s="63">
        <v>0</v>
      </c>
      <c r="N99" s="63">
        <v>0</v>
      </c>
      <c r="O99" s="63">
        <v>0</v>
      </c>
      <c r="P99" s="63">
        <v>0</v>
      </c>
      <c r="Q99" s="63">
        <v>0</v>
      </c>
      <c r="R99" s="63">
        <v>0</v>
      </c>
      <c r="S99" s="63">
        <v>0</v>
      </c>
      <c r="T99" s="63">
        <v>0</v>
      </c>
      <c r="U99" s="63">
        <v>0</v>
      </c>
      <c r="V99" s="63">
        <v>0</v>
      </c>
      <c r="W99" s="63">
        <v>0</v>
      </c>
      <c r="X99" s="63">
        <v>0</v>
      </c>
      <c r="Y99" s="63">
        <v>0</v>
      </c>
      <c r="Z99" s="63">
        <v>0</v>
      </c>
      <c r="AA99" s="63">
        <v>0</v>
      </c>
      <c r="AB99" s="93">
        <f t="shared" si="3"/>
        <v>0</v>
      </c>
    </row>
    <row r="100" spans="1:28" x14ac:dyDescent="0.25">
      <c r="A100" s="61" t="s">
        <v>927</v>
      </c>
      <c r="B100" s="62" t="s">
        <v>902</v>
      </c>
      <c r="C100" s="62" t="s">
        <v>228</v>
      </c>
      <c r="D100" s="66">
        <v>89</v>
      </c>
      <c r="E100" s="64">
        <v>0</v>
      </c>
      <c r="F100" s="64">
        <v>0</v>
      </c>
      <c r="G100" s="64">
        <v>0</v>
      </c>
      <c r="H100" s="64">
        <v>0</v>
      </c>
      <c r="I100" s="64">
        <v>0</v>
      </c>
      <c r="J100" s="64">
        <v>0</v>
      </c>
      <c r="K100" s="64">
        <v>0</v>
      </c>
      <c r="L100" s="64">
        <v>0</v>
      </c>
      <c r="M100" s="63">
        <v>0</v>
      </c>
      <c r="N100" s="63">
        <v>0</v>
      </c>
      <c r="O100" s="63">
        <v>0</v>
      </c>
      <c r="P100" s="63">
        <v>0</v>
      </c>
      <c r="Q100" s="63">
        <v>0</v>
      </c>
      <c r="R100" s="63">
        <v>0</v>
      </c>
      <c r="S100" s="63">
        <v>0</v>
      </c>
      <c r="T100" s="63">
        <v>0</v>
      </c>
      <c r="U100" s="63">
        <v>0</v>
      </c>
      <c r="V100" s="63">
        <v>0</v>
      </c>
      <c r="W100" s="63">
        <v>0</v>
      </c>
      <c r="X100" s="63">
        <v>0</v>
      </c>
      <c r="Y100" s="63">
        <v>0</v>
      </c>
      <c r="Z100" s="63">
        <v>0</v>
      </c>
      <c r="AA100" s="63">
        <v>0</v>
      </c>
      <c r="AB100" s="60">
        <f t="shared" si="3"/>
        <v>0</v>
      </c>
    </row>
    <row r="101" spans="1:28" x14ac:dyDescent="0.25">
      <c r="A101" s="61" t="s">
        <v>927</v>
      </c>
      <c r="B101" s="62" t="s">
        <v>878</v>
      </c>
      <c r="C101" s="62" t="s">
        <v>879</v>
      </c>
      <c r="D101" s="66">
        <v>75</v>
      </c>
      <c r="E101" s="64">
        <v>0</v>
      </c>
      <c r="F101" s="64">
        <v>0</v>
      </c>
      <c r="G101" s="64">
        <v>0</v>
      </c>
      <c r="H101" s="64">
        <v>0</v>
      </c>
      <c r="I101" s="64">
        <v>0</v>
      </c>
      <c r="J101" s="64">
        <v>0</v>
      </c>
      <c r="K101" s="64">
        <v>0</v>
      </c>
      <c r="L101" s="64">
        <v>0</v>
      </c>
      <c r="M101" s="63">
        <v>0</v>
      </c>
      <c r="N101" s="63">
        <v>0</v>
      </c>
      <c r="O101" s="63">
        <v>0</v>
      </c>
      <c r="P101" s="63">
        <v>0</v>
      </c>
      <c r="Q101" s="63">
        <v>0</v>
      </c>
      <c r="R101" s="63">
        <v>0</v>
      </c>
      <c r="S101" s="63">
        <v>0</v>
      </c>
      <c r="T101" s="63">
        <v>0</v>
      </c>
      <c r="U101" s="63">
        <v>0</v>
      </c>
      <c r="V101" s="63">
        <v>0</v>
      </c>
      <c r="W101" s="63">
        <v>0</v>
      </c>
      <c r="X101" s="63">
        <v>0</v>
      </c>
      <c r="Y101" s="63">
        <v>0</v>
      </c>
      <c r="Z101" s="63">
        <v>0</v>
      </c>
      <c r="AA101" s="63">
        <v>0</v>
      </c>
      <c r="AB101" s="60">
        <f t="shared" si="3"/>
        <v>0</v>
      </c>
    </row>
    <row r="102" spans="1:28" x14ac:dyDescent="0.25">
      <c r="A102" s="61" t="s">
        <v>928</v>
      </c>
      <c r="B102" s="62" t="s">
        <v>878</v>
      </c>
      <c r="C102" s="62" t="s">
        <v>878</v>
      </c>
      <c r="D102" s="66">
        <v>50</v>
      </c>
      <c r="E102" s="64">
        <v>0</v>
      </c>
      <c r="F102" s="64">
        <v>0</v>
      </c>
      <c r="G102" s="64">
        <v>0</v>
      </c>
      <c r="H102" s="64">
        <v>0</v>
      </c>
      <c r="I102" s="64">
        <v>0</v>
      </c>
      <c r="J102" s="64">
        <v>0</v>
      </c>
      <c r="K102" s="64">
        <v>0</v>
      </c>
      <c r="L102" s="64">
        <v>0</v>
      </c>
      <c r="M102" s="63">
        <v>0</v>
      </c>
      <c r="N102" s="63">
        <v>0</v>
      </c>
      <c r="O102" s="63">
        <v>0</v>
      </c>
      <c r="P102" s="63">
        <v>0</v>
      </c>
      <c r="Q102" s="63">
        <v>0</v>
      </c>
      <c r="R102" s="63">
        <v>0</v>
      </c>
      <c r="S102" s="63">
        <v>0</v>
      </c>
      <c r="T102" s="63">
        <v>0</v>
      </c>
      <c r="U102" s="63">
        <v>0</v>
      </c>
      <c r="V102" s="63">
        <v>0</v>
      </c>
      <c r="W102" s="63">
        <v>0</v>
      </c>
      <c r="X102" s="63">
        <v>0</v>
      </c>
      <c r="Y102" s="63">
        <v>0</v>
      </c>
      <c r="Z102" s="63">
        <v>0</v>
      </c>
      <c r="AA102" s="63">
        <v>0</v>
      </c>
      <c r="AB102" s="60">
        <f t="shared" si="3"/>
        <v>0</v>
      </c>
    </row>
    <row r="103" spans="1:28" x14ac:dyDescent="0.25">
      <c r="A103" s="61" t="s">
        <v>929</v>
      </c>
      <c r="B103" s="62" t="s">
        <v>881</v>
      </c>
      <c r="C103" s="62" t="s">
        <v>228</v>
      </c>
      <c r="D103" s="66">
        <v>96</v>
      </c>
      <c r="E103" s="64">
        <v>0</v>
      </c>
      <c r="F103" s="64">
        <v>0</v>
      </c>
      <c r="G103" s="64">
        <v>0</v>
      </c>
      <c r="H103" s="64">
        <v>0</v>
      </c>
      <c r="I103" s="64">
        <v>0</v>
      </c>
      <c r="J103" s="64">
        <v>0</v>
      </c>
      <c r="K103" s="64">
        <v>0</v>
      </c>
      <c r="L103" s="64">
        <v>0</v>
      </c>
      <c r="M103" s="63">
        <v>0</v>
      </c>
      <c r="N103" s="63">
        <v>0</v>
      </c>
      <c r="O103" s="63">
        <v>0</v>
      </c>
      <c r="P103" s="63">
        <v>0</v>
      </c>
      <c r="Q103" s="63">
        <v>0</v>
      </c>
      <c r="R103" s="63">
        <v>0.35</v>
      </c>
      <c r="S103" s="63">
        <v>0.45</v>
      </c>
      <c r="T103" s="63">
        <v>0</v>
      </c>
      <c r="U103" s="63">
        <v>0</v>
      </c>
      <c r="V103" s="63">
        <v>0.2</v>
      </c>
      <c r="W103" s="63">
        <v>0</v>
      </c>
      <c r="X103" s="63">
        <v>0</v>
      </c>
      <c r="Y103" s="63">
        <v>0</v>
      </c>
      <c r="Z103" s="63">
        <v>0</v>
      </c>
      <c r="AA103" s="63">
        <v>0</v>
      </c>
      <c r="AB103" s="60">
        <f t="shared" si="3"/>
        <v>1</v>
      </c>
    </row>
    <row r="104" spans="1:28" x14ac:dyDescent="0.25">
      <c r="A104" s="61" t="s">
        <v>930</v>
      </c>
      <c r="B104" s="62" t="s">
        <v>179</v>
      </c>
      <c r="C104" s="62" t="s">
        <v>879</v>
      </c>
      <c r="D104" s="66">
        <v>59</v>
      </c>
      <c r="E104" s="64">
        <v>0</v>
      </c>
      <c r="F104" s="64">
        <v>0</v>
      </c>
      <c r="G104" s="64">
        <v>0</v>
      </c>
      <c r="H104" s="64">
        <v>0</v>
      </c>
      <c r="I104" s="64">
        <v>0</v>
      </c>
      <c r="J104" s="64">
        <v>0</v>
      </c>
      <c r="K104" s="64">
        <v>0</v>
      </c>
      <c r="L104" s="64">
        <v>0</v>
      </c>
      <c r="M104" s="63">
        <v>0</v>
      </c>
      <c r="N104" s="63">
        <v>0</v>
      </c>
      <c r="O104" s="63">
        <v>0</v>
      </c>
      <c r="P104" s="63">
        <v>0</v>
      </c>
      <c r="Q104" s="63">
        <v>0</v>
      </c>
      <c r="R104" s="63">
        <v>0</v>
      </c>
      <c r="S104" s="63">
        <v>0</v>
      </c>
      <c r="T104" s="63">
        <v>0</v>
      </c>
      <c r="U104" s="63">
        <v>0</v>
      </c>
      <c r="V104" s="63">
        <v>0</v>
      </c>
      <c r="W104" s="63">
        <v>0</v>
      </c>
      <c r="X104" s="63">
        <v>0</v>
      </c>
      <c r="Y104" s="63">
        <v>0</v>
      </c>
      <c r="Z104" s="63">
        <v>0</v>
      </c>
      <c r="AA104" s="63">
        <v>0</v>
      </c>
      <c r="AB104" s="60">
        <f t="shared" si="3"/>
        <v>0</v>
      </c>
    </row>
    <row r="105" spans="1:28" x14ac:dyDescent="0.25">
      <c r="A105" s="61" t="s">
        <v>931</v>
      </c>
      <c r="B105" s="62" t="s">
        <v>881</v>
      </c>
      <c r="C105" s="62" t="s">
        <v>228</v>
      </c>
      <c r="D105" s="66">
        <v>60</v>
      </c>
      <c r="E105" s="64">
        <v>0</v>
      </c>
      <c r="F105" s="64">
        <v>0</v>
      </c>
      <c r="G105" s="64">
        <v>0</v>
      </c>
      <c r="H105" s="64">
        <v>0</v>
      </c>
      <c r="I105" s="64">
        <v>0</v>
      </c>
      <c r="J105" s="64">
        <v>0</v>
      </c>
      <c r="K105" s="64">
        <v>0</v>
      </c>
      <c r="L105" s="64">
        <v>0</v>
      </c>
      <c r="M105" s="63">
        <v>0</v>
      </c>
      <c r="N105" s="63">
        <v>0</v>
      </c>
      <c r="O105" s="63">
        <v>0</v>
      </c>
      <c r="P105" s="63">
        <v>0</v>
      </c>
      <c r="Q105" s="63">
        <v>0</v>
      </c>
      <c r="R105" s="63">
        <v>0</v>
      </c>
      <c r="S105" s="63">
        <v>0</v>
      </c>
      <c r="T105" s="63">
        <v>0</v>
      </c>
      <c r="U105" s="63">
        <v>0</v>
      </c>
      <c r="V105" s="63">
        <v>0</v>
      </c>
      <c r="W105" s="63">
        <v>0</v>
      </c>
      <c r="X105" s="63">
        <v>0</v>
      </c>
      <c r="Y105" s="63">
        <v>0</v>
      </c>
      <c r="Z105" s="63">
        <v>0</v>
      </c>
      <c r="AA105" s="63">
        <v>0</v>
      </c>
      <c r="AB105" s="60">
        <f t="shared" si="3"/>
        <v>0</v>
      </c>
    </row>
    <row r="106" spans="1:28" x14ac:dyDescent="0.25">
      <c r="A106" s="61" t="s">
        <v>932</v>
      </c>
      <c r="B106" s="62" t="s">
        <v>195</v>
      </c>
      <c r="C106" s="62" t="s">
        <v>228</v>
      </c>
      <c r="D106" s="66">
        <v>800425</v>
      </c>
      <c r="E106" s="64">
        <v>0</v>
      </c>
      <c r="F106" s="64">
        <v>0</v>
      </c>
      <c r="G106" s="64">
        <v>0</v>
      </c>
      <c r="H106" s="64">
        <v>0</v>
      </c>
      <c r="I106" s="64">
        <v>0</v>
      </c>
      <c r="J106" s="64">
        <v>0</v>
      </c>
      <c r="K106" s="64">
        <v>0</v>
      </c>
      <c r="L106" s="64">
        <v>0</v>
      </c>
      <c r="M106" s="63">
        <v>0</v>
      </c>
      <c r="N106" s="63">
        <v>0</v>
      </c>
      <c r="O106" s="63">
        <v>0</v>
      </c>
      <c r="P106" s="63">
        <v>0</v>
      </c>
      <c r="Q106" s="63">
        <v>0</v>
      </c>
      <c r="R106" s="63">
        <v>0</v>
      </c>
      <c r="S106" s="63">
        <v>0</v>
      </c>
      <c r="T106" s="63">
        <v>0</v>
      </c>
      <c r="U106" s="63">
        <v>0</v>
      </c>
      <c r="V106" s="63">
        <v>0</v>
      </c>
      <c r="W106" s="63">
        <v>0</v>
      </c>
      <c r="X106" s="63">
        <v>0</v>
      </c>
      <c r="Y106" s="63">
        <v>0</v>
      </c>
      <c r="Z106" s="63">
        <v>0</v>
      </c>
      <c r="AA106" s="63">
        <v>0</v>
      </c>
      <c r="AB106" s="60">
        <f t="shared" si="3"/>
        <v>0</v>
      </c>
    </row>
    <row r="107" spans="1:28" x14ac:dyDescent="0.25">
      <c r="A107" s="61" t="s">
        <v>933</v>
      </c>
      <c r="B107" s="62" t="s">
        <v>179</v>
      </c>
      <c r="C107" s="62" t="s">
        <v>879</v>
      </c>
      <c r="D107" s="66">
        <v>62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3">
        <v>0</v>
      </c>
      <c r="N107" s="63">
        <v>0</v>
      </c>
      <c r="O107" s="63">
        <v>0</v>
      </c>
      <c r="P107" s="63">
        <v>0</v>
      </c>
      <c r="Q107" s="63">
        <v>0</v>
      </c>
      <c r="R107" s="63">
        <v>0</v>
      </c>
      <c r="S107" s="63">
        <v>0</v>
      </c>
      <c r="T107" s="63">
        <v>0</v>
      </c>
      <c r="U107" s="63">
        <v>0</v>
      </c>
      <c r="V107" s="63">
        <v>0</v>
      </c>
      <c r="W107" s="63">
        <v>0</v>
      </c>
      <c r="X107" s="63">
        <v>0</v>
      </c>
      <c r="Y107" s="63">
        <v>0</v>
      </c>
      <c r="Z107" s="63">
        <v>0</v>
      </c>
      <c r="AA107" s="63">
        <v>0</v>
      </c>
      <c r="AB107" s="60">
        <f t="shared" si="3"/>
        <v>0</v>
      </c>
    </row>
    <row r="108" spans="1:28" x14ac:dyDescent="0.25">
      <c r="A108" s="61" t="s">
        <v>933</v>
      </c>
      <c r="B108" s="62" t="s">
        <v>195</v>
      </c>
      <c r="C108" s="62" t="s">
        <v>45</v>
      </c>
      <c r="D108" s="66">
        <v>64</v>
      </c>
      <c r="E108" s="64">
        <v>0</v>
      </c>
      <c r="F108" s="64">
        <v>0</v>
      </c>
      <c r="G108" s="64">
        <v>0</v>
      </c>
      <c r="H108" s="64">
        <v>0</v>
      </c>
      <c r="I108" s="64">
        <v>0</v>
      </c>
      <c r="J108" s="64">
        <v>0</v>
      </c>
      <c r="K108" s="64">
        <v>0</v>
      </c>
      <c r="L108" s="64">
        <v>0</v>
      </c>
      <c r="M108" s="63">
        <v>0</v>
      </c>
      <c r="N108" s="63">
        <v>0</v>
      </c>
      <c r="O108" s="63">
        <v>0</v>
      </c>
      <c r="P108" s="63">
        <v>0</v>
      </c>
      <c r="Q108" s="63">
        <v>0</v>
      </c>
      <c r="R108" s="63">
        <v>0</v>
      </c>
      <c r="S108" s="63">
        <v>0</v>
      </c>
      <c r="T108" s="63">
        <v>0</v>
      </c>
      <c r="U108" s="63">
        <v>0</v>
      </c>
      <c r="V108" s="63">
        <v>0</v>
      </c>
      <c r="W108" s="63">
        <v>0</v>
      </c>
      <c r="X108" s="63">
        <v>0</v>
      </c>
      <c r="Y108" s="63">
        <v>0</v>
      </c>
      <c r="Z108" s="63">
        <v>0</v>
      </c>
      <c r="AA108" s="63">
        <v>0</v>
      </c>
      <c r="AB108" s="60">
        <f t="shared" si="3"/>
        <v>0</v>
      </c>
    </row>
    <row r="109" spans="1:28" x14ac:dyDescent="0.25">
      <c r="A109" s="61" t="s">
        <v>933</v>
      </c>
      <c r="B109" s="62" t="s">
        <v>195</v>
      </c>
      <c r="C109" s="62" t="s">
        <v>228</v>
      </c>
      <c r="D109" s="66">
        <v>63</v>
      </c>
      <c r="E109" s="64">
        <v>0</v>
      </c>
      <c r="F109" s="64">
        <v>0</v>
      </c>
      <c r="G109" s="64">
        <v>0</v>
      </c>
      <c r="H109" s="64">
        <v>0</v>
      </c>
      <c r="I109" s="64">
        <v>0</v>
      </c>
      <c r="J109" s="64">
        <v>0</v>
      </c>
      <c r="K109" s="64">
        <v>0</v>
      </c>
      <c r="L109" s="64">
        <v>0</v>
      </c>
      <c r="M109" s="63">
        <v>0</v>
      </c>
      <c r="N109" s="63">
        <v>0</v>
      </c>
      <c r="O109" s="63">
        <v>0</v>
      </c>
      <c r="P109" s="63">
        <v>0</v>
      </c>
      <c r="Q109" s="63">
        <v>0</v>
      </c>
      <c r="R109" s="63">
        <v>0</v>
      </c>
      <c r="S109" s="63">
        <v>0</v>
      </c>
      <c r="T109" s="63">
        <v>0</v>
      </c>
      <c r="U109" s="63">
        <v>0</v>
      </c>
      <c r="V109" s="63">
        <v>0</v>
      </c>
      <c r="W109" s="63">
        <v>0</v>
      </c>
      <c r="X109" s="63">
        <v>0</v>
      </c>
      <c r="Y109" s="63">
        <v>0</v>
      </c>
      <c r="Z109" s="63">
        <v>0</v>
      </c>
      <c r="AA109" s="63">
        <v>0</v>
      </c>
      <c r="AB109" s="60">
        <f t="shared" si="3"/>
        <v>0</v>
      </c>
    </row>
    <row r="110" spans="1:28" s="37" customFormat="1" x14ac:dyDescent="0.25">
      <c r="A110" s="61" t="s">
        <v>933</v>
      </c>
      <c r="B110" s="62" t="s">
        <v>902</v>
      </c>
      <c r="C110" s="62" t="s">
        <v>228</v>
      </c>
      <c r="D110" s="66">
        <v>65</v>
      </c>
      <c r="E110" s="64">
        <v>0</v>
      </c>
      <c r="F110" s="64">
        <v>0</v>
      </c>
      <c r="G110" s="64">
        <v>0</v>
      </c>
      <c r="H110" s="64">
        <v>0</v>
      </c>
      <c r="I110" s="64">
        <v>0</v>
      </c>
      <c r="J110" s="64">
        <v>0</v>
      </c>
      <c r="K110" s="64">
        <v>0</v>
      </c>
      <c r="L110" s="64">
        <v>0</v>
      </c>
      <c r="M110" s="63">
        <v>0</v>
      </c>
      <c r="N110" s="63">
        <v>0</v>
      </c>
      <c r="O110" s="63">
        <v>0</v>
      </c>
      <c r="P110" s="63">
        <v>0</v>
      </c>
      <c r="Q110" s="63">
        <v>0</v>
      </c>
      <c r="R110" s="63">
        <v>0</v>
      </c>
      <c r="S110" s="63">
        <v>0</v>
      </c>
      <c r="T110" s="63">
        <v>0</v>
      </c>
      <c r="U110" s="63">
        <v>0</v>
      </c>
      <c r="V110" s="63">
        <v>0</v>
      </c>
      <c r="W110" s="63">
        <v>0</v>
      </c>
      <c r="X110" s="63">
        <v>0</v>
      </c>
      <c r="Y110" s="63">
        <v>0</v>
      </c>
      <c r="Z110" s="63">
        <v>0</v>
      </c>
      <c r="AA110" s="63">
        <v>0</v>
      </c>
      <c r="AB110" s="60">
        <f t="shared" si="3"/>
        <v>0</v>
      </c>
    </row>
    <row r="111" spans="1:28" x14ac:dyDescent="0.25">
      <c r="A111" s="61" t="s">
        <v>933</v>
      </c>
      <c r="B111" s="62" t="s">
        <v>179</v>
      </c>
      <c r="C111" s="62" t="s">
        <v>228</v>
      </c>
      <c r="D111" s="66">
        <v>61</v>
      </c>
      <c r="E111" s="64">
        <v>0</v>
      </c>
      <c r="F111" s="64">
        <v>0</v>
      </c>
      <c r="G111" s="64">
        <v>0</v>
      </c>
      <c r="H111" s="64">
        <v>0</v>
      </c>
      <c r="I111" s="64">
        <v>0</v>
      </c>
      <c r="J111" s="64">
        <v>0</v>
      </c>
      <c r="K111" s="64">
        <v>0</v>
      </c>
      <c r="L111" s="64">
        <v>0</v>
      </c>
      <c r="M111" s="63">
        <v>0</v>
      </c>
      <c r="N111" s="63">
        <v>0</v>
      </c>
      <c r="O111" s="63">
        <v>0</v>
      </c>
      <c r="P111" s="63">
        <v>0</v>
      </c>
      <c r="Q111" s="63">
        <v>0</v>
      </c>
      <c r="R111" s="63">
        <v>0</v>
      </c>
      <c r="S111" s="63">
        <v>0</v>
      </c>
      <c r="T111" s="63">
        <v>0</v>
      </c>
      <c r="U111" s="63">
        <v>0</v>
      </c>
      <c r="V111" s="63">
        <v>0</v>
      </c>
      <c r="W111" s="63">
        <v>0</v>
      </c>
      <c r="X111" s="63">
        <v>0</v>
      </c>
      <c r="Y111" s="63">
        <v>0</v>
      </c>
      <c r="Z111" s="63">
        <v>0</v>
      </c>
      <c r="AA111" s="63">
        <v>0</v>
      </c>
      <c r="AB111" s="60">
        <f t="shared" si="3"/>
        <v>0</v>
      </c>
    </row>
    <row r="112" spans="1:28" x14ac:dyDescent="0.25">
      <c r="A112" s="61" t="s">
        <v>274</v>
      </c>
      <c r="B112" s="62" t="s">
        <v>272</v>
      </c>
      <c r="C112" s="62"/>
      <c r="D112" s="66">
        <v>107</v>
      </c>
      <c r="E112" s="64">
        <v>0</v>
      </c>
      <c r="F112" s="64">
        <v>0</v>
      </c>
      <c r="G112" s="64">
        <v>0</v>
      </c>
      <c r="H112" s="64">
        <v>0</v>
      </c>
      <c r="I112" s="64">
        <v>0</v>
      </c>
      <c r="J112" s="64">
        <v>0</v>
      </c>
      <c r="K112" s="64">
        <v>0</v>
      </c>
      <c r="L112" s="64">
        <v>0</v>
      </c>
      <c r="M112" s="63">
        <v>0</v>
      </c>
      <c r="N112" s="63">
        <v>0</v>
      </c>
      <c r="O112" s="63">
        <v>0</v>
      </c>
      <c r="P112" s="63">
        <v>0</v>
      </c>
      <c r="Q112" s="63">
        <v>0</v>
      </c>
      <c r="R112" s="63">
        <v>0</v>
      </c>
      <c r="S112" s="63">
        <v>0</v>
      </c>
      <c r="T112" s="63">
        <v>0</v>
      </c>
      <c r="U112" s="63">
        <v>0</v>
      </c>
      <c r="V112" s="63">
        <v>0</v>
      </c>
      <c r="W112" s="63">
        <v>0</v>
      </c>
      <c r="X112" s="63">
        <v>1</v>
      </c>
      <c r="Y112" s="63">
        <v>0</v>
      </c>
      <c r="Z112" s="63">
        <v>0</v>
      </c>
      <c r="AA112" s="63">
        <v>0</v>
      </c>
      <c r="AB112" s="60">
        <f t="shared" si="3"/>
        <v>1</v>
      </c>
    </row>
    <row r="113" spans="1:28" x14ac:dyDescent="0.25">
      <c r="A113" s="61" t="s">
        <v>934</v>
      </c>
      <c r="B113" s="62" t="s">
        <v>179</v>
      </c>
      <c r="C113" s="62" t="s">
        <v>42</v>
      </c>
      <c r="D113" s="66">
        <v>70526</v>
      </c>
      <c r="E113" s="64">
        <v>0</v>
      </c>
      <c r="F113" s="64">
        <v>0</v>
      </c>
      <c r="G113" s="64">
        <v>8.6999999999999994E-2</v>
      </c>
      <c r="H113" s="64">
        <v>2E-3</v>
      </c>
      <c r="I113" s="64">
        <v>0</v>
      </c>
      <c r="J113" s="64">
        <v>0</v>
      </c>
      <c r="K113" s="64">
        <v>0.26500000000000001</v>
      </c>
      <c r="L113" s="64">
        <v>0</v>
      </c>
      <c r="M113" s="63">
        <v>0</v>
      </c>
      <c r="N113" s="63">
        <v>0</v>
      </c>
      <c r="O113" s="63">
        <v>0</v>
      </c>
      <c r="P113" s="63">
        <v>0.49</v>
      </c>
      <c r="Q113" s="63">
        <v>0.156</v>
      </c>
      <c r="R113" s="63">
        <v>0</v>
      </c>
      <c r="S113" s="63">
        <v>0</v>
      </c>
      <c r="T113" s="63">
        <v>0</v>
      </c>
      <c r="U113" s="63">
        <v>0</v>
      </c>
      <c r="V113" s="63">
        <v>0</v>
      </c>
      <c r="W113" s="63">
        <v>0</v>
      </c>
      <c r="X113" s="63">
        <v>0</v>
      </c>
      <c r="Y113" s="63">
        <v>0</v>
      </c>
      <c r="Z113" s="63">
        <v>0</v>
      </c>
      <c r="AA113" s="63">
        <v>0</v>
      </c>
      <c r="AB113" s="60">
        <f t="shared" si="3"/>
        <v>1</v>
      </c>
    </row>
    <row r="114" spans="1:28" x14ac:dyDescent="0.25">
      <c r="A114" s="172" t="s">
        <v>935</v>
      </c>
      <c r="B114" s="54" t="s">
        <v>195</v>
      </c>
      <c r="C114" s="54" t="s">
        <v>42</v>
      </c>
      <c r="D114" s="66" t="s">
        <v>936</v>
      </c>
      <c r="E114" s="64">
        <v>0</v>
      </c>
      <c r="F114" s="64">
        <v>0</v>
      </c>
      <c r="G114" s="64">
        <v>0</v>
      </c>
      <c r="H114" s="64">
        <v>0.02</v>
      </c>
      <c r="I114" s="64">
        <v>0</v>
      </c>
      <c r="J114" s="64">
        <v>0</v>
      </c>
      <c r="K114" s="64">
        <v>0</v>
      </c>
      <c r="L114" s="64">
        <v>0.24</v>
      </c>
      <c r="M114" s="63">
        <v>0</v>
      </c>
      <c r="N114" s="63">
        <v>0</v>
      </c>
      <c r="O114" s="63">
        <v>0.05</v>
      </c>
      <c r="P114" s="63">
        <v>0.03</v>
      </c>
      <c r="Q114" s="63">
        <v>0.62</v>
      </c>
      <c r="R114" s="63">
        <v>0</v>
      </c>
      <c r="S114" s="63">
        <v>0</v>
      </c>
      <c r="T114" s="63">
        <v>0.04</v>
      </c>
      <c r="U114" s="63">
        <v>0</v>
      </c>
      <c r="V114" s="63">
        <v>0</v>
      </c>
      <c r="W114" s="63">
        <v>0</v>
      </c>
      <c r="X114" s="63">
        <v>0</v>
      </c>
      <c r="Y114" s="63">
        <v>0</v>
      </c>
      <c r="Z114" s="63">
        <v>0</v>
      </c>
      <c r="AA114" s="63">
        <v>0</v>
      </c>
      <c r="AB114" s="60">
        <f t="shared" ref="AB114" si="4">SUM(F114:AA114)</f>
        <v>1</v>
      </c>
    </row>
    <row r="124" spans="1:28" x14ac:dyDescent="0.25">
      <c r="D124" s="55" t="s">
        <v>937</v>
      </c>
    </row>
  </sheetData>
  <autoFilter ref="A1:AB119" xr:uid="{DD13F5A9-1587-4C26-9923-B4EBBCBE28EC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54A42-9DF6-4FC6-8148-0F4425801E51}">
  <sheetPr codeName="Sheet8"/>
  <dimension ref="A1:P54"/>
  <sheetViews>
    <sheetView topLeftCell="A7" zoomScale="70" zoomScaleNormal="70" workbookViewId="0">
      <selection activeCell="E47" sqref="E47"/>
    </sheetView>
  </sheetViews>
  <sheetFormatPr defaultRowHeight="15" x14ac:dyDescent="0.25"/>
  <cols>
    <col min="1" max="1" width="24.5703125" bestFit="1" customWidth="1"/>
    <col min="2" max="2" width="15" bestFit="1" customWidth="1"/>
    <col min="3" max="3" width="19.140625" bestFit="1" customWidth="1"/>
    <col min="4" max="4" width="16" bestFit="1" customWidth="1"/>
    <col min="5" max="5" width="31.140625" customWidth="1"/>
    <col min="6" max="6" width="29" customWidth="1"/>
    <col min="7" max="7" width="14.140625" style="131" bestFit="1" customWidth="1"/>
  </cols>
  <sheetData>
    <row r="1" spans="1:12" x14ac:dyDescent="0.25">
      <c r="B1" s="23" t="s">
        <v>39</v>
      </c>
      <c r="C1" s="23" t="s">
        <v>331</v>
      </c>
      <c r="D1" s="19"/>
      <c r="E1" s="19" t="s">
        <v>332</v>
      </c>
      <c r="F1" s="19" t="s">
        <v>333</v>
      </c>
      <c r="K1" s="1"/>
      <c r="L1" s="1"/>
    </row>
    <row r="2" spans="1:12" x14ac:dyDescent="0.25">
      <c r="A2" s="36" t="s">
        <v>334</v>
      </c>
      <c r="B2" s="48">
        <f>+Summary!C26*0.06</f>
        <v>2134.0974000000001</v>
      </c>
      <c r="C2" s="122">
        <f>+B2/17.01</f>
        <v>125.46134038800705</v>
      </c>
      <c r="E2" t="s">
        <v>335</v>
      </c>
      <c r="F2" t="s">
        <v>336</v>
      </c>
      <c r="G2" s="132" t="s">
        <v>107</v>
      </c>
      <c r="H2" s="1"/>
    </row>
    <row r="3" spans="1:12" ht="20.25" customHeight="1" x14ac:dyDescent="0.25">
      <c r="A3" s="36" t="s">
        <v>337</v>
      </c>
      <c r="B3" s="143">
        <f>B2+B4+B5+B6</f>
        <v>2134.0974000000001</v>
      </c>
      <c r="C3" s="122">
        <f>+B3/17.01</f>
        <v>125.46134038800705</v>
      </c>
      <c r="G3" s="132"/>
      <c r="H3" s="1"/>
    </row>
    <row r="4" spans="1:12" ht="45.75" customHeight="1" x14ac:dyDescent="0.25">
      <c r="A4" s="139" t="s">
        <v>338</v>
      </c>
      <c r="B4" s="48">
        <v>0</v>
      </c>
      <c r="C4" s="122">
        <f>+B4/17.01</f>
        <v>0</v>
      </c>
      <c r="G4" s="132" t="s">
        <v>107</v>
      </c>
      <c r="H4" s="1"/>
    </row>
    <row r="5" spans="1:12" ht="30.75" customHeight="1" x14ac:dyDescent="0.25">
      <c r="A5" s="139" t="s">
        <v>339</v>
      </c>
      <c r="B5" s="48">
        <v>0</v>
      </c>
      <c r="C5" s="122">
        <f>+B5/17.01</f>
        <v>0</v>
      </c>
      <c r="E5" t="s">
        <v>340</v>
      </c>
      <c r="F5" t="s">
        <v>341</v>
      </c>
      <c r="G5" s="132" t="s">
        <v>107</v>
      </c>
      <c r="H5" s="1"/>
    </row>
    <row r="6" spans="1:12" ht="45" customHeight="1" x14ac:dyDescent="0.25">
      <c r="A6" s="139" t="s">
        <v>342</v>
      </c>
      <c r="B6" s="48">
        <v>0</v>
      </c>
      <c r="C6" s="122">
        <f>+B6/17.01</f>
        <v>0</v>
      </c>
      <c r="G6" s="132"/>
      <c r="H6" s="1"/>
    </row>
    <row r="7" spans="1:12" x14ac:dyDescent="0.25">
      <c r="G7" s="132" t="s">
        <v>107</v>
      </c>
    </row>
    <row r="8" spans="1:12" x14ac:dyDescent="0.25">
      <c r="A8" s="36" t="s">
        <v>343</v>
      </c>
      <c r="B8" s="143">
        <f>(SUMIFS(DailyNetPosition!O2:O475,DailyNetPosition!E2:E475,"0-In Store Origin unsold",DailyNetPosition!J2:J475,"&lt;&gt;RABOBANK IN",DailyNetPosition!J2:J475,"&lt;&gt;Kenyacof",DailyNetPosition!A2:A475,"Hedgeable")+SUMIFS(DailyNetPosition!O2:O475,DailyNetPosition!E2:E475,"2-To Be Shipped Unsold",DailyNetPosition!J2:J475,"&lt;&gt;RABOBANK IN",DailyNetPosition!J2:J475,"&lt;&gt;Kenyacof",DailyNetPosition!A2:A475,"Hedgeable"))*-1</f>
        <v>-66.260000000000034</v>
      </c>
      <c r="C8" s="121">
        <f>+B8/17.01</f>
        <v>-3.8953556731334524</v>
      </c>
      <c r="D8" s="83"/>
      <c r="E8" s="81" t="s">
        <v>344</v>
      </c>
      <c r="F8" s="119" t="s">
        <v>345</v>
      </c>
      <c r="G8" s="132" t="s">
        <v>107</v>
      </c>
      <c r="H8" s="1"/>
    </row>
    <row r="9" spans="1:12" x14ac:dyDescent="0.25">
      <c r="A9" s="36" t="s">
        <v>346</v>
      </c>
      <c r="B9" s="143">
        <f>-((Summary!C23+Summary!C24)*60/1000)*0.2</f>
        <v>-28.460159999999998</v>
      </c>
      <c r="C9" s="121">
        <f>+B9/17.01</f>
        <v>-1.6731428571428568</v>
      </c>
      <c r="D9" s="78"/>
      <c r="E9" s="81" t="s">
        <v>347</v>
      </c>
      <c r="F9" t="s">
        <v>348</v>
      </c>
      <c r="G9" s="132" t="s">
        <v>107</v>
      </c>
      <c r="H9" s="1"/>
    </row>
    <row r="10" spans="1:12" x14ac:dyDescent="0.25">
      <c r="A10" s="36" t="s">
        <v>349</v>
      </c>
      <c r="B10" s="143">
        <f>-((Summary!C4)*60/1000)</f>
        <v>-189.48060000000001</v>
      </c>
      <c r="C10" s="121">
        <f>+B10/17.01</f>
        <v>-11.13936507936508</v>
      </c>
      <c r="D10" s="78"/>
      <c r="E10" s="81" t="s">
        <v>350</v>
      </c>
      <c r="F10" t="s">
        <v>351</v>
      </c>
      <c r="G10" s="132" t="s">
        <v>107</v>
      </c>
      <c r="H10" s="1"/>
    </row>
    <row r="11" spans="1:12" x14ac:dyDescent="0.25">
      <c r="A11" s="36"/>
      <c r="B11" s="36"/>
      <c r="C11" s="134"/>
      <c r="D11" s="78"/>
      <c r="E11" s="81"/>
      <c r="G11" s="132" t="s">
        <v>107</v>
      </c>
      <c r="H11" s="1"/>
    </row>
    <row r="12" spans="1:12" x14ac:dyDescent="0.25">
      <c r="A12" s="36" t="s">
        <v>352</v>
      </c>
      <c r="B12" s="145">
        <f>B3+B8+B9+B10</f>
        <v>1849.8966399999997</v>
      </c>
      <c r="C12" s="122">
        <f>B12/17.01</f>
        <v>108.75347677836564</v>
      </c>
      <c r="G12" s="132" t="s">
        <v>107</v>
      </c>
      <c r="H12" s="1"/>
    </row>
    <row r="13" spans="1:12" ht="15.75" thickBot="1" x14ac:dyDescent="0.3">
      <c r="A13" s="36"/>
      <c r="B13" s="36"/>
      <c r="C13" s="121"/>
      <c r="G13" s="132" t="s">
        <v>107</v>
      </c>
      <c r="H13" s="1"/>
    </row>
    <row r="14" spans="1:12" ht="15.75" thickBot="1" x14ac:dyDescent="0.3">
      <c r="A14" s="36" t="s">
        <v>353</v>
      </c>
      <c r="B14" s="158">
        <v>-1717</v>
      </c>
      <c r="C14" s="135">
        <f>+B14/17.01</f>
        <v>-100.94062316284537</v>
      </c>
      <c r="E14" s="81" t="s">
        <v>354</v>
      </c>
      <c r="F14" t="s">
        <v>355</v>
      </c>
      <c r="G14" s="132" t="s">
        <v>107</v>
      </c>
    </row>
    <row r="15" spans="1:12" x14ac:dyDescent="0.25">
      <c r="A15" s="36" t="s">
        <v>356</v>
      </c>
      <c r="B15" s="87"/>
      <c r="C15" s="135"/>
      <c r="E15" s="81"/>
      <c r="G15" s="132" t="s">
        <v>107</v>
      </c>
    </row>
    <row r="16" spans="1:12" x14ac:dyDescent="0.25">
      <c r="A16" s="36" t="s">
        <v>357</v>
      </c>
      <c r="B16" s="145">
        <f>B12+B14+B15</f>
        <v>132.89663999999971</v>
      </c>
      <c r="C16" s="134">
        <f>B16/17.01</f>
        <v>7.8128536155202646</v>
      </c>
      <c r="D16" s="79"/>
      <c r="E16" s="81"/>
      <c r="G16" s="132" t="s">
        <v>107</v>
      </c>
    </row>
    <row r="17" spans="1:16" x14ac:dyDescent="0.25">
      <c r="A17" s="36"/>
      <c r="B17" s="36"/>
      <c r="C17" s="121"/>
      <c r="D17" s="82"/>
      <c r="E17" s="81"/>
      <c r="G17" s="132" t="s">
        <v>107</v>
      </c>
    </row>
    <row r="18" spans="1:16" x14ac:dyDescent="0.25">
      <c r="A18" s="36" t="s">
        <v>358</v>
      </c>
      <c r="B18" s="144">
        <f>SUMIFS(DailyNetPosition!S2:S9278,DailyNetPosition!A2:A9278,"Hedgeable",DailyNetPosition!E2:E9278,"&lt;&gt;invoiced with fixing only",DailyNetPosition!J2:J9278,"&lt;&gt;RABOBANK IN")</f>
        <v>-4.5599999999999925</v>
      </c>
      <c r="C18" s="136">
        <f>+B18/17.01</f>
        <v>-0.26807760141093429</v>
      </c>
      <c r="E18" s="81" t="s">
        <v>359</v>
      </c>
      <c r="F18" t="s">
        <v>360</v>
      </c>
      <c r="G18" s="132" t="s">
        <v>107</v>
      </c>
    </row>
    <row r="19" spans="1:16" x14ac:dyDescent="0.25">
      <c r="A19" s="36"/>
      <c r="B19" s="36"/>
      <c r="C19" s="121"/>
      <c r="G19" s="132" t="s">
        <v>107</v>
      </c>
    </row>
    <row r="20" spans="1:16" x14ac:dyDescent="0.25">
      <c r="A20" s="36"/>
      <c r="B20" s="36"/>
      <c r="C20" s="121"/>
      <c r="E20" s="39"/>
      <c r="G20" s="132" t="s">
        <v>107</v>
      </c>
      <c r="O20" s="1"/>
    </row>
    <row r="21" spans="1:16" x14ac:dyDescent="0.25">
      <c r="A21" s="36" t="s">
        <v>361</v>
      </c>
      <c r="B21" s="36"/>
      <c r="C21" s="122">
        <f>+C16+C18</f>
        <v>7.5447760141093303</v>
      </c>
      <c r="G21" s="132" t="s">
        <v>107</v>
      </c>
      <c r="O21" s="1"/>
      <c r="P21" s="1"/>
    </row>
    <row r="22" spans="1:16" x14ac:dyDescent="0.25">
      <c r="A22" s="120"/>
      <c r="B22" s="121"/>
      <c r="C22" s="122"/>
      <c r="G22" s="132" t="s">
        <v>107</v>
      </c>
      <c r="H22" s="1"/>
    </row>
    <row r="23" spans="1:16" x14ac:dyDescent="0.25">
      <c r="A23" s="36" t="s">
        <v>349</v>
      </c>
      <c r="B23" s="48">
        <f>B10*-1</f>
        <v>189.48060000000001</v>
      </c>
      <c r="C23" s="137">
        <f>B23/17.01</f>
        <v>11.13936507936508</v>
      </c>
      <c r="D23" s="83"/>
      <c r="F23" s="37"/>
      <c r="G23" s="132" t="s">
        <v>107</v>
      </c>
      <c r="O23" s="1"/>
    </row>
    <row r="24" spans="1:16" x14ac:dyDescent="0.25">
      <c r="A24" s="36" t="s">
        <v>362</v>
      </c>
      <c r="B24" s="36">
        <f>SUM(Summary!E4:P4)*60/1000-F24</f>
        <v>-214.44</v>
      </c>
      <c r="C24" s="137">
        <f>B24/17.01</f>
        <v>-12.606701940035272</v>
      </c>
      <c r="D24" s="83"/>
      <c r="E24" t="s">
        <v>363</v>
      </c>
      <c r="F24">
        <v>0</v>
      </c>
      <c r="G24" s="132" t="s">
        <v>107</v>
      </c>
      <c r="O24" s="1"/>
    </row>
    <row r="25" spans="1:16" x14ac:dyDescent="0.25">
      <c r="A25" s="36" t="s">
        <v>364</v>
      </c>
      <c r="B25" s="48">
        <f>B23+B24</f>
        <v>-24.959399999999988</v>
      </c>
      <c r="C25" s="137">
        <f>B25/17.01</f>
        <v>-1.4673368606701931</v>
      </c>
      <c r="D25" s="83"/>
      <c r="G25" s="132" t="s">
        <v>107</v>
      </c>
      <c r="O25" s="1"/>
    </row>
    <row r="26" spans="1:16" x14ac:dyDescent="0.25">
      <c r="A26" s="166" t="s">
        <v>365</v>
      </c>
      <c r="B26" s="167">
        <v>-102</v>
      </c>
      <c r="C26" s="168">
        <f>B26/17.01</f>
        <v>-5.996472663139329</v>
      </c>
      <c r="D26" s="83"/>
      <c r="G26" s="132" t="s">
        <v>107</v>
      </c>
      <c r="O26" s="1"/>
    </row>
    <row r="27" spans="1:16" x14ac:dyDescent="0.25">
      <c r="A27" s="36"/>
      <c r="B27" s="36"/>
      <c r="C27" s="85"/>
      <c r="D27" s="83"/>
      <c r="F27" s="153"/>
      <c r="G27" s="132" t="s">
        <v>107</v>
      </c>
      <c r="O27" s="1"/>
    </row>
    <row r="28" spans="1:16" x14ac:dyDescent="0.25">
      <c r="A28" s="36"/>
      <c r="B28" s="36"/>
      <c r="C28" s="85"/>
      <c r="D28" s="83"/>
      <c r="E28" s="19"/>
      <c r="G28" s="132" t="s">
        <v>107</v>
      </c>
      <c r="O28" s="1"/>
    </row>
    <row r="30" spans="1:16" x14ac:dyDescent="0.25">
      <c r="A30" s="3" t="s">
        <v>123</v>
      </c>
      <c r="B30" t="s">
        <v>318</v>
      </c>
      <c r="C30" s="220" t="s">
        <v>366</v>
      </c>
      <c r="F30" s="84"/>
    </row>
    <row r="31" spans="1:16" x14ac:dyDescent="0.25">
      <c r="C31" s="220"/>
      <c r="F31" s="84"/>
    </row>
    <row r="32" spans="1:16" x14ac:dyDescent="0.25">
      <c r="A32" s="3" t="s">
        <v>367</v>
      </c>
      <c r="B32" t="s">
        <v>368</v>
      </c>
      <c r="C32" s="220"/>
      <c r="F32" s="84"/>
    </row>
    <row r="33" spans="1:6" x14ac:dyDescent="0.25">
      <c r="A33" s="4" t="s">
        <v>232</v>
      </c>
      <c r="B33">
        <v>-897.60000000000014</v>
      </c>
      <c r="C33" s="83">
        <f>+B33/17.01</f>
        <v>-52.768959435626108</v>
      </c>
      <c r="D33" s="14"/>
      <c r="E33" t="s">
        <v>369</v>
      </c>
      <c r="F33" s="84"/>
    </row>
    <row r="34" spans="1:6" x14ac:dyDescent="0.25">
      <c r="A34" s="4" t="s">
        <v>186</v>
      </c>
      <c r="B34">
        <v>-515.99999999999989</v>
      </c>
      <c r="C34" s="83">
        <f>+B34/17.01</f>
        <v>-30.335097001763661</v>
      </c>
      <c r="E34" t="s">
        <v>370</v>
      </c>
    </row>
    <row r="35" spans="1:6" x14ac:dyDescent="0.25">
      <c r="A35" s="4" t="s">
        <v>315</v>
      </c>
      <c r="B35">
        <v>-924</v>
      </c>
      <c r="C35" s="83">
        <f t="shared" ref="C35:C39" si="0">+B35/17.01</f>
        <v>-54.32098765432098</v>
      </c>
      <c r="E35" t="s">
        <v>371</v>
      </c>
    </row>
    <row r="36" spans="1:6" x14ac:dyDescent="0.25">
      <c r="A36" s="4" t="s">
        <v>290</v>
      </c>
      <c r="B36">
        <v>-490.5</v>
      </c>
      <c r="C36" s="83">
        <f t="shared" si="0"/>
        <v>-28.835978835978832</v>
      </c>
    </row>
    <row r="37" spans="1:6" x14ac:dyDescent="0.25">
      <c r="A37" s="4" t="s">
        <v>1289</v>
      </c>
      <c r="B37">
        <v>-1.2</v>
      </c>
      <c r="C37" s="83">
        <f t="shared" si="0"/>
        <v>-7.0546737213403876E-2</v>
      </c>
    </row>
    <row r="38" spans="1:6" x14ac:dyDescent="0.25">
      <c r="A38" s="4" t="s">
        <v>372</v>
      </c>
      <c r="B38">
        <v>-2829.2999999999997</v>
      </c>
      <c r="C38" s="83">
        <f t="shared" si="0"/>
        <v>-166.33156966490296</v>
      </c>
    </row>
    <row r="39" spans="1:6" x14ac:dyDescent="0.25">
      <c r="C39" s="83">
        <f t="shared" si="0"/>
        <v>0</v>
      </c>
    </row>
    <row r="43" spans="1:6" x14ac:dyDescent="0.25">
      <c r="A43" s="90" t="s">
        <v>373</v>
      </c>
      <c r="B43" s="90" t="s">
        <v>331</v>
      </c>
      <c r="C43" s="90" t="s">
        <v>374</v>
      </c>
      <c r="D43" s="90" t="s">
        <v>375</v>
      </c>
      <c r="E43" s="147" t="s">
        <v>376</v>
      </c>
      <c r="F43" s="147" t="s">
        <v>377</v>
      </c>
    </row>
    <row r="44" spans="1:6" x14ac:dyDescent="0.25">
      <c r="A44" s="2" t="s">
        <v>378</v>
      </c>
      <c r="B44" s="138">
        <v>0</v>
      </c>
      <c r="C44" s="28">
        <f>IFERROR(+GETPIVOTDATA("SMT",$A$32,"sFixDte","KCH/2026")/-17.01, 0)</f>
        <v>0</v>
      </c>
      <c r="D44" s="28">
        <f>B44+C44</f>
        <v>0</v>
      </c>
      <c r="E44" s="146">
        <v>4.45</v>
      </c>
      <c r="F44" s="150">
        <f>E44*D44*375</f>
        <v>0</v>
      </c>
    </row>
    <row r="45" spans="1:6" x14ac:dyDescent="0.25">
      <c r="A45" s="2" t="s">
        <v>379</v>
      </c>
      <c r="B45" s="138">
        <v>0</v>
      </c>
      <c r="C45" s="28">
        <f>IFERROR(+GETPIVOTDATA("SMT",$A$32,"sFixDte","KCK/2026")/-17.01,0)</f>
        <v>0</v>
      </c>
      <c r="D45" s="28">
        <f>+D44+B45+C45</f>
        <v>0</v>
      </c>
      <c r="E45" s="146">
        <v>14</v>
      </c>
      <c r="F45" s="150">
        <f t="shared" ref="F45:F49" si="1">E45*D45*375</f>
        <v>0</v>
      </c>
    </row>
    <row r="46" spans="1:6" x14ac:dyDescent="0.25">
      <c r="A46" s="2" t="s">
        <v>380</v>
      </c>
      <c r="B46" s="138">
        <f>-7-6</f>
        <v>-13</v>
      </c>
      <c r="C46" s="28">
        <f>+GETPIVOTDATA("SMT",$A$32,"sFixDte","KCN/2026")/-17.01</f>
        <v>30.335097001763661</v>
      </c>
      <c r="D46" s="28">
        <f>+D45+B46+C46</f>
        <v>17.335097001763661</v>
      </c>
      <c r="E46" s="146">
        <v>7.65</v>
      </c>
      <c r="F46" s="150">
        <f t="shared" si="1"/>
        <v>49730.059523809505</v>
      </c>
    </row>
    <row r="47" spans="1:6" x14ac:dyDescent="0.25">
      <c r="A47" s="2" t="s">
        <v>381</v>
      </c>
      <c r="B47" s="138">
        <f>-94-17</f>
        <v>-111</v>
      </c>
      <c r="C47" s="28">
        <f>+GETPIVOTDATA("SMT",$A$32,"sFixDte","KCU/2026")/-17.01</f>
        <v>52.768959435626108</v>
      </c>
      <c r="D47" s="28">
        <f>+D46+B47+C47</f>
        <v>-40.895943562610235</v>
      </c>
      <c r="E47" s="146">
        <v>6.55</v>
      </c>
      <c r="F47" s="150">
        <f t="shared" si="1"/>
        <v>-100450.66137566138</v>
      </c>
    </row>
    <row r="48" spans="1:6" x14ac:dyDescent="0.25">
      <c r="A48" s="2" t="s">
        <v>382</v>
      </c>
      <c r="B48" s="138">
        <v>0</v>
      </c>
      <c r="C48" s="28">
        <f>+GETPIVOTDATA("SMT",$A$32,"sFixDte","KCZ/2026")/-17.01</f>
        <v>54.32098765432098</v>
      </c>
      <c r="D48" s="28">
        <f>+D47+B48+C48</f>
        <v>13.425044091710745</v>
      </c>
      <c r="E48" s="146">
        <v>2.4</v>
      </c>
      <c r="F48" s="150">
        <f t="shared" si="1"/>
        <v>12082.539682539669</v>
      </c>
    </row>
    <row r="49" spans="1:6" x14ac:dyDescent="0.25">
      <c r="A49" s="2" t="s">
        <v>383</v>
      </c>
      <c r="B49" s="138">
        <v>0</v>
      </c>
      <c r="C49" s="28">
        <f>+GETPIVOTDATA("SMT",$A$32,"sFixDte","KCH/2027")/-17.01</f>
        <v>28.835978835978832</v>
      </c>
      <c r="D49" s="28">
        <f>+D48+B49+C49</f>
        <v>42.261022927689581</v>
      </c>
      <c r="E49" s="146">
        <v>0.85</v>
      </c>
      <c r="F49" s="150">
        <f t="shared" si="1"/>
        <v>13470.701058201055</v>
      </c>
    </row>
    <row r="50" spans="1:6" x14ac:dyDescent="0.25">
      <c r="A50" s="49"/>
    </row>
    <row r="51" spans="1:6" x14ac:dyDescent="0.25">
      <c r="A51" s="49"/>
    </row>
    <row r="52" spans="1:6" x14ac:dyDescent="0.25">
      <c r="A52" s="49"/>
      <c r="E52" s="83"/>
    </row>
    <row r="53" spans="1:6" x14ac:dyDescent="0.25">
      <c r="A53" s="49"/>
      <c r="E53" s="94"/>
    </row>
    <row r="54" spans="1:6" x14ac:dyDescent="0.25">
      <c r="A54" s="49"/>
    </row>
  </sheetData>
  <mergeCells count="1">
    <mergeCell ref="C30:C32"/>
  </mergeCells>
  <phoneticPr fontId="3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8C7B7-90C2-492F-8E55-0C9A271CD3E4}">
  <sheetPr>
    <tabColor theme="5" tint="0.79998168889431442"/>
  </sheetPr>
  <dimension ref="A1:T2"/>
  <sheetViews>
    <sheetView zoomScale="70" zoomScaleNormal="70" workbookViewId="0">
      <selection activeCell="F33" sqref="F33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21" bestFit="1" customWidth="1"/>
    <col min="5" max="5" width="14.85546875" bestFit="1" customWidth="1"/>
    <col min="6" max="6" width="14.42578125" style="133" bestFit="1" customWidth="1"/>
    <col min="7" max="7" width="11.7109375" style="133" bestFit="1" customWidth="1"/>
    <col min="8" max="8" width="15.85546875" style="133" bestFit="1" customWidth="1"/>
    <col min="9" max="9" width="10" style="133" bestFit="1" customWidth="1"/>
    <col min="10" max="11" width="13" style="133" bestFit="1" customWidth="1"/>
    <col min="12" max="12" width="11.7109375" style="133" bestFit="1" customWidth="1"/>
    <col min="13" max="13" width="23.42578125" style="133" bestFit="1" customWidth="1"/>
    <col min="14" max="14" width="24.85546875" style="133" bestFit="1" customWidth="1"/>
    <col min="15" max="15" width="10.5703125" bestFit="1" customWidth="1"/>
    <col min="16" max="16" width="15.28515625" bestFit="1" customWidth="1"/>
    <col min="17" max="17" width="21.42578125" bestFit="1" customWidth="1"/>
    <col min="18" max="18" width="13.42578125" bestFit="1" customWidth="1"/>
    <col min="19" max="19" width="20.140625" bestFit="1" customWidth="1"/>
    <col min="20" max="20" width="16.7109375" bestFit="1" customWidth="1"/>
  </cols>
  <sheetData>
    <row r="1" spans="1:20" x14ac:dyDescent="0.25">
      <c r="A1" t="s">
        <v>117</v>
      </c>
      <c r="B1" t="s">
        <v>118</v>
      </c>
      <c r="C1" t="s">
        <v>119</v>
      </c>
      <c r="D1" t="s">
        <v>120</v>
      </c>
      <c r="E1" t="s">
        <v>121</v>
      </c>
      <c r="F1" s="133" t="s">
        <v>124</v>
      </c>
      <c r="G1" s="133" t="s">
        <v>125</v>
      </c>
      <c r="H1" s="133" t="s">
        <v>126</v>
      </c>
      <c r="I1" s="133" t="s">
        <v>127</v>
      </c>
      <c r="J1" s="133" t="s">
        <v>128</v>
      </c>
      <c r="K1" s="133" t="s">
        <v>129</v>
      </c>
      <c r="L1" s="133" t="s">
        <v>130</v>
      </c>
      <c r="M1" s="133" t="s">
        <v>131</v>
      </c>
      <c r="N1" s="133" t="s">
        <v>132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</row>
    <row r="2" spans="1:20" x14ac:dyDescent="0.25">
      <c r="A2" t="s">
        <v>167</v>
      </c>
      <c r="B2" t="s">
        <v>168</v>
      </c>
      <c r="C2" t="s">
        <v>267</v>
      </c>
      <c r="D2" t="s">
        <v>170</v>
      </c>
      <c r="E2" t="s">
        <v>384</v>
      </c>
      <c r="F2" s="133" t="s">
        <v>267</v>
      </c>
      <c r="G2" s="133" t="s">
        <v>385</v>
      </c>
      <c r="H2" s="149">
        <v>45730</v>
      </c>
      <c r="I2" s="133">
        <v>-43.2</v>
      </c>
      <c r="J2" s="133">
        <v>-720</v>
      </c>
      <c r="K2" s="133" t="s">
        <v>319</v>
      </c>
      <c r="L2" s="133" t="s">
        <v>386</v>
      </c>
      <c r="M2" s="133" t="s">
        <v>387</v>
      </c>
      <c r="N2" s="133" t="s">
        <v>388</v>
      </c>
      <c r="O2">
        <v>-19</v>
      </c>
      <c r="P2">
        <v>-40.089500000000001</v>
      </c>
      <c r="Q2" t="s">
        <v>389</v>
      </c>
      <c r="R2" t="s">
        <v>390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B2B8-6D2A-4EEF-94AE-DF8333EB0211}">
  <sheetPr>
    <tabColor theme="5" tint="0.79998168889431442"/>
  </sheetPr>
  <dimension ref="A1:BV3"/>
  <sheetViews>
    <sheetView zoomScale="70" zoomScaleNormal="70" workbookViewId="0">
      <selection activeCell="A2" sqref="A2:XFD2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2.42578125" bestFit="1" customWidth="1"/>
    <col min="5" max="5" width="14.85546875" bestFit="1" customWidth="1"/>
    <col min="6" max="6" width="24.28515625" bestFit="1" customWidth="1"/>
    <col min="7" max="7" width="32" bestFit="1" customWidth="1"/>
    <col min="8" max="8" width="14.42578125" bestFit="1" customWidth="1"/>
    <col min="9" max="9" width="11.5703125" bestFit="1" customWidth="1"/>
    <col min="10" max="10" width="15.85546875" bestFit="1" customWidth="1"/>
    <col min="11" max="11" width="10" bestFit="1" customWidth="1"/>
    <col min="12" max="13" width="13" bestFit="1" customWidth="1"/>
    <col min="14" max="14" width="11.7109375" bestFit="1" customWidth="1"/>
    <col min="15" max="15" width="23.42578125" bestFit="1" customWidth="1"/>
    <col min="16" max="16" width="13.42578125" bestFit="1" customWidth="1"/>
    <col min="17" max="17" width="10.28515625" bestFit="1" customWidth="1"/>
    <col min="18" max="18" width="11.7109375" bestFit="1" customWidth="1"/>
    <col min="19" max="19" width="10.5703125" bestFit="1" customWidth="1"/>
    <col min="20" max="20" width="15.28515625" bestFit="1" customWidth="1"/>
    <col min="21" max="21" width="17.140625" bestFit="1" customWidth="1"/>
    <col min="22" max="22" width="13.42578125" bestFit="1" customWidth="1"/>
    <col min="23" max="23" width="20.140625" bestFit="1" customWidth="1"/>
    <col min="24" max="25" width="16.7109375" bestFit="1" customWidth="1"/>
    <col min="26" max="26" width="15.7109375" bestFit="1" customWidth="1"/>
    <col min="27" max="27" width="23.42578125" bestFit="1" customWidth="1"/>
    <col min="28" max="28" width="24.28515625" bestFit="1" customWidth="1"/>
    <col min="29" max="29" width="20.28515625" bestFit="1" customWidth="1"/>
    <col min="30" max="30" width="22.140625" bestFit="1" customWidth="1"/>
    <col min="31" max="31" width="21.140625" bestFit="1" customWidth="1"/>
    <col min="32" max="32" width="25.85546875" bestFit="1" customWidth="1"/>
    <col min="33" max="35" width="21.7109375" bestFit="1" customWidth="1"/>
    <col min="36" max="36" width="24.42578125" bestFit="1" customWidth="1"/>
    <col min="37" max="37" width="24.28515625" bestFit="1" customWidth="1"/>
    <col min="38" max="40" width="20.28515625" bestFit="1" customWidth="1"/>
    <col min="41" max="41" width="23" bestFit="1" customWidth="1"/>
    <col min="42" max="42" width="25.42578125" bestFit="1" customWidth="1"/>
    <col min="43" max="43" width="30.28515625" bestFit="1" customWidth="1"/>
    <col min="44" max="44" width="30.7109375" bestFit="1" customWidth="1"/>
    <col min="45" max="45" width="15.7109375" bestFit="1" customWidth="1"/>
    <col min="46" max="46" width="15.42578125" bestFit="1" customWidth="1"/>
    <col min="47" max="48" width="25.28515625" bestFit="1" customWidth="1"/>
    <col min="49" max="49" width="17.140625" bestFit="1" customWidth="1"/>
    <col min="50" max="50" width="25" bestFit="1" customWidth="1"/>
    <col min="51" max="51" width="25.85546875" bestFit="1" customWidth="1"/>
    <col min="52" max="52" width="21.7109375" bestFit="1" customWidth="1"/>
    <col min="53" max="53" width="20.28515625" bestFit="1" customWidth="1"/>
    <col min="54" max="54" width="23" bestFit="1" customWidth="1"/>
    <col min="55" max="55" width="27.28515625" bestFit="1" customWidth="1"/>
    <col min="56" max="58" width="23.140625" bestFit="1" customWidth="1"/>
    <col min="59" max="59" width="27.140625" bestFit="1" customWidth="1"/>
    <col min="60" max="60" width="26.42578125" bestFit="1" customWidth="1"/>
    <col min="61" max="63" width="22.85546875" bestFit="1" customWidth="1"/>
    <col min="64" max="64" width="25.7109375" bestFit="1" customWidth="1"/>
    <col min="65" max="65" width="27.85546875" bestFit="1" customWidth="1"/>
    <col min="66" max="66" width="32.85546875" bestFit="1" customWidth="1"/>
    <col min="67" max="67" width="33.140625" bestFit="1" customWidth="1"/>
    <col min="68" max="68" width="18.140625" bestFit="1" customWidth="1"/>
    <col min="69" max="69" width="18.28515625" bestFit="1" customWidth="1"/>
    <col min="70" max="70" width="27.7109375" bestFit="1" customWidth="1"/>
    <col min="71" max="71" width="28.140625" bestFit="1" customWidth="1"/>
    <col min="72" max="72" width="12.140625" bestFit="1" customWidth="1"/>
    <col min="73" max="74" width="14.28515625" bestFit="1" customWidth="1"/>
  </cols>
  <sheetData>
    <row r="1" spans="1:74" ht="30" x14ac:dyDescent="0.25">
      <c r="A1" t="s">
        <v>117</v>
      </c>
      <c r="B1" t="s">
        <v>118</v>
      </c>
      <c r="C1" t="s">
        <v>119</v>
      </c>
      <c r="D1" t="s">
        <v>120</v>
      </c>
      <c r="E1" t="s">
        <v>121</v>
      </c>
      <c r="F1" s="94" t="s">
        <v>122</v>
      </c>
      <c r="G1" t="s">
        <v>123</v>
      </c>
      <c r="H1" t="s">
        <v>124</v>
      </c>
      <c r="I1" t="s">
        <v>125</v>
      </c>
      <c r="J1" s="38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132</v>
      </c>
      <c r="Q1" t="s">
        <v>133</v>
      </c>
      <c r="R1" t="s">
        <v>134</v>
      </c>
      <c r="S1" t="s">
        <v>135</v>
      </c>
      <c r="T1" t="s">
        <v>136</v>
      </c>
      <c r="U1" t="s">
        <v>137</v>
      </c>
      <c r="V1" t="s">
        <v>138</v>
      </c>
      <c r="W1" t="s">
        <v>139</v>
      </c>
      <c r="X1" t="s">
        <v>140</v>
      </c>
      <c r="Y1" t="s">
        <v>141</v>
      </c>
      <c r="Z1" t="s">
        <v>37</v>
      </c>
      <c r="AA1" t="s">
        <v>41</v>
      </c>
      <c r="AB1" t="s">
        <v>44</v>
      </c>
      <c r="AC1" t="s">
        <v>47</v>
      </c>
      <c r="AD1" t="s">
        <v>142</v>
      </c>
      <c r="AE1" t="s">
        <v>143</v>
      </c>
      <c r="AF1" t="s">
        <v>54</v>
      </c>
      <c r="AG1" t="s">
        <v>56</v>
      </c>
      <c r="AH1" t="s">
        <v>58</v>
      </c>
      <c r="AI1" t="s">
        <v>60</v>
      </c>
      <c r="AJ1" t="s">
        <v>61</v>
      </c>
      <c r="AK1" t="s">
        <v>64</v>
      </c>
      <c r="AL1" t="s">
        <v>66</v>
      </c>
      <c r="AM1" t="s">
        <v>67</v>
      </c>
      <c r="AN1" t="s">
        <v>68</v>
      </c>
      <c r="AO1" t="s">
        <v>69</v>
      </c>
      <c r="AP1" t="s">
        <v>115</v>
      </c>
      <c r="AQ1" t="s">
        <v>70</v>
      </c>
      <c r="AR1" t="s">
        <v>71</v>
      </c>
      <c r="AS1" t="s">
        <v>72</v>
      </c>
      <c r="AT1" t="s">
        <v>73</v>
      </c>
      <c r="AU1" t="s">
        <v>74</v>
      </c>
      <c r="AV1" t="s">
        <v>75</v>
      </c>
      <c r="AW1" t="s">
        <v>144</v>
      </c>
      <c r="AX1" t="s">
        <v>145</v>
      </c>
      <c r="AY1" t="s">
        <v>146</v>
      </c>
      <c r="AZ1" t="s">
        <v>147</v>
      </c>
      <c r="BA1" t="s">
        <v>50</v>
      </c>
      <c r="BB1" t="s">
        <v>52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116</v>
      </c>
      <c r="BU1" t="s">
        <v>165</v>
      </c>
      <c r="BV1" t="s">
        <v>166</v>
      </c>
    </row>
    <row r="2" spans="1:74" x14ac:dyDescent="0.25">
      <c r="J2" s="38"/>
    </row>
    <row r="3" spans="1:74" x14ac:dyDescent="0.25">
      <c r="J3" s="38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0E8AD-321E-410E-AD5F-F497C39CADAE}">
  <sheetPr>
    <tabColor rgb="FF00B050"/>
  </sheetPr>
  <dimension ref="A1:AH6953"/>
  <sheetViews>
    <sheetView zoomScale="85" zoomScaleNormal="85" workbookViewId="0">
      <selection activeCell="G24" sqref="G24"/>
    </sheetView>
  </sheetViews>
  <sheetFormatPr defaultRowHeight="15" x14ac:dyDescent="0.25"/>
  <cols>
    <col min="1" max="1" width="16.28515625" customWidth="1"/>
    <col min="2" max="2" width="18.5703125" customWidth="1"/>
    <col min="5" max="5" width="25.42578125" customWidth="1"/>
    <col min="7" max="7" width="13.85546875" customWidth="1"/>
    <col min="8" max="8" width="33" customWidth="1"/>
    <col min="9" max="9" width="13.28515625" bestFit="1" customWidth="1"/>
    <col min="10" max="10" width="15.85546875" bestFit="1" customWidth="1"/>
    <col min="11" max="11" width="15.140625" bestFit="1" customWidth="1"/>
    <col min="12" max="12" width="10.7109375" bestFit="1" customWidth="1"/>
    <col min="13" max="13" width="7.5703125" bestFit="1" customWidth="1"/>
    <col min="23" max="23" width="24.5703125" bestFit="1" customWidth="1"/>
    <col min="24" max="24" width="14" bestFit="1" customWidth="1"/>
    <col min="26" max="26" width="17.5703125" bestFit="1" customWidth="1"/>
    <col min="32" max="32" width="16.5703125" bestFit="1" customWidth="1"/>
    <col min="33" max="33" width="16.28515625" bestFit="1" customWidth="1"/>
    <col min="34" max="34" width="13.42578125" customWidth="1"/>
  </cols>
  <sheetData>
    <row r="1" spans="1:34" x14ac:dyDescent="0.25">
      <c r="A1" s="142" t="s">
        <v>391</v>
      </c>
      <c r="B1" s="142" t="s">
        <v>392</v>
      </c>
      <c r="C1" s="142" t="s">
        <v>393</v>
      </c>
      <c r="D1" s="142" t="s">
        <v>118</v>
      </c>
      <c r="E1" s="142" t="s">
        <v>394</v>
      </c>
      <c r="F1" s="142" t="s">
        <v>395</v>
      </c>
      <c r="G1" s="142" t="s">
        <v>396</v>
      </c>
      <c r="H1" s="142" t="s">
        <v>119</v>
      </c>
      <c r="I1" s="142" t="s">
        <v>397</v>
      </c>
      <c r="J1" s="142" t="s">
        <v>398</v>
      </c>
      <c r="K1" s="142" t="s">
        <v>399</v>
      </c>
      <c r="L1" s="142" t="s">
        <v>400</v>
      </c>
      <c r="M1" s="142" t="s">
        <v>401</v>
      </c>
      <c r="N1" s="142" t="s">
        <v>402</v>
      </c>
      <c r="O1" s="142" t="s">
        <v>403</v>
      </c>
      <c r="P1" s="142" t="s">
        <v>404</v>
      </c>
      <c r="Q1" s="142" t="s">
        <v>405</v>
      </c>
      <c r="R1" s="142" t="s">
        <v>406</v>
      </c>
      <c r="S1" s="142" t="s">
        <v>407</v>
      </c>
      <c r="T1" s="142" t="s">
        <v>408</v>
      </c>
      <c r="U1" s="142" t="s">
        <v>409</v>
      </c>
      <c r="V1" s="142" t="s">
        <v>410</v>
      </c>
      <c r="W1" s="142" t="s">
        <v>411</v>
      </c>
      <c r="X1" s="142" t="s">
        <v>412</v>
      </c>
      <c r="Y1" s="142" t="s">
        <v>413</v>
      </c>
      <c r="Z1" s="142" t="s">
        <v>414</v>
      </c>
      <c r="AA1" s="142" t="s">
        <v>415</v>
      </c>
      <c r="AB1" s="142" t="s">
        <v>416</v>
      </c>
      <c r="AC1" s="142" t="s">
        <v>417</v>
      </c>
      <c r="AD1" s="142" t="s">
        <v>418</v>
      </c>
      <c r="AE1" s="142" t="s">
        <v>419</v>
      </c>
      <c r="AF1" s="142" t="s">
        <v>420</v>
      </c>
      <c r="AG1" s="142" t="s">
        <v>421</v>
      </c>
      <c r="AH1" s="142" t="s">
        <v>422</v>
      </c>
    </row>
    <row r="2" spans="1:34" x14ac:dyDescent="0.25">
      <c r="A2" t="s">
        <v>318</v>
      </c>
      <c r="B2" t="s">
        <v>423</v>
      </c>
      <c r="C2" t="s">
        <v>167</v>
      </c>
      <c r="D2" t="s">
        <v>168</v>
      </c>
      <c r="E2" t="s">
        <v>424</v>
      </c>
      <c r="F2" t="s">
        <v>425</v>
      </c>
      <c r="G2" t="s">
        <v>179</v>
      </c>
      <c r="H2" t="s">
        <v>220</v>
      </c>
      <c r="I2" t="s">
        <v>426</v>
      </c>
      <c r="J2" t="s">
        <v>427</v>
      </c>
      <c r="L2" s="38">
        <v>46191</v>
      </c>
      <c r="M2">
        <v>1</v>
      </c>
      <c r="N2" t="s">
        <v>428</v>
      </c>
      <c r="O2">
        <v>0.62</v>
      </c>
      <c r="P2">
        <v>0</v>
      </c>
      <c r="Q2">
        <v>0</v>
      </c>
      <c r="R2">
        <v>0</v>
      </c>
      <c r="S2">
        <v>0.62</v>
      </c>
      <c r="T2" t="s">
        <v>206</v>
      </c>
      <c r="X2" t="s">
        <v>429</v>
      </c>
      <c r="Z2" s="38">
        <v>43568</v>
      </c>
      <c r="AF2" t="s">
        <v>430</v>
      </c>
    </row>
    <row r="3" spans="1:34" x14ac:dyDescent="0.25">
      <c r="A3" t="s">
        <v>318</v>
      </c>
      <c r="B3" t="s">
        <v>431</v>
      </c>
      <c r="C3" t="s">
        <v>167</v>
      </c>
      <c r="D3" t="s">
        <v>168</v>
      </c>
      <c r="E3" t="s">
        <v>424</v>
      </c>
      <c r="F3" t="s">
        <v>425</v>
      </c>
      <c r="G3" t="s">
        <v>179</v>
      </c>
      <c r="H3" t="s">
        <v>220</v>
      </c>
      <c r="I3" t="s">
        <v>426</v>
      </c>
      <c r="J3" t="s">
        <v>427</v>
      </c>
      <c r="L3" s="38">
        <v>46191</v>
      </c>
      <c r="M3">
        <v>1</v>
      </c>
      <c r="N3" t="s">
        <v>428</v>
      </c>
      <c r="O3">
        <v>1.64</v>
      </c>
      <c r="P3">
        <v>0</v>
      </c>
      <c r="Q3">
        <v>0</v>
      </c>
      <c r="R3">
        <v>0</v>
      </c>
      <c r="S3">
        <v>1.64</v>
      </c>
      <c r="U3" t="s">
        <v>432</v>
      </c>
      <c r="X3" t="s">
        <v>429</v>
      </c>
      <c r="Z3" s="38">
        <v>44592</v>
      </c>
      <c r="AF3" t="s">
        <v>433</v>
      </c>
    </row>
    <row r="4" spans="1:34" x14ac:dyDescent="0.25">
      <c r="A4" t="s">
        <v>318</v>
      </c>
      <c r="B4" t="s">
        <v>434</v>
      </c>
      <c r="C4" t="s">
        <v>167</v>
      </c>
      <c r="D4" t="s">
        <v>168</v>
      </c>
      <c r="E4" t="s">
        <v>424</v>
      </c>
      <c r="F4" t="s">
        <v>425</v>
      </c>
      <c r="G4" t="s">
        <v>179</v>
      </c>
      <c r="H4" t="s">
        <v>220</v>
      </c>
      <c r="I4" t="s">
        <v>426</v>
      </c>
      <c r="J4" t="s">
        <v>427</v>
      </c>
      <c r="L4" s="38">
        <v>46191</v>
      </c>
      <c r="M4">
        <v>1</v>
      </c>
      <c r="N4" t="s">
        <v>428</v>
      </c>
      <c r="O4">
        <v>1.43</v>
      </c>
      <c r="P4">
        <v>0</v>
      </c>
      <c r="Q4">
        <v>0</v>
      </c>
      <c r="R4">
        <v>0</v>
      </c>
      <c r="S4">
        <v>1.43</v>
      </c>
      <c r="U4" t="s">
        <v>432</v>
      </c>
      <c r="X4" t="s">
        <v>429</v>
      </c>
      <c r="Z4" s="38">
        <v>44620</v>
      </c>
      <c r="AF4" t="s">
        <v>433</v>
      </c>
    </row>
    <row r="5" spans="1:34" x14ac:dyDescent="0.25">
      <c r="A5" t="s">
        <v>318</v>
      </c>
      <c r="B5" t="s">
        <v>435</v>
      </c>
      <c r="C5" t="s">
        <v>167</v>
      </c>
      <c r="D5" t="s">
        <v>168</v>
      </c>
      <c r="E5" t="s">
        <v>424</v>
      </c>
      <c r="F5" t="s">
        <v>425</v>
      </c>
      <c r="G5" t="s">
        <v>179</v>
      </c>
      <c r="H5" t="s">
        <v>220</v>
      </c>
      <c r="I5" t="s">
        <v>426</v>
      </c>
      <c r="J5" t="s">
        <v>436</v>
      </c>
      <c r="L5" s="38">
        <v>46191</v>
      </c>
      <c r="M5">
        <v>1</v>
      </c>
      <c r="N5" t="s">
        <v>428</v>
      </c>
      <c r="O5">
        <v>0.6</v>
      </c>
      <c r="P5">
        <v>0</v>
      </c>
      <c r="Q5">
        <v>0</v>
      </c>
      <c r="R5">
        <v>0</v>
      </c>
      <c r="S5">
        <v>0.6</v>
      </c>
      <c r="T5" t="s">
        <v>234</v>
      </c>
      <c r="X5" t="s">
        <v>429</v>
      </c>
      <c r="Z5" s="38">
        <v>45443</v>
      </c>
      <c r="AF5" t="s">
        <v>437</v>
      </c>
    </row>
    <row r="6" spans="1:34" x14ac:dyDescent="0.25">
      <c r="A6" t="s">
        <v>318</v>
      </c>
      <c r="B6" t="s">
        <v>438</v>
      </c>
      <c r="C6" t="s">
        <v>167</v>
      </c>
      <c r="D6" t="s">
        <v>168</v>
      </c>
      <c r="E6" t="s">
        <v>424</v>
      </c>
      <c r="F6" t="s">
        <v>425</v>
      </c>
      <c r="G6" t="s">
        <v>179</v>
      </c>
      <c r="H6" t="s">
        <v>220</v>
      </c>
      <c r="I6" t="s">
        <v>426</v>
      </c>
      <c r="J6" t="s">
        <v>439</v>
      </c>
      <c r="L6" s="38">
        <v>46191</v>
      </c>
      <c r="M6">
        <v>1</v>
      </c>
      <c r="N6" t="s">
        <v>428</v>
      </c>
      <c r="O6">
        <v>1.29</v>
      </c>
      <c r="P6">
        <v>0</v>
      </c>
      <c r="Q6">
        <v>0</v>
      </c>
      <c r="R6">
        <v>0</v>
      </c>
      <c r="S6">
        <v>1.29</v>
      </c>
      <c r="W6" t="s">
        <v>207</v>
      </c>
      <c r="X6" t="s">
        <v>429</v>
      </c>
      <c r="Z6" s="38">
        <v>45747</v>
      </c>
      <c r="AF6" t="s">
        <v>440</v>
      </c>
    </row>
    <row r="7" spans="1:34" x14ac:dyDescent="0.25">
      <c r="A7" t="s">
        <v>318</v>
      </c>
      <c r="B7" t="s">
        <v>441</v>
      </c>
      <c r="C7" t="s">
        <v>167</v>
      </c>
      <c r="D7" t="s">
        <v>168</v>
      </c>
      <c r="E7" t="s">
        <v>424</v>
      </c>
      <c r="F7" t="s">
        <v>425</v>
      </c>
      <c r="G7" t="s">
        <v>179</v>
      </c>
      <c r="H7" t="s">
        <v>220</v>
      </c>
      <c r="I7" t="s">
        <v>426</v>
      </c>
      <c r="J7" t="s">
        <v>439</v>
      </c>
      <c r="L7" s="38">
        <v>46191</v>
      </c>
      <c r="M7">
        <v>1</v>
      </c>
      <c r="N7" t="s">
        <v>428</v>
      </c>
      <c r="O7">
        <v>1.34</v>
      </c>
      <c r="P7">
        <v>0</v>
      </c>
      <c r="Q7">
        <v>0</v>
      </c>
      <c r="R7">
        <v>0</v>
      </c>
      <c r="S7">
        <v>1.34</v>
      </c>
      <c r="W7" t="s">
        <v>207</v>
      </c>
      <c r="X7" t="s">
        <v>429</v>
      </c>
      <c r="Z7" s="38">
        <v>45747</v>
      </c>
      <c r="AF7" t="s">
        <v>440</v>
      </c>
    </row>
    <row r="8" spans="1:34" x14ac:dyDescent="0.25">
      <c r="A8" t="s">
        <v>318</v>
      </c>
      <c r="B8" t="s">
        <v>442</v>
      </c>
      <c r="C8" t="s">
        <v>167</v>
      </c>
      <c r="D8" t="s">
        <v>168</v>
      </c>
      <c r="E8" t="s">
        <v>424</v>
      </c>
      <c r="F8" t="s">
        <v>425</v>
      </c>
      <c r="G8" t="s">
        <v>179</v>
      </c>
      <c r="H8" t="s">
        <v>220</v>
      </c>
      <c r="I8" t="s">
        <v>426</v>
      </c>
      <c r="J8" t="s">
        <v>443</v>
      </c>
      <c r="L8" s="38">
        <v>46191</v>
      </c>
      <c r="M8">
        <v>1</v>
      </c>
      <c r="N8" t="s">
        <v>428</v>
      </c>
      <c r="O8">
        <v>0.39</v>
      </c>
      <c r="P8">
        <v>0</v>
      </c>
      <c r="Q8">
        <v>0</v>
      </c>
      <c r="R8">
        <v>0</v>
      </c>
      <c r="S8">
        <v>0.39</v>
      </c>
      <c r="X8" t="s">
        <v>429</v>
      </c>
      <c r="Z8" s="38">
        <v>45808</v>
      </c>
      <c r="AF8" t="s">
        <v>440</v>
      </c>
    </row>
    <row r="9" spans="1:34" x14ac:dyDescent="0.25">
      <c r="A9" t="s">
        <v>318</v>
      </c>
      <c r="B9" t="s">
        <v>444</v>
      </c>
      <c r="C9" t="s">
        <v>167</v>
      </c>
      <c r="D9" t="s">
        <v>168</v>
      </c>
      <c r="E9" t="s">
        <v>445</v>
      </c>
      <c r="F9" t="s">
        <v>425</v>
      </c>
      <c r="G9" t="s">
        <v>179</v>
      </c>
      <c r="H9" t="s">
        <v>220</v>
      </c>
      <c r="I9" t="s">
        <v>426</v>
      </c>
      <c r="J9" t="s">
        <v>446</v>
      </c>
      <c r="L9" s="38">
        <v>46191</v>
      </c>
      <c r="M9">
        <v>1</v>
      </c>
      <c r="N9" t="s">
        <v>428</v>
      </c>
      <c r="O9">
        <v>0</v>
      </c>
      <c r="P9">
        <v>0</v>
      </c>
      <c r="Q9">
        <v>0</v>
      </c>
      <c r="R9">
        <v>0</v>
      </c>
      <c r="S9">
        <v>0</v>
      </c>
      <c r="X9" t="s">
        <v>429</v>
      </c>
      <c r="Z9" s="38">
        <v>46066</v>
      </c>
      <c r="AF9" t="s">
        <v>447</v>
      </c>
    </row>
    <row r="10" spans="1:34" x14ac:dyDescent="0.25">
      <c r="A10" t="s">
        <v>318</v>
      </c>
      <c r="B10" t="s">
        <v>448</v>
      </c>
      <c r="C10" t="s">
        <v>167</v>
      </c>
      <c r="D10" t="s">
        <v>168</v>
      </c>
      <c r="E10" t="s">
        <v>445</v>
      </c>
      <c r="F10" t="s">
        <v>425</v>
      </c>
      <c r="G10" t="s">
        <v>179</v>
      </c>
      <c r="H10" t="s">
        <v>220</v>
      </c>
      <c r="I10" t="s">
        <v>426</v>
      </c>
      <c r="J10" t="s">
        <v>449</v>
      </c>
      <c r="L10" s="38">
        <v>46191</v>
      </c>
      <c r="M10">
        <v>1</v>
      </c>
      <c r="N10" t="s">
        <v>428</v>
      </c>
      <c r="O10">
        <v>0</v>
      </c>
      <c r="P10">
        <v>0</v>
      </c>
      <c r="Q10">
        <v>0</v>
      </c>
      <c r="R10">
        <v>0</v>
      </c>
      <c r="S10">
        <v>0</v>
      </c>
      <c r="X10" t="s">
        <v>429</v>
      </c>
      <c r="Z10" s="38">
        <v>46081</v>
      </c>
      <c r="AF10" t="s">
        <v>447</v>
      </c>
    </row>
    <row r="11" spans="1:34" x14ac:dyDescent="0.25">
      <c r="A11" t="s">
        <v>318</v>
      </c>
      <c r="B11" t="s">
        <v>450</v>
      </c>
      <c r="C11" t="s">
        <v>167</v>
      </c>
      <c r="D11" t="s">
        <v>168</v>
      </c>
      <c r="E11" t="s">
        <v>445</v>
      </c>
      <c r="F11" t="s">
        <v>425</v>
      </c>
      <c r="G11" t="s">
        <v>179</v>
      </c>
      <c r="H11" t="s">
        <v>220</v>
      </c>
      <c r="I11" t="s">
        <v>426</v>
      </c>
      <c r="J11" t="s">
        <v>436</v>
      </c>
      <c r="L11" s="38">
        <v>46191</v>
      </c>
      <c r="M11">
        <v>1</v>
      </c>
      <c r="N11" t="s">
        <v>428</v>
      </c>
      <c r="O11">
        <v>0</v>
      </c>
      <c r="P11">
        <v>0</v>
      </c>
      <c r="Q11">
        <v>0</v>
      </c>
      <c r="R11">
        <v>-17</v>
      </c>
      <c r="S11">
        <v>-17</v>
      </c>
      <c r="X11" t="s">
        <v>429</v>
      </c>
      <c r="Z11" s="38">
        <v>46081</v>
      </c>
      <c r="AF11" t="s">
        <v>447</v>
      </c>
    </row>
    <row r="12" spans="1:34" x14ac:dyDescent="0.25">
      <c r="A12" t="s">
        <v>318</v>
      </c>
      <c r="B12" t="s">
        <v>451</v>
      </c>
      <c r="C12" t="s">
        <v>167</v>
      </c>
      <c r="D12" t="s">
        <v>168</v>
      </c>
      <c r="E12" t="s">
        <v>445</v>
      </c>
      <c r="F12" t="s">
        <v>425</v>
      </c>
      <c r="G12" t="s">
        <v>179</v>
      </c>
      <c r="H12" t="s">
        <v>220</v>
      </c>
      <c r="I12" t="s">
        <v>426</v>
      </c>
      <c r="J12" t="s">
        <v>449</v>
      </c>
      <c r="L12" s="38">
        <v>46191</v>
      </c>
      <c r="M12">
        <v>1</v>
      </c>
      <c r="N12" t="s">
        <v>428</v>
      </c>
      <c r="O12">
        <v>0</v>
      </c>
      <c r="P12">
        <v>0</v>
      </c>
      <c r="Q12">
        <v>0</v>
      </c>
      <c r="R12">
        <v>0</v>
      </c>
      <c r="S12">
        <v>0</v>
      </c>
      <c r="X12" t="s">
        <v>429</v>
      </c>
      <c r="Z12" s="38">
        <v>46081</v>
      </c>
      <c r="AF12" t="s">
        <v>447</v>
      </c>
    </row>
    <row r="13" spans="1:34" x14ac:dyDescent="0.25">
      <c r="A13" t="s">
        <v>318</v>
      </c>
      <c r="B13" t="s">
        <v>452</v>
      </c>
      <c r="C13" t="s">
        <v>167</v>
      </c>
      <c r="D13" t="s">
        <v>168</v>
      </c>
      <c r="E13" t="s">
        <v>445</v>
      </c>
      <c r="F13" t="s">
        <v>425</v>
      </c>
      <c r="G13" t="s">
        <v>179</v>
      </c>
      <c r="H13" t="s">
        <v>220</v>
      </c>
      <c r="I13" t="s">
        <v>426</v>
      </c>
      <c r="J13" t="s">
        <v>453</v>
      </c>
      <c r="L13" s="38">
        <v>46191</v>
      </c>
      <c r="M13">
        <v>1</v>
      </c>
      <c r="N13" t="s">
        <v>428</v>
      </c>
      <c r="O13">
        <v>0</v>
      </c>
      <c r="P13">
        <v>0</v>
      </c>
      <c r="Q13">
        <v>0</v>
      </c>
      <c r="R13">
        <v>0</v>
      </c>
      <c r="S13">
        <v>0</v>
      </c>
      <c r="X13" t="s">
        <v>429</v>
      </c>
      <c r="Z13" s="38">
        <v>46081</v>
      </c>
      <c r="AF13" t="s">
        <v>447</v>
      </c>
    </row>
    <row r="14" spans="1:34" x14ac:dyDescent="0.25">
      <c r="A14" t="s">
        <v>318</v>
      </c>
      <c r="B14" t="s">
        <v>454</v>
      </c>
      <c r="C14" t="s">
        <v>167</v>
      </c>
      <c r="D14" t="s">
        <v>168</v>
      </c>
      <c r="E14" t="s">
        <v>424</v>
      </c>
      <c r="F14" t="s">
        <v>425</v>
      </c>
      <c r="G14" t="s">
        <v>179</v>
      </c>
      <c r="H14" t="s">
        <v>220</v>
      </c>
      <c r="I14" t="s">
        <v>426</v>
      </c>
      <c r="J14" t="s">
        <v>455</v>
      </c>
      <c r="L14" s="38">
        <v>46191</v>
      </c>
      <c r="M14">
        <v>1</v>
      </c>
      <c r="N14" t="s">
        <v>428</v>
      </c>
      <c r="O14">
        <v>0.01</v>
      </c>
      <c r="P14">
        <v>0</v>
      </c>
      <c r="Q14">
        <v>0</v>
      </c>
      <c r="R14">
        <v>0</v>
      </c>
      <c r="S14">
        <v>0.01</v>
      </c>
      <c r="X14" t="s">
        <v>429</v>
      </c>
      <c r="Z14" s="38">
        <v>44735</v>
      </c>
      <c r="AF14" t="s">
        <v>433</v>
      </c>
    </row>
    <row r="15" spans="1:34" x14ac:dyDescent="0.25">
      <c r="A15" t="s">
        <v>318</v>
      </c>
      <c r="B15" t="s">
        <v>456</v>
      </c>
      <c r="C15" t="s">
        <v>167</v>
      </c>
      <c r="D15" t="s">
        <v>168</v>
      </c>
      <c r="E15" t="s">
        <v>424</v>
      </c>
      <c r="F15" t="s">
        <v>425</v>
      </c>
      <c r="G15" t="s">
        <v>179</v>
      </c>
      <c r="H15" t="s">
        <v>220</v>
      </c>
      <c r="I15" t="s">
        <v>426</v>
      </c>
      <c r="J15" t="s">
        <v>455</v>
      </c>
      <c r="L15" s="38">
        <v>46191</v>
      </c>
      <c r="M15">
        <v>1</v>
      </c>
      <c r="N15" t="s">
        <v>428</v>
      </c>
      <c r="O15">
        <v>7.0000000000000007E-2</v>
      </c>
      <c r="P15">
        <v>0</v>
      </c>
      <c r="Q15">
        <v>0</v>
      </c>
      <c r="R15">
        <v>0</v>
      </c>
      <c r="S15">
        <v>7.0000000000000007E-2</v>
      </c>
      <c r="X15" t="s">
        <v>429</v>
      </c>
      <c r="Z15" s="38">
        <v>44735</v>
      </c>
      <c r="AF15" t="s">
        <v>433</v>
      </c>
    </row>
    <row r="16" spans="1:34" x14ac:dyDescent="0.25">
      <c r="A16" t="s">
        <v>318</v>
      </c>
      <c r="B16" t="s">
        <v>457</v>
      </c>
      <c r="C16" t="s">
        <v>167</v>
      </c>
      <c r="D16" t="s">
        <v>168</v>
      </c>
      <c r="E16" t="s">
        <v>424</v>
      </c>
      <c r="F16" t="s">
        <v>425</v>
      </c>
      <c r="G16" t="s">
        <v>179</v>
      </c>
      <c r="H16" t="s">
        <v>220</v>
      </c>
      <c r="I16" t="s">
        <v>426</v>
      </c>
      <c r="J16" t="s">
        <v>455</v>
      </c>
      <c r="L16" s="38">
        <v>46191</v>
      </c>
      <c r="M16">
        <v>1</v>
      </c>
      <c r="N16" t="s">
        <v>428</v>
      </c>
      <c r="O16">
        <v>0.09</v>
      </c>
      <c r="P16">
        <v>0</v>
      </c>
      <c r="Q16">
        <v>0</v>
      </c>
      <c r="R16">
        <v>0</v>
      </c>
      <c r="S16">
        <v>0.09</v>
      </c>
      <c r="T16" t="s">
        <v>234</v>
      </c>
      <c r="X16" t="s">
        <v>429</v>
      </c>
      <c r="Z16" s="38">
        <v>45016</v>
      </c>
      <c r="AF16" t="s">
        <v>458</v>
      </c>
    </row>
    <row r="17" spans="1:33" x14ac:dyDescent="0.25">
      <c r="A17" t="s">
        <v>318</v>
      </c>
      <c r="B17" t="s">
        <v>459</v>
      </c>
      <c r="C17" t="s">
        <v>167</v>
      </c>
      <c r="D17" t="s">
        <v>168</v>
      </c>
      <c r="E17" t="s">
        <v>424</v>
      </c>
      <c r="F17" t="s">
        <v>425</v>
      </c>
      <c r="G17" t="s">
        <v>179</v>
      </c>
      <c r="H17" t="s">
        <v>220</v>
      </c>
      <c r="I17" t="s">
        <v>426</v>
      </c>
      <c r="J17" t="s">
        <v>455</v>
      </c>
      <c r="L17" s="38">
        <v>46191</v>
      </c>
      <c r="M17">
        <v>1</v>
      </c>
      <c r="N17" t="s">
        <v>428</v>
      </c>
      <c r="O17">
        <v>0.01</v>
      </c>
      <c r="P17">
        <v>0</v>
      </c>
      <c r="Q17">
        <v>0</v>
      </c>
      <c r="R17">
        <v>0</v>
      </c>
      <c r="S17">
        <v>0.01</v>
      </c>
      <c r="T17" t="s">
        <v>234</v>
      </c>
      <c r="U17" t="s">
        <v>432</v>
      </c>
      <c r="X17" t="s">
        <v>429</v>
      </c>
      <c r="Z17" s="38">
        <v>45155</v>
      </c>
      <c r="AF17" t="s">
        <v>458</v>
      </c>
    </row>
    <row r="18" spans="1:33" x14ac:dyDescent="0.25">
      <c r="A18" t="s">
        <v>318</v>
      </c>
      <c r="B18" t="s">
        <v>460</v>
      </c>
      <c r="C18" t="s">
        <v>167</v>
      </c>
      <c r="D18" t="s">
        <v>168</v>
      </c>
      <c r="E18" t="s">
        <v>424</v>
      </c>
      <c r="F18" t="s">
        <v>425</v>
      </c>
      <c r="G18" t="s">
        <v>179</v>
      </c>
      <c r="H18" t="s">
        <v>220</v>
      </c>
      <c r="I18" t="s">
        <v>426</v>
      </c>
      <c r="J18" t="s">
        <v>455</v>
      </c>
      <c r="L18" s="38">
        <v>46191</v>
      </c>
      <c r="M18">
        <v>1</v>
      </c>
      <c r="N18" t="s">
        <v>428</v>
      </c>
      <c r="O18">
        <v>0.1</v>
      </c>
      <c r="P18">
        <v>0</v>
      </c>
      <c r="Q18">
        <v>0</v>
      </c>
      <c r="R18">
        <v>0</v>
      </c>
      <c r="S18">
        <v>0.1</v>
      </c>
      <c r="W18" t="s">
        <v>207</v>
      </c>
      <c r="X18" t="s">
        <v>429</v>
      </c>
      <c r="Z18" s="38">
        <v>45535</v>
      </c>
      <c r="AF18" t="s">
        <v>437</v>
      </c>
    </row>
    <row r="19" spans="1:33" x14ac:dyDescent="0.25">
      <c r="A19" t="s">
        <v>318</v>
      </c>
      <c r="B19" t="s">
        <v>461</v>
      </c>
      <c r="C19" t="s">
        <v>167</v>
      </c>
      <c r="D19" t="s">
        <v>168</v>
      </c>
      <c r="E19" t="s">
        <v>424</v>
      </c>
      <c r="F19" t="s">
        <v>425</v>
      </c>
      <c r="G19" t="s">
        <v>179</v>
      </c>
      <c r="H19" t="s">
        <v>220</v>
      </c>
      <c r="I19" t="s">
        <v>426</v>
      </c>
      <c r="J19" t="s">
        <v>455</v>
      </c>
      <c r="L19" s="38">
        <v>46191</v>
      </c>
      <c r="M19">
        <v>1</v>
      </c>
      <c r="N19" t="s">
        <v>428</v>
      </c>
      <c r="O19">
        <v>0.06</v>
      </c>
      <c r="P19">
        <v>0</v>
      </c>
      <c r="Q19">
        <v>0</v>
      </c>
      <c r="R19">
        <v>0</v>
      </c>
      <c r="S19">
        <v>0.06</v>
      </c>
      <c r="T19" t="s">
        <v>206</v>
      </c>
      <c r="W19" t="s">
        <v>323</v>
      </c>
      <c r="X19" t="s">
        <v>429</v>
      </c>
      <c r="Z19" s="38">
        <v>45596</v>
      </c>
      <c r="AF19" t="s">
        <v>440</v>
      </c>
    </row>
    <row r="20" spans="1:33" x14ac:dyDescent="0.25">
      <c r="A20" t="s">
        <v>318</v>
      </c>
      <c r="B20" t="s">
        <v>462</v>
      </c>
      <c r="C20" t="s">
        <v>167</v>
      </c>
      <c r="D20" t="s">
        <v>168</v>
      </c>
      <c r="E20" t="s">
        <v>463</v>
      </c>
      <c r="F20" t="s">
        <v>425</v>
      </c>
      <c r="G20" t="s">
        <v>179</v>
      </c>
      <c r="H20" t="s">
        <v>220</v>
      </c>
      <c r="I20" t="s">
        <v>426</v>
      </c>
      <c r="J20" t="s">
        <v>464</v>
      </c>
      <c r="L20" s="38">
        <v>46191</v>
      </c>
      <c r="M20">
        <v>1</v>
      </c>
      <c r="N20" t="s">
        <v>428</v>
      </c>
      <c r="O20">
        <v>38.4</v>
      </c>
      <c r="P20">
        <v>0</v>
      </c>
      <c r="Q20">
        <v>0</v>
      </c>
      <c r="R20">
        <v>-34</v>
      </c>
      <c r="S20">
        <v>4.4000000000000004</v>
      </c>
      <c r="T20" t="s">
        <v>206</v>
      </c>
      <c r="U20" t="s">
        <v>465</v>
      </c>
      <c r="X20" t="s">
        <v>429</v>
      </c>
      <c r="Z20" s="38">
        <v>46203</v>
      </c>
      <c r="AF20" t="s">
        <v>447</v>
      </c>
    </row>
    <row r="21" spans="1:33" x14ac:dyDescent="0.25">
      <c r="A21" t="s">
        <v>318</v>
      </c>
      <c r="B21" t="s">
        <v>466</v>
      </c>
      <c r="C21" t="s">
        <v>167</v>
      </c>
      <c r="D21" t="s">
        <v>168</v>
      </c>
      <c r="E21" t="s">
        <v>445</v>
      </c>
      <c r="F21" t="s">
        <v>425</v>
      </c>
      <c r="G21" t="s">
        <v>179</v>
      </c>
      <c r="H21" t="s">
        <v>220</v>
      </c>
      <c r="I21" t="s">
        <v>426</v>
      </c>
      <c r="J21" t="s">
        <v>455</v>
      </c>
      <c r="L21" s="38">
        <v>46191</v>
      </c>
      <c r="M21">
        <v>1</v>
      </c>
      <c r="N21" t="s">
        <v>428</v>
      </c>
      <c r="O21">
        <v>0</v>
      </c>
      <c r="P21">
        <v>0</v>
      </c>
      <c r="Q21">
        <v>0</v>
      </c>
      <c r="R21">
        <v>-17</v>
      </c>
      <c r="S21">
        <v>-17</v>
      </c>
      <c r="X21" t="s">
        <v>429</v>
      </c>
      <c r="Z21" s="38">
        <v>46112</v>
      </c>
      <c r="AF21" t="s">
        <v>447</v>
      </c>
    </row>
    <row r="22" spans="1:33" x14ac:dyDescent="0.25">
      <c r="A22" t="s">
        <v>318</v>
      </c>
      <c r="B22" t="s">
        <v>467</v>
      </c>
      <c r="C22" t="s">
        <v>167</v>
      </c>
      <c r="D22" t="s">
        <v>168</v>
      </c>
      <c r="E22" t="s">
        <v>445</v>
      </c>
      <c r="F22" t="s">
        <v>425</v>
      </c>
      <c r="G22" t="s">
        <v>179</v>
      </c>
      <c r="H22" t="s">
        <v>220</v>
      </c>
      <c r="I22" t="s">
        <v>426</v>
      </c>
      <c r="J22" t="s">
        <v>464</v>
      </c>
      <c r="L22" s="38">
        <v>46191</v>
      </c>
      <c r="M22">
        <v>1</v>
      </c>
      <c r="N22" t="s">
        <v>428</v>
      </c>
      <c r="O22">
        <v>0</v>
      </c>
      <c r="P22">
        <v>0</v>
      </c>
      <c r="Q22">
        <v>0</v>
      </c>
      <c r="R22">
        <v>-17</v>
      </c>
      <c r="S22">
        <v>-17</v>
      </c>
      <c r="X22" t="s">
        <v>429</v>
      </c>
      <c r="Z22" s="38">
        <v>46203</v>
      </c>
      <c r="AF22" t="s">
        <v>447</v>
      </c>
    </row>
    <row r="23" spans="1:33" x14ac:dyDescent="0.25">
      <c r="A23" t="s">
        <v>318</v>
      </c>
      <c r="B23" t="s">
        <v>468</v>
      </c>
      <c r="C23" t="s">
        <v>167</v>
      </c>
      <c r="D23" t="s">
        <v>168</v>
      </c>
      <c r="E23" t="s">
        <v>445</v>
      </c>
      <c r="F23" t="s">
        <v>425</v>
      </c>
      <c r="G23" t="s">
        <v>179</v>
      </c>
      <c r="H23" t="s">
        <v>220</v>
      </c>
      <c r="I23" t="s">
        <v>426</v>
      </c>
      <c r="J23" t="s">
        <v>464</v>
      </c>
      <c r="L23" s="38">
        <v>46191</v>
      </c>
      <c r="M23">
        <v>1</v>
      </c>
      <c r="N23" t="s">
        <v>428</v>
      </c>
      <c r="O23">
        <v>0</v>
      </c>
      <c r="P23">
        <v>0</v>
      </c>
      <c r="Q23">
        <v>0</v>
      </c>
      <c r="R23">
        <v>-136</v>
      </c>
      <c r="S23">
        <v>-136</v>
      </c>
      <c r="T23" t="s">
        <v>206</v>
      </c>
      <c r="U23" t="s">
        <v>471</v>
      </c>
      <c r="W23" t="s">
        <v>323</v>
      </c>
      <c r="X23" t="s">
        <v>429</v>
      </c>
      <c r="Z23" s="38">
        <v>46173</v>
      </c>
      <c r="AF23" t="s">
        <v>447</v>
      </c>
    </row>
    <row r="24" spans="1:33" x14ac:dyDescent="0.25">
      <c r="A24" t="s">
        <v>318</v>
      </c>
      <c r="B24" t="s">
        <v>473</v>
      </c>
      <c r="C24" t="s">
        <v>167</v>
      </c>
      <c r="D24" t="s">
        <v>168</v>
      </c>
      <c r="E24" t="s">
        <v>445</v>
      </c>
      <c r="F24" t="s">
        <v>425</v>
      </c>
      <c r="G24" t="s">
        <v>179</v>
      </c>
      <c r="H24" t="s">
        <v>220</v>
      </c>
      <c r="I24" t="s">
        <v>426</v>
      </c>
      <c r="J24" t="s">
        <v>455</v>
      </c>
      <c r="L24" s="38">
        <v>46191</v>
      </c>
      <c r="M24">
        <v>1</v>
      </c>
      <c r="N24" t="s">
        <v>428</v>
      </c>
      <c r="O24">
        <v>0</v>
      </c>
      <c r="P24">
        <v>0</v>
      </c>
      <c r="Q24">
        <v>0</v>
      </c>
      <c r="R24">
        <v>-17</v>
      </c>
      <c r="S24">
        <v>-17</v>
      </c>
      <c r="X24" t="s">
        <v>429</v>
      </c>
      <c r="Z24" s="38">
        <v>46173</v>
      </c>
      <c r="AF24" t="s">
        <v>447</v>
      </c>
    </row>
    <row r="25" spans="1:33" x14ac:dyDescent="0.25">
      <c r="A25" t="s">
        <v>318</v>
      </c>
      <c r="B25" t="s">
        <v>474</v>
      </c>
      <c r="C25" t="s">
        <v>167</v>
      </c>
      <c r="D25" t="s">
        <v>168</v>
      </c>
      <c r="E25" t="s">
        <v>445</v>
      </c>
      <c r="F25" t="s">
        <v>425</v>
      </c>
      <c r="G25" t="s">
        <v>179</v>
      </c>
      <c r="H25" t="s">
        <v>220</v>
      </c>
      <c r="I25" t="s">
        <v>426</v>
      </c>
      <c r="J25" t="s">
        <v>464</v>
      </c>
      <c r="L25" s="38">
        <v>46191</v>
      </c>
      <c r="M25">
        <v>1</v>
      </c>
      <c r="N25" t="s">
        <v>428</v>
      </c>
      <c r="O25">
        <v>0</v>
      </c>
      <c r="P25">
        <v>0</v>
      </c>
      <c r="Q25">
        <v>0</v>
      </c>
      <c r="R25">
        <v>-17</v>
      </c>
      <c r="S25">
        <v>-17</v>
      </c>
      <c r="T25" t="s">
        <v>206</v>
      </c>
      <c r="U25" t="s">
        <v>465</v>
      </c>
      <c r="W25" t="s">
        <v>323</v>
      </c>
      <c r="X25" t="s">
        <v>429</v>
      </c>
      <c r="Z25" s="38">
        <v>46142</v>
      </c>
      <c r="AF25" t="s">
        <v>447</v>
      </c>
    </row>
    <row r="26" spans="1:33" x14ac:dyDescent="0.25">
      <c r="A26" t="s">
        <v>318</v>
      </c>
      <c r="B26" t="s">
        <v>475</v>
      </c>
      <c r="C26" t="s">
        <v>167</v>
      </c>
      <c r="D26" t="s">
        <v>168</v>
      </c>
      <c r="E26" t="s">
        <v>445</v>
      </c>
      <c r="F26" t="s">
        <v>425</v>
      </c>
      <c r="G26" t="s">
        <v>179</v>
      </c>
      <c r="H26" t="s">
        <v>220</v>
      </c>
      <c r="I26" t="s">
        <v>426</v>
      </c>
      <c r="J26" t="s">
        <v>464</v>
      </c>
      <c r="L26" s="38">
        <v>46191</v>
      </c>
      <c r="M26">
        <v>1</v>
      </c>
      <c r="N26" t="s">
        <v>428</v>
      </c>
      <c r="O26">
        <v>0</v>
      </c>
      <c r="P26">
        <v>0</v>
      </c>
      <c r="Q26">
        <v>0</v>
      </c>
      <c r="R26">
        <v>-17</v>
      </c>
      <c r="S26">
        <v>-17</v>
      </c>
      <c r="T26" t="s">
        <v>228</v>
      </c>
      <c r="X26" t="s">
        <v>429</v>
      </c>
      <c r="Z26" s="38">
        <v>46188</v>
      </c>
      <c r="AF26" t="s">
        <v>447</v>
      </c>
    </row>
    <row r="27" spans="1:33" x14ac:dyDescent="0.25">
      <c r="A27" t="s">
        <v>318</v>
      </c>
      <c r="B27" t="s">
        <v>476</v>
      </c>
      <c r="C27" t="s">
        <v>167</v>
      </c>
      <c r="D27" t="s">
        <v>168</v>
      </c>
      <c r="E27" t="s">
        <v>469</v>
      </c>
      <c r="F27" t="s">
        <v>425</v>
      </c>
      <c r="G27" t="s">
        <v>179</v>
      </c>
      <c r="H27" t="s">
        <v>220</v>
      </c>
      <c r="I27" t="s">
        <v>426</v>
      </c>
      <c r="J27" t="s">
        <v>464</v>
      </c>
      <c r="K27" t="s">
        <v>187</v>
      </c>
      <c r="L27" s="38">
        <v>46191</v>
      </c>
      <c r="M27">
        <v>1</v>
      </c>
      <c r="N27" t="s">
        <v>428</v>
      </c>
      <c r="O27">
        <v>19.2</v>
      </c>
      <c r="P27">
        <v>0</v>
      </c>
      <c r="Q27">
        <v>0</v>
      </c>
      <c r="R27">
        <v>-17</v>
      </c>
      <c r="S27">
        <v>2.2000000000000002</v>
      </c>
      <c r="T27" t="s">
        <v>206</v>
      </c>
      <c r="U27" t="s">
        <v>465</v>
      </c>
      <c r="V27" t="s">
        <v>472</v>
      </c>
      <c r="W27" t="s">
        <v>323</v>
      </c>
      <c r="X27" t="s">
        <v>429</v>
      </c>
      <c r="Z27" s="38">
        <v>46173</v>
      </c>
      <c r="AF27" t="s">
        <v>447</v>
      </c>
      <c r="AG27" t="s">
        <v>447</v>
      </c>
    </row>
    <row r="28" spans="1:33" x14ac:dyDescent="0.25">
      <c r="A28" t="s">
        <v>318</v>
      </c>
      <c r="B28" t="s">
        <v>477</v>
      </c>
      <c r="C28" t="s">
        <v>167</v>
      </c>
      <c r="D28" t="s">
        <v>168</v>
      </c>
      <c r="E28" t="s">
        <v>478</v>
      </c>
      <c r="F28" t="s">
        <v>425</v>
      </c>
      <c r="G28" t="s">
        <v>179</v>
      </c>
      <c r="H28" t="s">
        <v>220</v>
      </c>
      <c r="I28" t="s">
        <v>426</v>
      </c>
      <c r="J28" t="s">
        <v>464</v>
      </c>
      <c r="K28" t="s">
        <v>479</v>
      </c>
      <c r="L28" s="38">
        <v>46191</v>
      </c>
      <c r="M28">
        <v>1</v>
      </c>
      <c r="N28" t="s">
        <v>428</v>
      </c>
      <c r="O28">
        <v>9.6</v>
      </c>
      <c r="P28">
        <v>0</v>
      </c>
      <c r="Q28">
        <v>0</v>
      </c>
      <c r="R28">
        <v>0</v>
      </c>
      <c r="S28">
        <v>9.6</v>
      </c>
      <c r="V28" t="s">
        <v>472</v>
      </c>
      <c r="X28" t="s">
        <v>429</v>
      </c>
      <c r="Z28" s="38">
        <v>46203</v>
      </c>
      <c r="AF28" t="s">
        <v>447</v>
      </c>
      <c r="AG28" t="s">
        <v>447</v>
      </c>
    </row>
    <row r="29" spans="1:33" x14ac:dyDescent="0.25">
      <c r="A29" t="s">
        <v>318</v>
      </c>
      <c r="B29" t="s">
        <v>480</v>
      </c>
      <c r="C29" t="s">
        <v>167</v>
      </c>
      <c r="D29" t="s">
        <v>168</v>
      </c>
      <c r="E29" t="s">
        <v>478</v>
      </c>
      <c r="F29" t="s">
        <v>425</v>
      </c>
      <c r="G29" t="s">
        <v>179</v>
      </c>
      <c r="H29" t="s">
        <v>220</v>
      </c>
      <c r="I29" t="s">
        <v>426</v>
      </c>
      <c r="J29" t="s">
        <v>464</v>
      </c>
      <c r="K29" t="s">
        <v>481</v>
      </c>
      <c r="L29" s="38">
        <v>46191</v>
      </c>
      <c r="M29">
        <v>6</v>
      </c>
      <c r="N29" t="s">
        <v>428</v>
      </c>
      <c r="O29">
        <v>19.2</v>
      </c>
      <c r="P29">
        <v>0</v>
      </c>
      <c r="Q29">
        <v>0</v>
      </c>
      <c r="R29">
        <v>0</v>
      </c>
      <c r="S29">
        <v>0</v>
      </c>
      <c r="T29" t="s">
        <v>206</v>
      </c>
      <c r="U29" t="s">
        <v>471</v>
      </c>
      <c r="V29" t="s">
        <v>472</v>
      </c>
      <c r="W29" t="s">
        <v>323</v>
      </c>
      <c r="X29" t="s">
        <v>429</v>
      </c>
      <c r="Z29" s="38">
        <v>46203</v>
      </c>
      <c r="AF29" t="s">
        <v>447</v>
      </c>
      <c r="AG29" t="s">
        <v>447</v>
      </c>
    </row>
    <row r="30" spans="1:33" x14ac:dyDescent="0.25">
      <c r="A30" t="s">
        <v>318</v>
      </c>
      <c r="B30" t="s">
        <v>480</v>
      </c>
      <c r="C30" t="s">
        <v>167</v>
      </c>
      <c r="D30" t="s">
        <v>168</v>
      </c>
      <c r="E30" t="s">
        <v>478</v>
      </c>
      <c r="F30" t="s">
        <v>425</v>
      </c>
      <c r="G30" t="s">
        <v>179</v>
      </c>
      <c r="H30" t="s">
        <v>220</v>
      </c>
      <c r="I30" t="s">
        <v>426</v>
      </c>
      <c r="J30" t="s">
        <v>464</v>
      </c>
      <c r="K30" t="s">
        <v>481</v>
      </c>
      <c r="L30" s="38">
        <v>46191</v>
      </c>
      <c r="M30">
        <v>6</v>
      </c>
      <c r="N30" t="s">
        <v>428</v>
      </c>
      <c r="O30">
        <v>19.2</v>
      </c>
      <c r="P30">
        <v>0</v>
      </c>
      <c r="Q30">
        <v>0</v>
      </c>
      <c r="R30">
        <v>0</v>
      </c>
      <c r="S30">
        <v>0</v>
      </c>
      <c r="T30" t="s">
        <v>206</v>
      </c>
      <c r="U30" t="s">
        <v>471</v>
      </c>
      <c r="V30" t="s">
        <v>472</v>
      </c>
      <c r="W30" t="s">
        <v>323</v>
      </c>
      <c r="X30" t="s">
        <v>429</v>
      </c>
      <c r="Z30" s="38">
        <v>46203</v>
      </c>
      <c r="AF30" t="s">
        <v>447</v>
      </c>
      <c r="AG30" t="s">
        <v>447</v>
      </c>
    </row>
    <row r="31" spans="1:33" x14ac:dyDescent="0.25">
      <c r="A31" t="s">
        <v>318</v>
      </c>
      <c r="B31" t="s">
        <v>480</v>
      </c>
      <c r="C31" t="s">
        <v>167</v>
      </c>
      <c r="D31" t="s">
        <v>168</v>
      </c>
      <c r="E31" t="s">
        <v>478</v>
      </c>
      <c r="F31" t="s">
        <v>425</v>
      </c>
      <c r="G31" t="s">
        <v>179</v>
      </c>
      <c r="H31" t="s">
        <v>220</v>
      </c>
      <c r="I31" t="s">
        <v>426</v>
      </c>
      <c r="J31" t="s">
        <v>464</v>
      </c>
      <c r="K31" t="s">
        <v>481</v>
      </c>
      <c r="L31" s="38">
        <v>46191</v>
      </c>
      <c r="M31">
        <v>6</v>
      </c>
      <c r="N31" t="s">
        <v>428</v>
      </c>
      <c r="O31">
        <v>19.2</v>
      </c>
      <c r="P31">
        <v>0</v>
      </c>
      <c r="Q31">
        <v>0</v>
      </c>
      <c r="R31">
        <v>0</v>
      </c>
      <c r="S31">
        <v>0</v>
      </c>
      <c r="T31" t="s">
        <v>206</v>
      </c>
      <c r="U31" t="s">
        <v>471</v>
      </c>
      <c r="V31" t="s">
        <v>472</v>
      </c>
      <c r="W31" t="s">
        <v>323</v>
      </c>
      <c r="X31" t="s">
        <v>429</v>
      </c>
      <c r="Z31" s="38">
        <v>46203</v>
      </c>
      <c r="AF31" t="s">
        <v>447</v>
      </c>
      <c r="AG31" t="s">
        <v>447</v>
      </c>
    </row>
    <row r="32" spans="1:33" x14ac:dyDescent="0.25">
      <c r="A32" t="s">
        <v>318</v>
      </c>
      <c r="B32" t="s">
        <v>480</v>
      </c>
      <c r="C32" t="s">
        <v>167</v>
      </c>
      <c r="D32" t="s">
        <v>168</v>
      </c>
      <c r="E32" t="s">
        <v>478</v>
      </c>
      <c r="F32" t="s">
        <v>425</v>
      </c>
      <c r="G32" t="s">
        <v>179</v>
      </c>
      <c r="H32" t="s">
        <v>220</v>
      </c>
      <c r="I32" t="s">
        <v>426</v>
      </c>
      <c r="J32" t="s">
        <v>464</v>
      </c>
      <c r="K32" t="s">
        <v>481</v>
      </c>
      <c r="L32" s="38">
        <v>46191</v>
      </c>
      <c r="M32">
        <v>6</v>
      </c>
      <c r="N32" t="s">
        <v>428</v>
      </c>
      <c r="O32">
        <v>19.2</v>
      </c>
      <c r="P32">
        <v>0</v>
      </c>
      <c r="Q32">
        <v>0</v>
      </c>
      <c r="R32">
        <v>0</v>
      </c>
      <c r="S32">
        <v>0</v>
      </c>
      <c r="T32" t="s">
        <v>206</v>
      </c>
      <c r="U32" t="s">
        <v>471</v>
      </c>
      <c r="V32" t="s">
        <v>472</v>
      </c>
      <c r="W32" t="s">
        <v>323</v>
      </c>
      <c r="X32" t="s">
        <v>429</v>
      </c>
      <c r="Z32" s="38">
        <v>46203</v>
      </c>
      <c r="AF32" t="s">
        <v>447</v>
      </c>
      <c r="AG32" t="s">
        <v>447</v>
      </c>
    </row>
    <row r="33" spans="1:33" x14ac:dyDescent="0.25">
      <c r="A33" t="s">
        <v>318</v>
      </c>
      <c r="B33" t="s">
        <v>480</v>
      </c>
      <c r="C33" t="s">
        <v>167</v>
      </c>
      <c r="D33" t="s">
        <v>168</v>
      </c>
      <c r="E33" t="s">
        <v>478</v>
      </c>
      <c r="F33" t="s">
        <v>425</v>
      </c>
      <c r="G33" t="s">
        <v>179</v>
      </c>
      <c r="H33" t="s">
        <v>220</v>
      </c>
      <c r="I33" t="s">
        <v>426</v>
      </c>
      <c r="J33" t="s">
        <v>464</v>
      </c>
      <c r="K33" t="s">
        <v>481</v>
      </c>
      <c r="L33" s="38">
        <v>46191</v>
      </c>
      <c r="M33">
        <v>6</v>
      </c>
      <c r="N33" t="s">
        <v>428</v>
      </c>
      <c r="O33">
        <v>19.2</v>
      </c>
      <c r="P33">
        <v>0</v>
      </c>
      <c r="Q33">
        <v>0</v>
      </c>
      <c r="R33">
        <v>0</v>
      </c>
      <c r="S33">
        <v>0</v>
      </c>
      <c r="T33" t="s">
        <v>206</v>
      </c>
      <c r="U33" t="s">
        <v>471</v>
      </c>
      <c r="V33" t="s">
        <v>472</v>
      </c>
      <c r="W33" t="s">
        <v>323</v>
      </c>
      <c r="X33" t="s">
        <v>429</v>
      </c>
      <c r="Z33" s="38">
        <v>46203</v>
      </c>
      <c r="AF33" t="s">
        <v>447</v>
      </c>
      <c r="AG33" t="s">
        <v>447</v>
      </c>
    </row>
    <row r="34" spans="1:33" x14ac:dyDescent="0.25">
      <c r="A34" t="s">
        <v>318</v>
      </c>
      <c r="B34" t="s">
        <v>480</v>
      </c>
      <c r="C34" t="s">
        <v>167</v>
      </c>
      <c r="D34" t="s">
        <v>168</v>
      </c>
      <c r="E34" t="s">
        <v>478</v>
      </c>
      <c r="F34" t="s">
        <v>425</v>
      </c>
      <c r="G34" t="s">
        <v>179</v>
      </c>
      <c r="H34" t="s">
        <v>220</v>
      </c>
      <c r="I34" t="s">
        <v>426</v>
      </c>
      <c r="J34" t="s">
        <v>464</v>
      </c>
      <c r="K34" t="s">
        <v>481</v>
      </c>
      <c r="L34" s="38">
        <v>46191</v>
      </c>
      <c r="M34">
        <v>6</v>
      </c>
      <c r="N34" t="s">
        <v>428</v>
      </c>
      <c r="O34">
        <v>19.2</v>
      </c>
      <c r="P34">
        <v>0</v>
      </c>
      <c r="Q34">
        <v>0</v>
      </c>
      <c r="R34">
        <v>-102</v>
      </c>
      <c r="S34">
        <v>13.2</v>
      </c>
      <c r="T34" t="s">
        <v>206</v>
      </c>
      <c r="U34" t="s">
        <v>471</v>
      </c>
      <c r="V34" t="s">
        <v>472</v>
      </c>
      <c r="W34" t="s">
        <v>323</v>
      </c>
      <c r="X34" t="s">
        <v>429</v>
      </c>
      <c r="Z34" s="38">
        <v>46203</v>
      </c>
      <c r="AF34" t="s">
        <v>447</v>
      </c>
      <c r="AG34" t="s">
        <v>447</v>
      </c>
    </row>
    <row r="35" spans="1:33" x14ac:dyDescent="0.25">
      <c r="A35" t="s">
        <v>318</v>
      </c>
      <c r="B35" t="s">
        <v>482</v>
      </c>
      <c r="C35" t="s">
        <v>167</v>
      </c>
      <c r="D35" t="s">
        <v>168</v>
      </c>
      <c r="E35" t="s">
        <v>478</v>
      </c>
      <c r="F35" t="s">
        <v>425</v>
      </c>
      <c r="G35" t="s">
        <v>179</v>
      </c>
      <c r="H35" t="s">
        <v>220</v>
      </c>
      <c r="I35" t="s">
        <v>426</v>
      </c>
      <c r="J35" t="s">
        <v>464</v>
      </c>
      <c r="K35" t="s">
        <v>484</v>
      </c>
      <c r="L35" s="38">
        <v>46191</v>
      </c>
      <c r="M35">
        <v>1</v>
      </c>
      <c r="N35" t="s">
        <v>428</v>
      </c>
      <c r="O35">
        <v>9.6</v>
      </c>
      <c r="P35">
        <v>0</v>
      </c>
      <c r="Q35">
        <v>0</v>
      </c>
      <c r="R35">
        <v>-17</v>
      </c>
      <c r="S35">
        <v>-7.4</v>
      </c>
      <c r="V35" t="s">
        <v>472</v>
      </c>
      <c r="X35" t="s">
        <v>429</v>
      </c>
      <c r="Z35" s="38">
        <v>46203</v>
      </c>
      <c r="AF35" t="s">
        <v>447</v>
      </c>
      <c r="AG35" t="s">
        <v>447</v>
      </c>
    </row>
    <row r="36" spans="1:33" x14ac:dyDescent="0.25">
      <c r="A36" t="s">
        <v>318</v>
      </c>
      <c r="B36" t="s">
        <v>485</v>
      </c>
      <c r="C36" t="s">
        <v>167</v>
      </c>
      <c r="D36" t="s">
        <v>168</v>
      </c>
      <c r="E36" t="s">
        <v>478</v>
      </c>
      <c r="F36" t="s">
        <v>425</v>
      </c>
      <c r="G36" t="s">
        <v>179</v>
      </c>
      <c r="H36" t="s">
        <v>220</v>
      </c>
      <c r="I36" t="s">
        <v>426</v>
      </c>
      <c r="J36" t="s">
        <v>464</v>
      </c>
      <c r="K36" t="s">
        <v>486</v>
      </c>
      <c r="L36" s="38">
        <v>46191</v>
      </c>
      <c r="M36">
        <v>1</v>
      </c>
      <c r="N36" t="s">
        <v>428</v>
      </c>
      <c r="O36">
        <v>4.8</v>
      </c>
      <c r="P36">
        <v>0</v>
      </c>
      <c r="Q36">
        <v>0</v>
      </c>
      <c r="R36">
        <v>0</v>
      </c>
      <c r="S36">
        <v>4.8</v>
      </c>
      <c r="T36" t="s">
        <v>234</v>
      </c>
      <c r="V36" t="s">
        <v>472</v>
      </c>
      <c r="X36" t="s">
        <v>429</v>
      </c>
      <c r="Z36" s="38">
        <v>46203</v>
      </c>
      <c r="AF36" t="s">
        <v>447</v>
      </c>
      <c r="AG36" t="s">
        <v>447</v>
      </c>
    </row>
    <row r="37" spans="1:33" x14ac:dyDescent="0.25">
      <c r="A37" t="s">
        <v>318</v>
      </c>
      <c r="B37" t="s">
        <v>487</v>
      </c>
      <c r="C37" t="s">
        <v>167</v>
      </c>
      <c r="D37" t="s">
        <v>168</v>
      </c>
      <c r="E37" t="s">
        <v>478</v>
      </c>
      <c r="F37" t="s">
        <v>425</v>
      </c>
      <c r="G37" t="s">
        <v>179</v>
      </c>
      <c r="H37" t="s">
        <v>220</v>
      </c>
      <c r="I37" t="s">
        <v>426</v>
      </c>
      <c r="J37" t="s">
        <v>464</v>
      </c>
      <c r="K37" t="s">
        <v>187</v>
      </c>
      <c r="L37" s="38">
        <v>46191</v>
      </c>
      <c r="M37">
        <v>1</v>
      </c>
      <c r="N37" t="s">
        <v>428</v>
      </c>
      <c r="O37">
        <v>19.2</v>
      </c>
      <c r="P37">
        <v>0</v>
      </c>
      <c r="Q37">
        <v>0</v>
      </c>
      <c r="R37">
        <v>-17</v>
      </c>
      <c r="S37">
        <v>2.2000000000000002</v>
      </c>
      <c r="T37" t="s">
        <v>206</v>
      </c>
      <c r="U37" t="s">
        <v>465</v>
      </c>
      <c r="V37" t="s">
        <v>472</v>
      </c>
      <c r="W37" t="s">
        <v>323</v>
      </c>
      <c r="X37" t="s">
        <v>429</v>
      </c>
      <c r="Z37" s="38">
        <v>46173</v>
      </c>
      <c r="AF37" t="s">
        <v>447</v>
      </c>
      <c r="AG37" t="s">
        <v>447</v>
      </c>
    </row>
    <row r="38" spans="1:33" x14ac:dyDescent="0.25">
      <c r="A38" t="s">
        <v>318</v>
      </c>
      <c r="B38" t="s">
        <v>488</v>
      </c>
      <c r="C38" t="s">
        <v>167</v>
      </c>
      <c r="D38" t="s">
        <v>168</v>
      </c>
      <c r="E38" t="s">
        <v>478</v>
      </c>
      <c r="F38" t="s">
        <v>425</v>
      </c>
      <c r="G38" t="s">
        <v>179</v>
      </c>
      <c r="H38" t="s">
        <v>220</v>
      </c>
      <c r="I38" t="s">
        <v>426</v>
      </c>
      <c r="J38" t="s">
        <v>464</v>
      </c>
      <c r="K38" t="s">
        <v>217</v>
      </c>
      <c r="L38" s="38">
        <v>46191</v>
      </c>
      <c r="M38">
        <v>1</v>
      </c>
      <c r="N38" t="s">
        <v>428</v>
      </c>
      <c r="O38">
        <v>19.2</v>
      </c>
      <c r="P38">
        <v>0</v>
      </c>
      <c r="Q38">
        <v>0</v>
      </c>
      <c r="R38">
        <v>-17</v>
      </c>
      <c r="S38">
        <v>2.2000000000000002</v>
      </c>
      <c r="V38" t="s">
        <v>472</v>
      </c>
      <c r="X38" t="s">
        <v>429</v>
      </c>
      <c r="Z38" s="38">
        <v>46203</v>
      </c>
      <c r="AF38" t="s">
        <v>447</v>
      </c>
      <c r="AG38" t="s">
        <v>447</v>
      </c>
    </row>
    <row r="39" spans="1:33" x14ac:dyDescent="0.25">
      <c r="A39" t="s">
        <v>318</v>
      </c>
      <c r="B39" t="s">
        <v>489</v>
      </c>
      <c r="C39" t="s">
        <v>167</v>
      </c>
      <c r="D39" t="s">
        <v>168</v>
      </c>
      <c r="E39" t="s">
        <v>483</v>
      </c>
      <c r="F39" t="s">
        <v>425</v>
      </c>
      <c r="G39" t="s">
        <v>179</v>
      </c>
      <c r="H39" t="s">
        <v>220</v>
      </c>
      <c r="I39" t="s">
        <v>426</v>
      </c>
      <c r="J39" t="s">
        <v>464</v>
      </c>
      <c r="K39" t="s">
        <v>180</v>
      </c>
      <c r="L39" s="38">
        <v>46191</v>
      </c>
      <c r="M39">
        <v>1</v>
      </c>
      <c r="N39" t="s">
        <v>428</v>
      </c>
      <c r="O39">
        <v>6</v>
      </c>
      <c r="P39">
        <v>0</v>
      </c>
      <c r="Q39">
        <v>0</v>
      </c>
      <c r="R39">
        <v>0</v>
      </c>
      <c r="S39">
        <v>6</v>
      </c>
      <c r="V39" t="s">
        <v>472</v>
      </c>
      <c r="X39" t="s">
        <v>429</v>
      </c>
      <c r="Z39" s="38">
        <v>46173</v>
      </c>
      <c r="AF39" t="s">
        <v>447</v>
      </c>
      <c r="AG39" t="s">
        <v>447</v>
      </c>
    </row>
    <row r="40" spans="1:33" x14ac:dyDescent="0.25">
      <c r="A40" t="s">
        <v>318</v>
      </c>
      <c r="B40" t="s">
        <v>490</v>
      </c>
      <c r="C40" t="s">
        <v>167</v>
      </c>
      <c r="D40" t="s">
        <v>168</v>
      </c>
      <c r="E40" t="s">
        <v>463</v>
      </c>
      <c r="F40" t="s">
        <v>425</v>
      </c>
      <c r="G40" t="s">
        <v>179</v>
      </c>
      <c r="H40" t="s">
        <v>220</v>
      </c>
      <c r="I40" t="s">
        <v>426</v>
      </c>
      <c r="J40" t="s">
        <v>464</v>
      </c>
      <c r="L40" s="38">
        <v>46191</v>
      </c>
      <c r="M40">
        <v>1</v>
      </c>
      <c r="N40" t="s">
        <v>428</v>
      </c>
      <c r="O40">
        <v>19.2</v>
      </c>
      <c r="P40">
        <v>0</v>
      </c>
      <c r="Q40">
        <v>0</v>
      </c>
      <c r="R40">
        <v>-17</v>
      </c>
      <c r="S40">
        <v>2.2000000000000002</v>
      </c>
      <c r="T40" t="s">
        <v>228</v>
      </c>
      <c r="X40" t="s">
        <v>429</v>
      </c>
      <c r="Z40" s="38">
        <v>46203</v>
      </c>
      <c r="AF40" t="s">
        <v>447</v>
      </c>
    </row>
    <row r="41" spans="1:33" x14ac:dyDescent="0.25">
      <c r="A41" t="s">
        <v>318</v>
      </c>
      <c r="B41" t="s">
        <v>491</v>
      </c>
      <c r="C41" t="s">
        <v>167</v>
      </c>
      <c r="D41" t="s">
        <v>168</v>
      </c>
      <c r="E41" t="s">
        <v>463</v>
      </c>
      <c r="F41" t="s">
        <v>425</v>
      </c>
      <c r="G41" t="s">
        <v>179</v>
      </c>
      <c r="H41" t="s">
        <v>220</v>
      </c>
      <c r="I41" t="s">
        <v>426</v>
      </c>
      <c r="J41" t="s">
        <v>464</v>
      </c>
      <c r="L41" s="38">
        <v>46191</v>
      </c>
      <c r="M41">
        <v>1</v>
      </c>
      <c r="N41" t="s">
        <v>428</v>
      </c>
      <c r="O41">
        <v>19.2</v>
      </c>
      <c r="P41">
        <v>0</v>
      </c>
      <c r="Q41">
        <v>0</v>
      </c>
      <c r="R41">
        <v>-17</v>
      </c>
      <c r="S41">
        <v>2.2000000000000002</v>
      </c>
      <c r="T41" t="s">
        <v>228</v>
      </c>
      <c r="X41" t="s">
        <v>429</v>
      </c>
      <c r="Z41" s="38">
        <v>46203</v>
      </c>
      <c r="AF41" t="s">
        <v>447</v>
      </c>
    </row>
    <row r="42" spans="1:33" x14ac:dyDescent="0.25">
      <c r="A42" t="s">
        <v>318</v>
      </c>
      <c r="B42" t="s">
        <v>492</v>
      </c>
      <c r="C42" t="s">
        <v>167</v>
      </c>
      <c r="D42" t="s">
        <v>168</v>
      </c>
      <c r="E42" t="s">
        <v>463</v>
      </c>
      <c r="F42" t="s">
        <v>425</v>
      </c>
      <c r="G42" t="s">
        <v>179</v>
      </c>
      <c r="H42" t="s">
        <v>220</v>
      </c>
      <c r="I42" t="s">
        <v>426</v>
      </c>
      <c r="J42" t="s">
        <v>464</v>
      </c>
      <c r="L42" s="38">
        <v>46191</v>
      </c>
      <c r="M42">
        <v>1</v>
      </c>
      <c r="N42" t="s">
        <v>428</v>
      </c>
      <c r="O42">
        <v>19.2</v>
      </c>
      <c r="P42">
        <v>0</v>
      </c>
      <c r="Q42">
        <v>0</v>
      </c>
      <c r="R42">
        <v>-17</v>
      </c>
      <c r="S42">
        <v>2.2000000000000002</v>
      </c>
      <c r="X42" t="s">
        <v>429</v>
      </c>
      <c r="Z42" s="38">
        <v>46216</v>
      </c>
      <c r="AF42" t="s">
        <v>447</v>
      </c>
    </row>
    <row r="43" spans="1:33" x14ac:dyDescent="0.25">
      <c r="A43" t="s">
        <v>318</v>
      </c>
      <c r="B43" t="s">
        <v>493</v>
      </c>
      <c r="C43" t="s">
        <v>167</v>
      </c>
      <c r="D43" t="s">
        <v>168</v>
      </c>
      <c r="E43" t="s">
        <v>1312</v>
      </c>
      <c r="F43" t="s">
        <v>425</v>
      </c>
      <c r="G43" t="s">
        <v>179</v>
      </c>
      <c r="H43" t="s">
        <v>220</v>
      </c>
      <c r="I43" t="s">
        <v>426</v>
      </c>
      <c r="J43" t="s">
        <v>494</v>
      </c>
      <c r="K43" t="s">
        <v>1313</v>
      </c>
      <c r="L43" s="38">
        <v>46191</v>
      </c>
      <c r="M43">
        <v>1</v>
      </c>
      <c r="N43" t="s">
        <v>428</v>
      </c>
      <c r="O43">
        <v>1.21</v>
      </c>
      <c r="P43">
        <v>0</v>
      </c>
      <c r="Q43">
        <v>0</v>
      </c>
      <c r="R43">
        <v>0</v>
      </c>
      <c r="S43">
        <v>1.21</v>
      </c>
      <c r="V43" t="s">
        <v>1314</v>
      </c>
      <c r="W43" t="s">
        <v>495</v>
      </c>
      <c r="X43" t="s">
        <v>429</v>
      </c>
      <c r="Z43" s="38">
        <v>46189</v>
      </c>
      <c r="AF43" t="s">
        <v>458</v>
      </c>
      <c r="AG43" t="s">
        <v>458</v>
      </c>
    </row>
    <row r="44" spans="1:33" x14ac:dyDescent="0.25">
      <c r="A44" t="s">
        <v>318</v>
      </c>
      <c r="B44" t="s">
        <v>1315</v>
      </c>
      <c r="C44" t="s">
        <v>167</v>
      </c>
      <c r="D44" t="s">
        <v>168</v>
      </c>
      <c r="E44" t="s">
        <v>463</v>
      </c>
      <c r="F44" t="s">
        <v>425</v>
      </c>
      <c r="G44" t="s">
        <v>179</v>
      </c>
      <c r="H44" t="s">
        <v>220</v>
      </c>
      <c r="I44" t="s">
        <v>426</v>
      </c>
      <c r="J44" t="s">
        <v>494</v>
      </c>
      <c r="L44" s="38">
        <v>46191</v>
      </c>
      <c r="M44">
        <v>1</v>
      </c>
      <c r="N44" t="s">
        <v>428</v>
      </c>
      <c r="O44">
        <v>1.21</v>
      </c>
      <c r="P44">
        <v>0</v>
      </c>
      <c r="Q44">
        <v>0</v>
      </c>
      <c r="R44">
        <v>0</v>
      </c>
      <c r="S44">
        <v>1.21</v>
      </c>
      <c r="W44" t="s">
        <v>495</v>
      </c>
      <c r="X44" t="s">
        <v>429</v>
      </c>
      <c r="Z44" s="38">
        <v>46252</v>
      </c>
      <c r="AF44" t="s">
        <v>458</v>
      </c>
    </row>
    <row r="45" spans="1:33" x14ac:dyDescent="0.25">
      <c r="A45" t="s">
        <v>318</v>
      </c>
      <c r="B45" t="s">
        <v>470</v>
      </c>
      <c r="C45" t="s">
        <v>167</v>
      </c>
      <c r="D45" t="s">
        <v>168</v>
      </c>
      <c r="E45" t="s">
        <v>445</v>
      </c>
      <c r="F45" t="s">
        <v>425</v>
      </c>
      <c r="G45" t="s">
        <v>179</v>
      </c>
      <c r="H45" t="s">
        <v>220</v>
      </c>
      <c r="I45" t="s">
        <v>426</v>
      </c>
      <c r="J45" t="s">
        <v>188</v>
      </c>
      <c r="L45" s="38">
        <v>46191</v>
      </c>
      <c r="M45">
        <v>1</v>
      </c>
      <c r="N45" t="s">
        <v>428</v>
      </c>
      <c r="O45">
        <v>0</v>
      </c>
      <c r="P45">
        <v>0</v>
      </c>
      <c r="Q45">
        <v>0</v>
      </c>
      <c r="R45">
        <v>136</v>
      </c>
      <c r="S45">
        <v>136</v>
      </c>
      <c r="T45" t="s">
        <v>206</v>
      </c>
      <c r="U45" t="s">
        <v>471</v>
      </c>
      <c r="W45" t="s">
        <v>323</v>
      </c>
      <c r="X45" t="s">
        <v>429</v>
      </c>
      <c r="Z45" s="38">
        <v>46173</v>
      </c>
      <c r="AG45" t="s">
        <v>447</v>
      </c>
    </row>
    <row r="46" spans="1:33" x14ac:dyDescent="0.25">
      <c r="A46" t="s">
        <v>318</v>
      </c>
      <c r="B46" t="s">
        <v>481</v>
      </c>
      <c r="C46" t="s">
        <v>167</v>
      </c>
      <c r="D46" t="s">
        <v>168</v>
      </c>
      <c r="E46" t="s">
        <v>478</v>
      </c>
      <c r="F46" t="s">
        <v>425</v>
      </c>
      <c r="G46" t="s">
        <v>179</v>
      </c>
      <c r="H46" t="s">
        <v>220</v>
      </c>
      <c r="I46" t="s">
        <v>426</v>
      </c>
      <c r="J46" t="s">
        <v>188</v>
      </c>
      <c r="K46" t="s">
        <v>480</v>
      </c>
      <c r="L46" s="38">
        <v>46191</v>
      </c>
      <c r="M46">
        <v>6</v>
      </c>
      <c r="N46" t="s">
        <v>428</v>
      </c>
      <c r="O46">
        <v>0</v>
      </c>
      <c r="P46">
        <v>-19.2</v>
      </c>
      <c r="Q46">
        <v>0</v>
      </c>
      <c r="R46">
        <v>0</v>
      </c>
      <c r="S46">
        <v>0</v>
      </c>
      <c r="T46" t="s">
        <v>206</v>
      </c>
      <c r="U46" t="s">
        <v>471</v>
      </c>
      <c r="V46" t="s">
        <v>472</v>
      </c>
      <c r="W46" t="s">
        <v>323</v>
      </c>
      <c r="X46" t="s">
        <v>429</v>
      </c>
      <c r="Z46" s="38">
        <v>46203</v>
      </c>
      <c r="AF46" t="s">
        <v>447</v>
      </c>
      <c r="AG46" t="s">
        <v>447</v>
      </c>
    </row>
    <row r="47" spans="1:33" x14ac:dyDescent="0.25">
      <c r="A47" t="s">
        <v>318</v>
      </c>
      <c r="B47" t="s">
        <v>481</v>
      </c>
      <c r="C47" t="s">
        <v>167</v>
      </c>
      <c r="D47" t="s">
        <v>168</v>
      </c>
      <c r="E47" t="s">
        <v>478</v>
      </c>
      <c r="F47" t="s">
        <v>425</v>
      </c>
      <c r="G47" t="s">
        <v>179</v>
      </c>
      <c r="H47" t="s">
        <v>220</v>
      </c>
      <c r="I47" t="s">
        <v>426</v>
      </c>
      <c r="J47" t="s">
        <v>188</v>
      </c>
      <c r="K47" t="s">
        <v>480</v>
      </c>
      <c r="L47" s="38">
        <v>46191</v>
      </c>
      <c r="M47">
        <v>6</v>
      </c>
      <c r="N47" t="s">
        <v>428</v>
      </c>
      <c r="O47">
        <v>0</v>
      </c>
      <c r="P47">
        <v>-19.2</v>
      </c>
      <c r="Q47">
        <v>0</v>
      </c>
      <c r="R47">
        <v>0</v>
      </c>
      <c r="S47">
        <v>0</v>
      </c>
      <c r="T47" t="s">
        <v>206</v>
      </c>
      <c r="U47" t="s">
        <v>471</v>
      </c>
      <c r="V47" t="s">
        <v>472</v>
      </c>
      <c r="W47" t="s">
        <v>323</v>
      </c>
      <c r="X47" t="s">
        <v>429</v>
      </c>
      <c r="Z47" s="38">
        <v>46203</v>
      </c>
      <c r="AF47" t="s">
        <v>447</v>
      </c>
      <c r="AG47" t="s">
        <v>447</v>
      </c>
    </row>
    <row r="48" spans="1:33" x14ac:dyDescent="0.25">
      <c r="A48" t="s">
        <v>318</v>
      </c>
      <c r="B48" t="s">
        <v>481</v>
      </c>
      <c r="C48" t="s">
        <v>167</v>
      </c>
      <c r="D48" t="s">
        <v>168</v>
      </c>
      <c r="E48" t="s">
        <v>478</v>
      </c>
      <c r="F48" t="s">
        <v>425</v>
      </c>
      <c r="G48" t="s">
        <v>179</v>
      </c>
      <c r="H48" t="s">
        <v>220</v>
      </c>
      <c r="I48" t="s">
        <v>426</v>
      </c>
      <c r="J48" t="s">
        <v>188</v>
      </c>
      <c r="K48" t="s">
        <v>480</v>
      </c>
      <c r="L48" s="38">
        <v>46191</v>
      </c>
      <c r="M48">
        <v>6</v>
      </c>
      <c r="N48" t="s">
        <v>428</v>
      </c>
      <c r="O48">
        <v>0</v>
      </c>
      <c r="P48">
        <v>-19.2</v>
      </c>
      <c r="Q48">
        <v>0</v>
      </c>
      <c r="R48">
        <v>0</v>
      </c>
      <c r="S48">
        <v>0</v>
      </c>
      <c r="T48" t="s">
        <v>206</v>
      </c>
      <c r="U48" t="s">
        <v>471</v>
      </c>
      <c r="V48" t="s">
        <v>472</v>
      </c>
      <c r="W48" t="s">
        <v>323</v>
      </c>
      <c r="X48" t="s">
        <v>429</v>
      </c>
      <c r="Z48" s="38">
        <v>46203</v>
      </c>
      <c r="AF48" t="s">
        <v>447</v>
      </c>
      <c r="AG48" t="s">
        <v>447</v>
      </c>
    </row>
    <row r="49" spans="1:33" x14ac:dyDescent="0.25">
      <c r="A49" t="s">
        <v>318</v>
      </c>
      <c r="B49" t="s">
        <v>481</v>
      </c>
      <c r="C49" t="s">
        <v>167</v>
      </c>
      <c r="D49" t="s">
        <v>168</v>
      </c>
      <c r="E49" t="s">
        <v>478</v>
      </c>
      <c r="F49" t="s">
        <v>425</v>
      </c>
      <c r="G49" t="s">
        <v>179</v>
      </c>
      <c r="H49" t="s">
        <v>220</v>
      </c>
      <c r="I49" t="s">
        <v>426</v>
      </c>
      <c r="J49" t="s">
        <v>188</v>
      </c>
      <c r="K49" t="s">
        <v>480</v>
      </c>
      <c r="L49" s="38">
        <v>46191</v>
      </c>
      <c r="M49">
        <v>6</v>
      </c>
      <c r="N49" t="s">
        <v>428</v>
      </c>
      <c r="O49">
        <v>0</v>
      </c>
      <c r="P49">
        <v>-19.2</v>
      </c>
      <c r="Q49">
        <v>0</v>
      </c>
      <c r="R49">
        <v>0</v>
      </c>
      <c r="S49">
        <v>0</v>
      </c>
      <c r="T49" t="s">
        <v>206</v>
      </c>
      <c r="U49" t="s">
        <v>471</v>
      </c>
      <c r="V49" t="s">
        <v>472</v>
      </c>
      <c r="W49" t="s">
        <v>323</v>
      </c>
      <c r="X49" t="s">
        <v>429</v>
      </c>
      <c r="Z49" s="38">
        <v>46203</v>
      </c>
      <c r="AF49" t="s">
        <v>447</v>
      </c>
      <c r="AG49" t="s">
        <v>447</v>
      </c>
    </row>
    <row r="50" spans="1:33" x14ac:dyDescent="0.25">
      <c r="A50" t="s">
        <v>318</v>
      </c>
      <c r="B50" t="s">
        <v>481</v>
      </c>
      <c r="C50" t="s">
        <v>167</v>
      </c>
      <c r="D50" t="s">
        <v>168</v>
      </c>
      <c r="E50" t="s">
        <v>478</v>
      </c>
      <c r="F50" t="s">
        <v>425</v>
      </c>
      <c r="G50" t="s">
        <v>179</v>
      </c>
      <c r="H50" t="s">
        <v>220</v>
      </c>
      <c r="I50" t="s">
        <v>426</v>
      </c>
      <c r="J50" t="s">
        <v>188</v>
      </c>
      <c r="K50" t="s">
        <v>480</v>
      </c>
      <c r="L50" s="38">
        <v>46191</v>
      </c>
      <c r="M50">
        <v>6</v>
      </c>
      <c r="N50" t="s">
        <v>428</v>
      </c>
      <c r="O50">
        <v>0</v>
      </c>
      <c r="P50">
        <v>-19.2</v>
      </c>
      <c r="Q50">
        <v>0</v>
      </c>
      <c r="R50">
        <v>0</v>
      </c>
      <c r="S50">
        <v>0</v>
      </c>
      <c r="T50" t="s">
        <v>206</v>
      </c>
      <c r="U50" t="s">
        <v>471</v>
      </c>
      <c r="V50" t="s">
        <v>472</v>
      </c>
      <c r="W50" t="s">
        <v>323</v>
      </c>
      <c r="X50" t="s">
        <v>429</v>
      </c>
      <c r="Z50" s="38">
        <v>46203</v>
      </c>
      <c r="AF50" t="s">
        <v>447</v>
      </c>
      <c r="AG50" t="s">
        <v>447</v>
      </c>
    </row>
    <row r="51" spans="1:33" x14ac:dyDescent="0.25">
      <c r="A51" t="s">
        <v>318</v>
      </c>
      <c r="B51" t="s">
        <v>481</v>
      </c>
      <c r="C51" t="s">
        <v>167</v>
      </c>
      <c r="D51" t="s">
        <v>168</v>
      </c>
      <c r="E51" t="s">
        <v>478</v>
      </c>
      <c r="F51" t="s">
        <v>425</v>
      </c>
      <c r="G51" t="s">
        <v>179</v>
      </c>
      <c r="H51" t="s">
        <v>220</v>
      </c>
      <c r="I51" t="s">
        <v>426</v>
      </c>
      <c r="J51" t="s">
        <v>188</v>
      </c>
      <c r="K51" t="s">
        <v>480</v>
      </c>
      <c r="L51" s="38">
        <v>46191</v>
      </c>
      <c r="M51">
        <v>6</v>
      </c>
      <c r="N51" t="s">
        <v>428</v>
      </c>
      <c r="O51">
        <v>0</v>
      </c>
      <c r="P51">
        <v>-19.2</v>
      </c>
      <c r="Q51">
        <v>0</v>
      </c>
      <c r="R51">
        <v>119</v>
      </c>
      <c r="S51">
        <v>3.8</v>
      </c>
      <c r="T51" t="s">
        <v>206</v>
      </c>
      <c r="U51" t="s">
        <v>471</v>
      </c>
      <c r="V51" t="s">
        <v>472</v>
      </c>
      <c r="W51" t="s">
        <v>323</v>
      </c>
      <c r="X51" t="s">
        <v>429</v>
      </c>
      <c r="Z51" s="38">
        <v>46203</v>
      </c>
      <c r="AF51" t="s">
        <v>447</v>
      </c>
      <c r="AG51" t="s">
        <v>447</v>
      </c>
    </row>
    <row r="52" spans="1:33" x14ac:dyDescent="0.25">
      <c r="A52" t="s">
        <v>318</v>
      </c>
      <c r="B52" t="s">
        <v>322</v>
      </c>
      <c r="C52" t="s">
        <v>167</v>
      </c>
      <c r="D52" t="s">
        <v>168</v>
      </c>
      <c r="E52" t="s">
        <v>170</v>
      </c>
      <c r="F52" t="s">
        <v>425</v>
      </c>
      <c r="G52" t="s">
        <v>179</v>
      </c>
      <c r="H52" t="s">
        <v>220</v>
      </c>
      <c r="I52" t="s">
        <v>426</v>
      </c>
      <c r="J52" t="s">
        <v>188</v>
      </c>
      <c r="K52" t="s">
        <v>499</v>
      </c>
      <c r="L52" s="38">
        <v>46191</v>
      </c>
      <c r="M52">
        <v>1</v>
      </c>
      <c r="N52" t="s">
        <v>428</v>
      </c>
      <c r="O52">
        <v>0</v>
      </c>
      <c r="P52">
        <v>-172.8</v>
      </c>
      <c r="Q52">
        <v>170</v>
      </c>
      <c r="R52">
        <v>0</v>
      </c>
      <c r="S52">
        <v>-2.8</v>
      </c>
      <c r="T52" t="s">
        <v>206</v>
      </c>
      <c r="U52" t="s">
        <v>471</v>
      </c>
      <c r="V52" t="s">
        <v>472</v>
      </c>
      <c r="W52" t="s">
        <v>323</v>
      </c>
      <c r="X52" t="s">
        <v>429</v>
      </c>
      <c r="Z52" s="38">
        <v>46234</v>
      </c>
      <c r="AG52" t="s">
        <v>447</v>
      </c>
    </row>
    <row r="53" spans="1:33" x14ac:dyDescent="0.25">
      <c r="A53" t="s">
        <v>318</v>
      </c>
      <c r="B53" t="s">
        <v>193</v>
      </c>
      <c r="C53" t="s">
        <v>167</v>
      </c>
      <c r="D53" t="s">
        <v>168</v>
      </c>
      <c r="E53" t="s">
        <v>170</v>
      </c>
      <c r="F53" t="s">
        <v>425</v>
      </c>
      <c r="G53" t="s">
        <v>179</v>
      </c>
      <c r="H53" t="s">
        <v>220</v>
      </c>
      <c r="I53" t="s">
        <v>426</v>
      </c>
      <c r="J53" t="s">
        <v>188</v>
      </c>
      <c r="K53" t="s">
        <v>499</v>
      </c>
      <c r="L53" s="38">
        <v>46191</v>
      </c>
      <c r="M53">
        <v>1</v>
      </c>
      <c r="N53" t="s">
        <v>428</v>
      </c>
      <c r="O53">
        <v>0</v>
      </c>
      <c r="P53">
        <v>-134.4</v>
      </c>
      <c r="Q53">
        <v>136</v>
      </c>
      <c r="R53">
        <v>0</v>
      </c>
      <c r="S53">
        <v>1.6</v>
      </c>
      <c r="T53" t="s">
        <v>206</v>
      </c>
      <c r="U53" t="s">
        <v>471</v>
      </c>
      <c r="V53" t="s">
        <v>472</v>
      </c>
      <c r="W53" t="s">
        <v>323</v>
      </c>
      <c r="X53" t="s">
        <v>429</v>
      </c>
      <c r="Z53" s="38">
        <v>46265</v>
      </c>
      <c r="AG53" t="s">
        <v>447</v>
      </c>
    </row>
    <row r="54" spans="1:33" x14ac:dyDescent="0.25">
      <c r="A54" t="s">
        <v>318</v>
      </c>
      <c r="B54" t="s">
        <v>500</v>
      </c>
      <c r="C54" t="s">
        <v>167</v>
      </c>
      <c r="D54" t="s">
        <v>168</v>
      </c>
      <c r="E54" t="s">
        <v>445</v>
      </c>
      <c r="F54" t="s">
        <v>425</v>
      </c>
      <c r="G54" t="s">
        <v>179</v>
      </c>
      <c r="H54" t="s">
        <v>220</v>
      </c>
      <c r="I54" t="s">
        <v>426</v>
      </c>
      <c r="J54" t="s">
        <v>188</v>
      </c>
      <c r="L54" s="38">
        <v>46191</v>
      </c>
      <c r="M54">
        <v>1</v>
      </c>
      <c r="N54" t="s">
        <v>428</v>
      </c>
      <c r="O54">
        <v>0</v>
      </c>
      <c r="P54">
        <v>0</v>
      </c>
      <c r="Q54">
        <v>0</v>
      </c>
      <c r="R54">
        <v>17</v>
      </c>
      <c r="S54">
        <v>17</v>
      </c>
      <c r="T54" t="s">
        <v>206</v>
      </c>
      <c r="U54" t="s">
        <v>465</v>
      </c>
      <c r="W54" t="s">
        <v>323</v>
      </c>
      <c r="X54" t="s">
        <v>429</v>
      </c>
      <c r="Z54" s="38">
        <v>46142</v>
      </c>
      <c r="AG54" t="s">
        <v>447</v>
      </c>
    </row>
    <row r="55" spans="1:33" x14ac:dyDescent="0.25">
      <c r="A55" t="s">
        <v>318</v>
      </c>
      <c r="B55" t="s">
        <v>187</v>
      </c>
      <c r="C55" t="s">
        <v>167</v>
      </c>
      <c r="D55" t="s">
        <v>168</v>
      </c>
      <c r="E55" t="s">
        <v>469</v>
      </c>
      <c r="F55" t="s">
        <v>425</v>
      </c>
      <c r="G55" t="s">
        <v>179</v>
      </c>
      <c r="H55" t="s">
        <v>220</v>
      </c>
      <c r="I55" t="s">
        <v>426</v>
      </c>
      <c r="J55" t="s">
        <v>188</v>
      </c>
      <c r="K55" t="s">
        <v>476</v>
      </c>
      <c r="L55" s="38">
        <v>46191</v>
      </c>
      <c r="M55">
        <v>2</v>
      </c>
      <c r="N55" t="s">
        <v>428</v>
      </c>
      <c r="O55">
        <v>0</v>
      </c>
      <c r="P55">
        <v>-19.2</v>
      </c>
      <c r="Q55">
        <v>0</v>
      </c>
      <c r="R55">
        <v>0</v>
      </c>
      <c r="S55">
        <v>0</v>
      </c>
      <c r="T55" t="s">
        <v>206</v>
      </c>
      <c r="U55" t="s">
        <v>465</v>
      </c>
      <c r="V55" t="s">
        <v>472</v>
      </c>
      <c r="W55" t="s">
        <v>323</v>
      </c>
      <c r="X55" t="s">
        <v>429</v>
      </c>
      <c r="Z55" s="38">
        <v>46173</v>
      </c>
      <c r="AF55" t="s">
        <v>447</v>
      </c>
      <c r="AG55" t="s">
        <v>447</v>
      </c>
    </row>
    <row r="56" spans="1:33" x14ac:dyDescent="0.25">
      <c r="A56" t="s">
        <v>318</v>
      </c>
      <c r="B56" t="s">
        <v>187</v>
      </c>
      <c r="C56" t="s">
        <v>167</v>
      </c>
      <c r="D56" t="s">
        <v>168</v>
      </c>
      <c r="E56" t="s">
        <v>478</v>
      </c>
      <c r="F56" t="s">
        <v>425</v>
      </c>
      <c r="G56" t="s">
        <v>179</v>
      </c>
      <c r="H56" t="s">
        <v>220</v>
      </c>
      <c r="I56" t="s">
        <v>426</v>
      </c>
      <c r="J56" t="s">
        <v>188</v>
      </c>
      <c r="K56" t="s">
        <v>487</v>
      </c>
      <c r="L56" s="38">
        <v>46191</v>
      </c>
      <c r="M56">
        <v>2</v>
      </c>
      <c r="N56" t="s">
        <v>428</v>
      </c>
      <c r="O56">
        <v>0</v>
      </c>
      <c r="P56">
        <v>-19.2</v>
      </c>
      <c r="Q56">
        <v>0</v>
      </c>
      <c r="R56">
        <v>34</v>
      </c>
      <c r="S56">
        <v>-4.4000000000000004</v>
      </c>
      <c r="T56" t="s">
        <v>206</v>
      </c>
      <c r="U56" t="s">
        <v>465</v>
      </c>
      <c r="V56" t="s">
        <v>472</v>
      </c>
      <c r="W56" t="s">
        <v>323</v>
      </c>
      <c r="X56" t="s">
        <v>429</v>
      </c>
      <c r="Z56" s="38">
        <v>46173</v>
      </c>
      <c r="AF56" t="s">
        <v>447</v>
      </c>
      <c r="AG56" t="s">
        <v>447</v>
      </c>
    </row>
    <row r="57" spans="1:33" x14ac:dyDescent="0.25">
      <c r="A57" t="s">
        <v>318</v>
      </c>
      <c r="B57" t="s">
        <v>191</v>
      </c>
      <c r="C57" t="s">
        <v>167</v>
      </c>
      <c r="D57" t="s">
        <v>168</v>
      </c>
      <c r="E57" t="s">
        <v>170</v>
      </c>
      <c r="F57" t="s">
        <v>425</v>
      </c>
      <c r="G57" t="s">
        <v>179</v>
      </c>
      <c r="H57" t="s">
        <v>220</v>
      </c>
      <c r="I57" t="s">
        <v>426</v>
      </c>
      <c r="J57" t="s">
        <v>188</v>
      </c>
      <c r="K57" t="s">
        <v>499</v>
      </c>
      <c r="L57" s="38">
        <v>46191</v>
      </c>
      <c r="M57">
        <v>1</v>
      </c>
      <c r="N57" t="s">
        <v>428</v>
      </c>
      <c r="O57">
        <v>0</v>
      </c>
      <c r="P57">
        <v>-38.4</v>
      </c>
      <c r="Q57">
        <v>0</v>
      </c>
      <c r="R57">
        <v>34</v>
      </c>
      <c r="S57">
        <v>-4.4000000000000004</v>
      </c>
      <c r="T57" t="s">
        <v>206</v>
      </c>
      <c r="U57" t="s">
        <v>465</v>
      </c>
      <c r="V57" t="s">
        <v>472</v>
      </c>
      <c r="W57" t="s">
        <v>323</v>
      </c>
      <c r="X57" t="s">
        <v>429</v>
      </c>
      <c r="Z57" s="38">
        <v>46203</v>
      </c>
      <c r="AG57" t="s">
        <v>447</v>
      </c>
    </row>
    <row r="58" spans="1:33" x14ac:dyDescent="0.25">
      <c r="A58" t="s">
        <v>318</v>
      </c>
      <c r="B58" t="s">
        <v>192</v>
      </c>
      <c r="C58" t="s">
        <v>167</v>
      </c>
      <c r="D58" t="s">
        <v>168</v>
      </c>
      <c r="E58" t="s">
        <v>170</v>
      </c>
      <c r="F58" t="s">
        <v>425</v>
      </c>
      <c r="G58" t="s">
        <v>179</v>
      </c>
      <c r="H58" t="s">
        <v>220</v>
      </c>
      <c r="I58" t="s">
        <v>426</v>
      </c>
      <c r="J58" t="s">
        <v>188</v>
      </c>
      <c r="K58" t="s">
        <v>499</v>
      </c>
      <c r="L58" s="38">
        <v>46191</v>
      </c>
      <c r="M58">
        <v>1</v>
      </c>
      <c r="N58" t="s">
        <v>428</v>
      </c>
      <c r="O58">
        <v>0</v>
      </c>
      <c r="P58">
        <v>-134.4</v>
      </c>
      <c r="Q58">
        <v>136</v>
      </c>
      <c r="R58">
        <v>0</v>
      </c>
      <c r="S58">
        <v>1.6</v>
      </c>
      <c r="T58" t="s">
        <v>206</v>
      </c>
      <c r="U58" t="s">
        <v>465</v>
      </c>
      <c r="V58" t="s">
        <v>472</v>
      </c>
      <c r="W58" t="s">
        <v>323</v>
      </c>
      <c r="X58" t="s">
        <v>429</v>
      </c>
      <c r="Z58" s="38">
        <v>46234</v>
      </c>
      <c r="AG58" t="s">
        <v>447</v>
      </c>
    </row>
    <row r="59" spans="1:33" x14ac:dyDescent="0.25">
      <c r="A59" t="s">
        <v>318</v>
      </c>
      <c r="B59" t="s">
        <v>201</v>
      </c>
      <c r="C59" t="s">
        <v>167</v>
      </c>
      <c r="D59" t="s">
        <v>168</v>
      </c>
      <c r="E59" t="s">
        <v>170</v>
      </c>
      <c r="F59" t="s">
        <v>425</v>
      </c>
      <c r="G59" t="s">
        <v>179</v>
      </c>
      <c r="H59" t="s">
        <v>220</v>
      </c>
      <c r="I59" t="s">
        <v>426</v>
      </c>
      <c r="J59" t="s">
        <v>188</v>
      </c>
      <c r="K59" t="s">
        <v>499</v>
      </c>
      <c r="L59" s="38">
        <v>46191</v>
      </c>
      <c r="M59">
        <v>1</v>
      </c>
      <c r="N59" t="s">
        <v>428</v>
      </c>
      <c r="O59">
        <v>0</v>
      </c>
      <c r="P59">
        <v>-153.6</v>
      </c>
      <c r="Q59">
        <v>153</v>
      </c>
      <c r="R59">
        <v>0</v>
      </c>
      <c r="S59">
        <v>-0.6</v>
      </c>
      <c r="T59" t="s">
        <v>206</v>
      </c>
      <c r="U59" t="s">
        <v>465</v>
      </c>
      <c r="V59" t="s">
        <v>472</v>
      </c>
      <c r="W59" t="s">
        <v>323</v>
      </c>
      <c r="X59" t="s">
        <v>429</v>
      </c>
      <c r="Z59" s="38">
        <v>46265</v>
      </c>
      <c r="AG59" t="s">
        <v>447</v>
      </c>
    </row>
    <row r="60" spans="1:33" x14ac:dyDescent="0.25">
      <c r="A60" t="s">
        <v>318</v>
      </c>
      <c r="B60" t="s">
        <v>501</v>
      </c>
      <c r="C60" t="s">
        <v>167</v>
      </c>
      <c r="D60" t="s">
        <v>168</v>
      </c>
      <c r="E60" t="s">
        <v>445</v>
      </c>
      <c r="F60" t="s">
        <v>425</v>
      </c>
      <c r="G60" t="s">
        <v>179</v>
      </c>
      <c r="H60" t="s">
        <v>220</v>
      </c>
      <c r="I60" t="s">
        <v>426</v>
      </c>
      <c r="J60" t="s">
        <v>502</v>
      </c>
      <c r="L60" s="38">
        <v>46191</v>
      </c>
      <c r="M60">
        <v>1</v>
      </c>
      <c r="N60" t="s">
        <v>428</v>
      </c>
      <c r="O60">
        <v>0</v>
      </c>
      <c r="P60">
        <v>0</v>
      </c>
      <c r="Q60">
        <v>0</v>
      </c>
      <c r="R60">
        <v>17</v>
      </c>
      <c r="S60">
        <v>17</v>
      </c>
      <c r="W60" t="s">
        <v>503</v>
      </c>
      <c r="X60" t="s">
        <v>429</v>
      </c>
      <c r="Z60" s="38">
        <v>46203</v>
      </c>
      <c r="AG60" t="s">
        <v>447</v>
      </c>
    </row>
    <row r="61" spans="1:33" x14ac:dyDescent="0.25">
      <c r="A61" t="s">
        <v>318</v>
      </c>
      <c r="B61" t="s">
        <v>504</v>
      </c>
      <c r="C61" t="s">
        <v>167</v>
      </c>
      <c r="D61" t="s">
        <v>168</v>
      </c>
      <c r="E61" t="s">
        <v>445</v>
      </c>
      <c r="F61" t="s">
        <v>425</v>
      </c>
      <c r="G61" t="s">
        <v>179</v>
      </c>
      <c r="H61" t="s">
        <v>220</v>
      </c>
      <c r="I61" t="s">
        <v>426</v>
      </c>
      <c r="J61" t="s">
        <v>245</v>
      </c>
      <c r="L61" s="38">
        <v>46191</v>
      </c>
      <c r="M61">
        <v>1</v>
      </c>
      <c r="N61" t="s">
        <v>428</v>
      </c>
      <c r="O61">
        <v>0</v>
      </c>
      <c r="P61">
        <v>0</v>
      </c>
      <c r="Q61">
        <v>0</v>
      </c>
      <c r="R61">
        <v>17</v>
      </c>
      <c r="S61">
        <v>17</v>
      </c>
      <c r="T61" t="s">
        <v>228</v>
      </c>
      <c r="X61" t="s">
        <v>429</v>
      </c>
      <c r="Z61" s="38">
        <v>46142</v>
      </c>
      <c r="AG61" t="s">
        <v>447</v>
      </c>
    </row>
    <row r="62" spans="1:33" x14ac:dyDescent="0.25">
      <c r="A62" t="s">
        <v>318</v>
      </c>
      <c r="B62" t="s">
        <v>244</v>
      </c>
      <c r="C62" t="s">
        <v>167</v>
      </c>
      <c r="D62" t="s">
        <v>168</v>
      </c>
      <c r="E62" t="s">
        <v>170</v>
      </c>
      <c r="F62" t="s">
        <v>425</v>
      </c>
      <c r="G62" t="s">
        <v>179</v>
      </c>
      <c r="H62" t="s">
        <v>220</v>
      </c>
      <c r="I62" t="s">
        <v>426</v>
      </c>
      <c r="J62" t="s">
        <v>245</v>
      </c>
      <c r="K62" t="s">
        <v>499</v>
      </c>
      <c r="L62" s="38">
        <v>46191</v>
      </c>
      <c r="M62">
        <v>1</v>
      </c>
      <c r="N62" t="s">
        <v>428</v>
      </c>
      <c r="O62">
        <v>0</v>
      </c>
      <c r="P62">
        <v>-19.2</v>
      </c>
      <c r="Q62">
        <v>17</v>
      </c>
      <c r="R62">
        <v>0</v>
      </c>
      <c r="S62">
        <v>-2.2000000000000002</v>
      </c>
      <c r="T62" t="s">
        <v>228</v>
      </c>
      <c r="V62" t="s">
        <v>472</v>
      </c>
      <c r="X62" t="s">
        <v>429</v>
      </c>
      <c r="Z62" s="38">
        <v>46265</v>
      </c>
      <c r="AG62" t="s">
        <v>447</v>
      </c>
    </row>
    <row r="63" spans="1:33" x14ac:dyDescent="0.25">
      <c r="A63" t="s">
        <v>318</v>
      </c>
      <c r="B63" t="s">
        <v>505</v>
      </c>
      <c r="C63" t="s">
        <v>167</v>
      </c>
      <c r="D63" t="s">
        <v>168</v>
      </c>
      <c r="E63" t="s">
        <v>445</v>
      </c>
      <c r="F63" t="s">
        <v>425</v>
      </c>
      <c r="G63" t="s">
        <v>179</v>
      </c>
      <c r="H63" t="s">
        <v>220</v>
      </c>
      <c r="I63" t="s">
        <v>426</v>
      </c>
      <c r="J63" t="s">
        <v>506</v>
      </c>
      <c r="L63" s="38">
        <v>46191</v>
      </c>
      <c r="M63">
        <v>1</v>
      </c>
      <c r="N63" t="s">
        <v>428</v>
      </c>
      <c r="O63">
        <v>0</v>
      </c>
      <c r="P63">
        <v>0</v>
      </c>
      <c r="Q63">
        <v>0</v>
      </c>
      <c r="R63">
        <v>17</v>
      </c>
      <c r="S63">
        <v>17</v>
      </c>
      <c r="X63" t="s">
        <v>429</v>
      </c>
      <c r="Z63" s="38">
        <v>46173</v>
      </c>
      <c r="AG63" t="s">
        <v>507</v>
      </c>
    </row>
    <row r="64" spans="1:33" x14ac:dyDescent="0.25">
      <c r="A64" t="s">
        <v>318</v>
      </c>
      <c r="B64" t="s">
        <v>484</v>
      </c>
      <c r="C64" t="s">
        <v>167</v>
      </c>
      <c r="D64" t="s">
        <v>168</v>
      </c>
      <c r="E64" t="s">
        <v>478</v>
      </c>
      <c r="F64" t="s">
        <v>425</v>
      </c>
      <c r="G64" t="s">
        <v>179</v>
      </c>
      <c r="H64" t="s">
        <v>220</v>
      </c>
      <c r="I64" t="s">
        <v>426</v>
      </c>
      <c r="J64" t="s">
        <v>204</v>
      </c>
      <c r="K64" t="s">
        <v>482</v>
      </c>
      <c r="L64" s="38">
        <v>46191</v>
      </c>
      <c r="M64">
        <v>1</v>
      </c>
      <c r="N64" t="s">
        <v>428</v>
      </c>
      <c r="O64">
        <v>0</v>
      </c>
      <c r="P64">
        <v>-9.6</v>
      </c>
      <c r="Q64">
        <v>0</v>
      </c>
      <c r="R64">
        <v>17</v>
      </c>
      <c r="S64">
        <v>7.4</v>
      </c>
      <c r="T64" t="s">
        <v>228</v>
      </c>
      <c r="V64" t="s">
        <v>472</v>
      </c>
      <c r="X64" t="s">
        <v>429</v>
      </c>
      <c r="Z64" s="38">
        <v>46203</v>
      </c>
      <c r="AF64" t="s">
        <v>447</v>
      </c>
      <c r="AG64" t="s">
        <v>447</v>
      </c>
    </row>
    <row r="65" spans="1:33" x14ac:dyDescent="0.25">
      <c r="A65" t="s">
        <v>318</v>
      </c>
      <c r="B65" t="s">
        <v>486</v>
      </c>
      <c r="C65" t="s">
        <v>167</v>
      </c>
      <c r="D65" t="s">
        <v>168</v>
      </c>
      <c r="E65" t="s">
        <v>478</v>
      </c>
      <c r="F65" t="s">
        <v>425</v>
      </c>
      <c r="G65" t="s">
        <v>179</v>
      </c>
      <c r="H65" t="s">
        <v>220</v>
      </c>
      <c r="I65" t="s">
        <v>426</v>
      </c>
      <c r="J65" t="s">
        <v>204</v>
      </c>
      <c r="K65" t="s">
        <v>485</v>
      </c>
      <c r="L65" s="38">
        <v>46191</v>
      </c>
      <c r="M65">
        <v>1</v>
      </c>
      <c r="N65" t="s">
        <v>428</v>
      </c>
      <c r="O65">
        <v>0</v>
      </c>
      <c r="P65">
        <v>-4.8</v>
      </c>
      <c r="Q65">
        <v>0</v>
      </c>
      <c r="R65">
        <v>0</v>
      </c>
      <c r="S65">
        <v>-4.8</v>
      </c>
      <c r="T65" t="s">
        <v>234</v>
      </c>
      <c r="V65" t="s">
        <v>472</v>
      </c>
      <c r="W65" t="s">
        <v>503</v>
      </c>
      <c r="X65" t="s">
        <v>429</v>
      </c>
      <c r="Z65" s="38">
        <v>46203</v>
      </c>
      <c r="AF65" t="s">
        <v>447</v>
      </c>
      <c r="AG65" t="s">
        <v>447</v>
      </c>
    </row>
    <row r="66" spans="1:33" x14ac:dyDescent="0.25">
      <c r="A66" t="s">
        <v>318</v>
      </c>
      <c r="B66" t="s">
        <v>180</v>
      </c>
      <c r="C66" t="s">
        <v>167</v>
      </c>
      <c r="D66" t="s">
        <v>168</v>
      </c>
      <c r="E66" t="s">
        <v>483</v>
      </c>
      <c r="F66" t="s">
        <v>425</v>
      </c>
      <c r="G66" t="s">
        <v>179</v>
      </c>
      <c r="H66" t="s">
        <v>220</v>
      </c>
      <c r="I66" t="s">
        <v>426</v>
      </c>
      <c r="J66" t="s">
        <v>181</v>
      </c>
      <c r="K66" t="s">
        <v>489</v>
      </c>
      <c r="L66" s="38">
        <v>46191</v>
      </c>
      <c r="M66">
        <v>1</v>
      </c>
      <c r="N66" t="s">
        <v>428</v>
      </c>
      <c r="O66">
        <v>0</v>
      </c>
      <c r="P66">
        <v>-6</v>
      </c>
      <c r="Q66">
        <v>0</v>
      </c>
      <c r="R66">
        <v>0</v>
      </c>
      <c r="S66">
        <v>-6</v>
      </c>
      <c r="V66" t="s">
        <v>472</v>
      </c>
      <c r="X66" t="s">
        <v>429</v>
      </c>
      <c r="Z66" s="38">
        <v>46173</v>
      </c>
      <c r="AF66" t="s">
        <v>447</v>
      </c>
      <c r="AG66" t="s">
        <v>447</v>
      </c>
    </row>
    <row r="67" spans="1:33" x14ac:dyDescent="0.25">
      <c r="A67" t="s">
        <v>318</v>
      </c>
      <c r="B67" t="s">
        <v>508</v>
      </c>
      <c r="C67" t="s">
        <v>167</v>
      </c>
      <c r="D67" t="s">
        <v>168</v>
      </c>
      <c r="E67" t="s">
        <v>445</v>
      </c>
      <c r="F67" t="s">
        <v>425</v>
      </c>
      <c r="G67" t="s">
        <v>179</v>
      </c>
      <c r="H67" t="s">
        <v>220</v>
      </c>
      <c r="I67" t="s">
        <v>426</v>
      </c>
      <c r="J67" t="s">
        <v>227</v>
      </c>
      <c r="L67" s="38">
        <v>46191</v>
      </c>
      <c r="M67">
        <v>1</v>
      </c>
      <c r="N67" t="s">
        <v>428</v>
      </c>
      <c r="O67">
        <v>0</v>
      </c>
      <c r="P67">
        <v>0</v>
      </c>
      <c r="Q67">
        <v>0</v>
      </c>
      <c r="R67">
        <v>17</v>
      </c>
      <c r="S67">
        <v>17</v>
      </c>
      <c r="T67" t="s">
        <v>228</v>
      </c>
      <c r="X67" t="s">
        <v>429</v>
      </c>
      <c r="Z67" s="38">
        <v>46188</v>
      </c>
      <c r="AG67" t="s">
        <v>509</v>
      </c>
    </row>
    <row r="68" spans="1:33" x14ac:dyDescent="0.25">
      <c r="A68" t="s">
        <v>318</v>
      </c>
      <c r="B68" t="s">
        <v>479</v>
      </c>
      <c r="C68" t="s">
        <v>167</v>
      </c>
      <c r="D68" t="s">
        <v>168</v>
      </c>
      <c r="E68" t="s">
        <v>478</v>
      </c>
      <c r="F68" t="s">
        <v>425</v>
      </c>
      <c r="G68" t="s">
        <v>179</v>
      </c>
      <c r="H68" t="s">
        <v>220</v>
      </c>
      <c r="I68" t="s">
        <v>426</v>
      </c>
      <c r="J68" t="s">
        <v>510</v>
      </c>
      <c r="K68" t="s">
        <v>477</v>
      </c>
      <c r="L68" s="38">
        <v>46191</v>
      </c>
      <c r="M68">
        <v>1</v>
      </c>
      <c r="N68" t="s">
        <v>428</v>
      </c>
      <c r="O68">
        <v>0</v>
      </c>
      <c r="P68">
        <v>-9.6</v>
      </c>
      <c r="Q68">
        <v>0</v>
      </c>
      <c r="R68">
        <v>0</v>
      </c>
      <c r="S68">
        <v>-9.6</v>
      </c>
      <c r="T68" t="s">
        <v>228</v>
      </c>
      <c r="V68" t="s">
        <v>472</v>
      </c>
      <c r="X68" t="s">
        <v>429</v>
      </c>
      <c r="Z68" s="38">
        <v>46203</v>
      </c>
      <c r="AF68" t="s">
        <v>447</v>
      </c>
      <c r="AG68" t="s">
        <v>447</v>
      </c>
    </row>
    <row r="69" spans="1:33" x14ac:dyDescent="0.25">
      <c r="A69" t="s">
        <v>318</v>
      </c>
      <c r="B69" t="s">
        <v>217</v>
      </c>
      <c r="C69" t="s">
        <v>167</v>
      </c>
      <c r="D69" t="s">
        <v>168</v>
      </c>
      <c r="E69" t="s">
        <v>478</v>
      </c>
      <c r="F69" t="s">
        <v>425</v>
      </c>
      <c r="G69" t="s">
        <v>179</v>
      </c>
      <c r="H69" t="s">
        <v>220</v>
      </c>
      <c r="I69" t="s">
        <v>426</v>
      </c>
      <c r="J69" t="s">
        <v>218</v>
      </c>
      <c r="K69" t="s">
        <v>488</v>
      </c>
      <c r="L69" s="38">
        <v>46191</v>
      </c>
      <c r="M69">
        <v>1</v>
      </c>
      <c r="N69" t="s">
        <v>428</v>
      </c>
      <c r="O69">
        <v>0</v>
      </c>
      <c r="P69">
        <v>-19.2</v>
      </c>
      <c r="Q69">
        <v>0</v>
      </c>
      <c r="R69">
        <v>17</v>
      </c>
      <c r="S69">
        <v>-2.2000000000000002</v>
      </c>
      <c r="V69" t="s">
        <v>472</v>
      </c>
      <c r="X69" t="s">
        <v>429</v>
      </c>
      <c r="Z69" s="38">
        <v>46203</v>
      </c>
      <c r="AF69" t="s">
        <v>447</v>
      </c>
      <c r="AG69" t="s">
        <v>447</v>
      </c>
    </row>
    <row r="70" spans="1:33" x14ac:dyDescent="0.25">
      <c r="A70" t="s">
        <v>318</v>
      </c>
      <c r="B70" t="s">
        <v>221</v>
      </c>
      <c r="C70" t="s">
        <v>167</v>
      </c>
      <c r="D70" t="s">
        <v>168</v>
      </c>
      <c r="E70" t="s">
        <v>170</v>
      </c>
      <c r="F70" t="s">
        <v>425</v>
      </c>
      <c r="G70" t="s">
        <v>179</v>
      </c>
      <c r="H70" t="s">
        <v>220</v>
      </c>
      <c r="I70" t="s">
        <v>426</v>
      </c>
      <c r="J70" t="s">
        <v>222</v>
      </c>
      <c r="K70" t="s">
        <v>499</v>
      </c>
      <c r="L70" s="38">
        <v>46191</v>
      </c>
      <c r="M70">
        <v>1</v>
      </c>
      <c r="N70" t="s">
        <v>428</v>
      </c>
      <c r="O70">
        <v>0</v>
      </c>
      <c r="P70">
        <v>-38.4</v>
      </c>
      <c r="Q70">
        <v>0</v>
      </c>
      <c r="R70">
        <v>34</v>
      </c>
      <c r="S70">
        <v>-4.4000000000000004</v>
      </c>
      <c r="V70" t="s">
        <v>472</v>
      </c>
      <c r="X70" t="s">
        <v>429</v>
      </c>
      <c r="Z70" s="38">
        <v>46188</v>
      </c>
      <c r="AG70" t="s">
        <v>447</v>
      </c>
    </row>
    <row r="71" spans="1:33" x14ac:dyDescent="0.25">
      <c r="A71" t="s">
        <v>318</v>
      </c>
      <c r="B71" t="s">
        <v>235</v>
      </c>
      <c r="C71" t="s">
        <v>167</v>
      </c>
      <c r="D71" t="s">
        <v>168</v>
      </c>
      <c r="E71" t="s">
        <v>170</v>
      </c>
      <c r="F71" t="s">
        <v>425</v>
      </c>
      <c r="G71" t="s">
        <v>179</v>
      </c>
      <c r="H71" t="s">
        <v>220</v>
      </c>
      <c r="I71" t="s">
        <v>426</v>
      </c>
      <c r="J71" t="s">
        <v>181</v>
      </c>
      <c r="K71" t="s">
        <v>499</v>
      </c>
      <c r="L71" s="38">
        <v>46191</v>
      </c>
      <c r="M71">
        <v>1</v>
      </c>
      <c r="N71" t="s">
        <v>428</v>
      </c>
      <c r="O71">
        <v>0</v>
      </c>
      <c r="P71">
        <v>-19.2</v>
      </c>
      <c r="Q71">
        <v>17</v>
      </c>
      <c r="R71">
        <v>0</v>
      </c>
      <c r="S71">
        <v>-2.2000000000000002</v>
      </c>
      <c r="V71" t="s">
        <v>472</v>
      </c>
      <c r="X71" t="s">
        <v>429</v>
      </c>
      <c r="Z71" s="38">
        <v>46203</v>
      </c>
      <c r="AG71" t="s">
        <v>447</v>
      </c>
    </row>
    <row r="72" spans="1:33" x14ac:dyDescent="0.25">
      <c r="A72" t="s">
        <v>318</v>
      </c>
      <c r="B72" t="s">
        <v>226</v>
      </c>
      <c r="C72" t="s">
        <v>167</v>
      </c>
      <c r="D72" t="s">
        <v>168</v>
      </c>
      <c r="E72" t="s">
        <v>170</v>
      </c>
      <c r="F72" t="s">
        <v>425</v>
      </c>
      <c r="G72" t="s">
        <v>179</v>
      </c>
      <c r="H72" t="s">
        <v>220</v>
      </c>
      <c r="I72" t="s">
        <v>426</v>
      </c>
      <c r="J72" t="s">
        <v>227</v>
      </c>
      <c r="K72" t="s">
        <v>499</v>
      </c>
      <c r="L72" s="38">
        <v>46191</v>
      </c>
      <c r="M72">
        <v>1</v>
      </c>
      <c r="N72" t="s">
        <v>428</v>
      </c>
      <c r="O72">
        <v>0</v>
      </c>
      <c r="P72">
        <v>-19.2</v>
      </c>
      <c r="Q72">
        <v>0</v>
      </c>
      <c r="R72">
        <v>17</v>
      </c>
      <c r="S72">
        <v>-2.2000000000000002</v>
      </c>
      <c r="T72" t="s">
        <v>228</v>
      </c>
      <c r="V72" t="s">
        <v>472</v>
      </c>
      <c r="X72" t="s">
        <v>429</v>
      </c>
      <c r="Z72" s="38">
        <v>46203</v>
      </c>
      <c r="AG72" t="s">
        <v>447</v>
      </c>
    </row>
    <row r="73" spans="1:33" x14ac:dyDescent="0.25">
      <c r="A73" t="s">
        <v>318</v>
      </c>
      <c r="B73" t="s">
        <v>229</v>
      </c>
      <c r="C73" t="s">
        <v>167</v>
      </c>
      <c r="D73" t="s">
        <v>168</v>
      </c>
      <c r="E73" t="s">
        <v>170</v>
      </c>
      <c r="F73" t="s">
        <v>425</v>
      </c>
      <c r="G73" t="s">
        <v>179</v>
      </c>
      <c r="H73" t="s">
        <v>220</v>
      </c>
      <c r="I73" t="s">
        <v>426</v>
      </c>
      <c r="J73" t="s">
        <v>227</v>
      </c>
      <c r="K73" t="s">
        <v>499</v>
      </c>
      <c r="L73" s="38">
        <v>46191</v>
      </c>
      <c r="M73">
        <v>1</v>
      </c>
      <c r="N73" t="s">
        <v>428</v>
      </c>
      <c r="O73">
        <v>0</v>
      </c>
      <c r="P73">
        <v>-19.2</v>
      </c>
      <c r="Q73">
        <v>0</v>
      </c>
      <c r="R73">
        <v>17</v>
      </c>
      <c r="S73">
        <v>-2.2000000000000002</v>
      </c>
      <c r="T73" t="s">
        <v>228</v>
      </c>
      <c r="V73" t="s">
        <v>472</v>
      </c>
      <c r="X73" t="s">
        <v>429</v>
      </c>
      <c r="Z73" s="38">
        <v>46203</v>
      </c>
      <c r="AG73" t="s">
        <v>447</v>
      </c>
    </row>
    <row r="74" spans="1:33" x14ac:dyDescent="0.25">
      <c r="A74" t="s">
        <v>318</v>
      </c>
      <c r="B74" t="s">
        <v>230</v>
      </c>
      <c r="C74" t="s">
        <v>167</v>
      </c>
      <c r="D74" t="s">
        <v>168</v>
      </c>
      <c r="E74" t="s">
        <v>170</v>
      </c>
      <c r="F74" t="s">
        <v>425</v>
      </c>
      <c r="G74" t="s">
        <v>179</v>
      </c>
      <c r="H74" t="s">
        <v>220</v>
      </c>
      <c r="I74" t="s">
        <v>426</v>
      </c>
      <c r="J74" t="s">
        <v>227</v>
      </c>
      <c r="K74" t="s">
        <v>499</v>
      </c>
      <c r="L74" s="38">
        <v>46191</v>
      </c>
      <c r="M74">
        <v>1</v>
      </c>
      <c r="N74" t="s">
        <v>428</v>
      </c>
      <c r="O74">
        <v>0</v>
      </c>
      <c r="P74">
        <v>-19.2</v>
      </c>
      <c r="Q74">
        <v>17</v>
      </c>
      <c r="R74">
        <v>0</v>
      </c>
      <c r="S74">
        <v>-2.2000000000000002</v>
      </c>
      <c r="T74" t="s">
        <v>228</v>
      </c>
      <c r="V74" t="s">
        <v>472</v>
      </c>
      <c r="X74" t="s">
        <v>429</v>
      </c>
      <c r="Z74" s="38">
        <v>46234</v>
      </c>
      <c r="AG74" t="s">
        <v>447</v>
      </c>
    </row>
    <row r="75" spans="1:33" x14ac:dyDescent="0.25">
      <c r="A75" t="s">
        <v>318</v>
      </c>
      <c r="B75" t="s">
        <v>284</v>
      </c>
      <c r="C75" t="s">
        <v>167</v>
      </c>
      <c r="D75" t="s">
        <v>168</v>
      </c>
      <c r="E75" t="s">
        <v>170</v>
      </c>
      <c r="F75" t="s">
        <v>425</v>
      </c>
      <c r="G75" t="s">
        <v>179</v>
      </c>
      <c r="H75" t="s">
        <v>220</v>
      </c>
      <c r="I75" t="s">
        <v>426</v>
      </c>
      <c r="J75" t="s">
        <v>285</v>
      </c>
      <c r="K75" t="s">
        <v>499</v>
      </c>
      <c r="L75" s="38">
        <v>46191</v>
      </c>
      <c r="M75">
        <v>1</v>
      </c>
      <c r="N75" t="s">
        <v>428</v>
      </c>
      <c r="O75">
        <v>0</v>
      </c>
      <c r="P75">
        <v>-19.2</v>
      </c>
      <c r="Q75">
        <v>0</v>
      </c>
      <c r="R75">
        <v>17</v>
      </c>
      <c r="S75">
        <v>-2.2000000000000002</v>
      </c>
      <c r="V75" t="s">
        <v>511</v>
      </c>
      <c r="X75" t="s">
        <v>429</v>
      </c>
      <c r="Z75" s="38">
        <v>46234</v>
      </c>
      <c r="AG75" t="s">
        <v>509</v>
      </c>
    </row>
    <row r="76" spans="1:33" x14ac:dyDescent="0.25">
      <c r="A76" t="s">
        <v>318</v>
      </c>
      <c r="B76" t="s">
        <v>280</v>
      </c>
      <c r="C76" t="s">
        <v>167</v>
      </c>
      <c r="D76" t="s">
        <v>168</v>
      </c>
      <c r="E76" t="s">
        <v>170</v>
      </c>
      <c r="F76" t="s">
        <v>425</v>
      </c>
      <c r="G76" t="s">
        <v>179</v>
      </c>
      <c r="H76" t="s">
        <v>220</v>
      </c>
      <c r="I76" t="s">
        <v>426</v>
      </c>
      <c r="J76" t="s">
        <v>281</v>
      </c>
      <c r="K76" t="s">
        <v>499</v>
      </c>
      <c r="L76" s="38">
        <v>46191</v>
      </c>
      <c r="M76">
        <v>1</v>
      </c>
      <c r="N76" t="s">
        <v>428</v>
      </c>
      <c r="O76">
        <v>0</v>
      </c>
      <c r="P76">
        <v>-19.2</v>
      </c>
      <c r="Q76">
        <v>0</v>
      </c>
      <c r="R76">
        <v>17</v>
      </c>
      <c r="S76">
        <v>-2.2000000000000002</v>
      </c>
      <c r="V76" t="s">
        <v>472</v>
      </c>
      <c r="X76" t="s">
        <v>429</v>
      </c>
      <c r="Z76" s="38">
        <v>46203</v>
      </c>
      <c r="AG76" t="s">
        <v>447</v>
      </c>
    </row>
    <row r="77" spans="1:33" x14ac:dyDescent="0.25">
      <c r="A77" t="s">
        <v>318</v>
      </c>
      <c r="B77" t="s">
        <v>304</v>
      </c>
      <c r="C77" t="s">
        <v>167</v>
      </c>
      <c r="D77" t="s">
        <v>168</v>
      </c>
      <c r="E77" t="s">
        <v>170</v>
      </c>
      <c r="F77" t="s">
        <v>425</v>
      </c>
      <c r="G77" t="s">
        <v>179</v>
      </c>
      <c r="H77" t="s">
        <v>220</v>
      </c>
      <c r="I77" t="s">
        <v>426</v>
      </c>
      <c r="J77" t="s">
        <v>305</v>
      </c>
      <c r="K77" t="s">
        <v>499</v>
      </c>
      <c r="L77" s="38">
        <v>46191</v>
      </c>
      <c r="M77">
        <v>1</v>
      </c>
      <c r="N77" t="s">
        <v>428</v>
      </c>
      <c r="O77">
        <v>0</v>
      </c>
      <c r="P77">
        <v>-19.2</v>
      </c>
      <c r="Q77">
        <v>17</v>
      </c>
      <c r="R77">
        <v>0</v>
      </c>
      <c r="S77">
        <v>-2.2000000000000002</v>
      </c>
      <c r="V77" t="s">
        <v>472</v>
      </c>
      <c r="W77" t="s">
        <v>207</v>
      </c>
      <c r="X77" t="s">
        <v>429</v>
      </c>
      <c r="Z77" s="38">
        <v>46203</v>
      </c>
      <c r="AG77" t="s">
        <v>447</v>
      </c>
    </row>
    <row r="78" spans="1:33" x14ac:dyDescent="0.25">
      <c r="A78" t="s">
        <v>318</v>
      </c>
      <c r="B78" t="s">
        <v>313</v>
      </c>
      <c r="C78" t="s">
        <v>167</v>
      </c>
      <c r="D78" t="s">
        <v>168</v>
      </c>
      <c r="E78" t="s">
        <v>170</v>
      </c>
      <c r="F78" t="s">
        <v>425</v>
      </c>
      <c r="G78" t="s">
        <v>179</v>
      </c>
      <c r="H78" t="s">
        <v>220</v>
      </c>
      <c r="I78" t="s">
        <v>426</v>
      </c>
      <c r="J78" t="s">
        <v>227</v>
      </c>
      <c r="K78" t="s">
        <v>499</v>
      </c>
      <c r="L78" s="38">
        <v>46191</v>
      </c>
      <c r="M78">
        <v>1</v>
      </c>
      <c r="N78" t="s">
        <v>428</v>
      </c>
      <c r="O78">
        <v>0</v>
      </c>
      <c r="P78">
        <v>-19.2</v>
      </c>
      <c r="Q78">
        <v>17</v>
      </c>
      <c r="R78">
        <v>0</v>
      </c>
      <c r="S78">
        <v>-2.2000000000000002</v>
      </c>
      <c r="T78" t="s">
        <v>228</v>
      </c>
      <c r="V78" t="s">
        <v>511</v>
      </c>
      <c r="X78" t="s">
        <v>429</v>
      </c>
      <c r="Z78" s="38">
        <v>46295</v>
      </c>
      <c r="AG78" t="s">
        <v>509</v>
      </c>
    </row>
    <row r="79" spans="1:33" x14ac:dyDescent="0.25">
      <c r="A79" t="s">
        <v>318</v>
      </c>
      <c r="B79" t="s">
        <v>316</v>
      </c>
      <c r="C79" t="s">
        <v>167</v>
      </c>
      <c r="D79" t="s">
        <v>168</v>
      </c>
      <c r="E79" t="s">
        <v>170</v>
      </c>
      <c r="F79" t="s">
        <v>425</v>
      </c>
      <c r="G79" t="s">
        <v>179</v>
      </c>
      <c r="H79" t="s">
        <v>220</v>
      </c>
      <c r="I79" t="s">
        <v>426</v>
      </c>
      <c r="J79" t="s">
        <v>227</v>
      </c>
      <c r="K79" t="s">
        <v>499</v>
      </c>
      <c r="L79" s="38">
        <v>46191</v>
      </c>
      <c r="M79">
        <v>1</v>
      </c>
      <c r="N79" t="s">
        <v>428</v>
      </c>
      <c r="O79">
        <v>0</v>
      </c>
      <c r="P79">
        <v>-19.2</v>
      </c>
      <c r="Q79">
        <v>17</v>
      </c>
      <c r="R79">
        <v>0</v>
      </c>
      <c r="S79">
        <v>-2.2000000000000002</v>
      </c>
      <c r="T79" t="s">
        <v>228</v>
      </c>
      <c r="V79" t="s">
        <v>511</v>
      </c>
      <c r="X79" t="s">
        <v>429</v>
      </c>
      <c r="Z79" s="38">
        <v>46295</v>
      </c>
      <c r="AG79" t="s">
        <v>509</v>
      </c>
    </row>
    <row r="80" spans="1:33" x14ac:dyDescent="0.25">
      <c r="A80" t="s">
        <v>318</v>
      </c>
      <c r="B80" t="s">
        <v>317</v>
      </c>
      <c r="C80" t="s">
        <v>167</v>
      </c>
      <c r="D80" t="s">
        <v>168</v>
      </c>
      <c r="E80" t="s">
        <v>170</v>
      </c>
      <c r="F80" t="s">
        <v>425</v>
      </c>
      <c r="G80" t="s">
        <v>179</v>
      </c>
      <c r="H80" t="s">
        <v>220</v>
      </c>
      <c r="I80" t="s">
        <v>426</v>
      </c>
      <c r="J80" t="s">
        <v>237</v>
      </c>
      <c r="K80" t="s">
        <v>499</v>
      </c>
      <c r="L80" s="38">
        <v>46191</v>
      </c>
      <c r="M80">
        <v>1</v>
      </c>
      <c r="N80" t="s">
        <v>428</v>
      </c>
      <c r="O80">
        <v>0</v>
      </c>
      <c r="P80">
        <v>-19.2</v>
      </c>
      <c r="Q80">
        <v>17</v>
      </c>
      <c r="R80">
        <v>0</v>
      </c>
      <c r="S80">
        <v>-2.2000000000000002</v>
      </c>
      <c r="V80" t="s">
        <v>472</v>
      </c>
      <c r="X80" t="s">
        <v>429</v>
      </c>
      <c r="Z80" s="38">
        <v>46265</v>
      </c>
      <c r="AG80" t="s">
        <v>447</v>
      </c>
    </row>
    <row r="81" spans="1:33" x14ac:dyDescent="0.25">
      <c r="A81" t="s">
        <v>318</v>
      </c>
      <c r="B81" t="s">
        <v>327</v>
      </c>
      <c r="C81" t="s">
        <v>167</v>
      </c>
      <c r="D81" t="s">
        <v>168</v>
      </c>
      <c r="E81" t="s">
        <v>170</v>
      </c>
      <c r="F81" t="s">
        <v>425</v>
      </c>
      <c r="G81" t="s">
        <v>179</v>
      </c>
      <c r="H81" t="s">
        <v>220</v>
      </c>
      <c r="I81" t="s">
        <v>426</v>
      </c>
      <c r="J81" t="s">
        <v>285</v>
      </c>
      <c r="K81" t="s">
        <v>499</v>
      </c>
      <c r="L81" s="38">
        <v>46191</v>
      </c>
      <c r="M81">
        <v>1</v>
      </c>
      <c r="N81" t="s">
        <v>428</v>
      </c>
      <c r="O81">
        <v>0</v>
      </c>
      <c r="P81">
        <v>-19.2</v>
      </c>
      <c r="Q81">
        <v>17</v>
      </c>
      <c r="R81">
        <v>0</v>
      </c>
      <c r="S81">
        <v>-2.2000000000000002</v>
      </c>
      <c r="T81" t="s">
        <v>206</v>
      </c>
      <c r="V81" t="s">
        <v>472</v>
      </c>
      <c r="X81" t="s">
        <v>429</v>
      </c>
      <c r="Z81" s="38">
        <v>46265</v>
      </c>
      <c r="AG81" t="s">
        <v>447</v>
      </c>
    </row>
    <row r="82" spans="1:33" x14ac:dyDescent="0.25">
      <c r="A82" t="s">
        <v>318</v>
      </c>
      <c r="B82" t="s">
        <v>1313</v>
      </c>
      <c r="C82" t="s">
        <v>167</v>
      </c>
      <c r="D82" t="s">
        <v>168</v>
      </c>
      <c r="E82" t="s">
        <v>1312</v>
      </c>
      <c r="F82" t="s">
        <v>425</v>
      </c>
      <c r="G82" t="s">
        <v>179</v>
      </c>
      <c r="H82" t="s">
        <v>220</v>
      </c>
      <c r="I82" t="s">
        <v>426</v>
      </c>
      <c r="J82" t="s">
        <v>494</v>
      </c>
      <c r="K82" t="s">
        <v>493</v>
      </c>
      <c r="L82" s="38">
        <v>46191</v>
      </c>
      <c r="M82">
        <v>1</v>
      </c>
      <c r="N82" t="s">
        <v>428</v>
      </c>
      <c r="O82">
        <v>0</v>
      </c>
      <c r="P82">
        <v>-1.21</v>
      </c>
      <c r="Q82">
        <v>0</v>
      </c>
      <c r="R82">
        <v>0</v>
      </c>
      <c r="S82">
        <v>-1.21</v>
      </c>
      <c r="V82" t="s">
        <v>1314</v>
      </c>
      <c r="W82" t="s">
        <v>495</v>
      </c>
      <c r="X82" t="s">
        <v>429</v>
      </c>
      <c r="Z82" s="38">
        <v>46189</v>
      </c>
      <c r="AF82" t="s">
        <v>458</v>
      </c>
      <c r="AG82" t="s">
        <v>458</v>
      </c>
    </row>
    <row r="83" spans="1:33" x14ac:dyDescent="0.25">
      <c r="A83" t="s">
        <v>318</v>
      </c>
      <c r="B83" t="s">
        <v>497</v>
      </c>
      <c r="C83" t="s">
        <v>167</v>
      </c>
      <c r="D83" t="s">
        <v>168</v>
      </c>
      <c r="E83" t="s">
        <v>170</v>
      </c>
      <c r="F83" t="s">
        <v>425</v>
      </c>
      <c r="G83" t="s">
        <v>179</v>
      </c>
      <c r="H83" t="s">
        <v>220</v>
      </c>
      <c r="I83" t="s">
        <v>426</v>
      </c>
      <c r="J83" t="s">
        <v>305</v>
      </c>
      <c r="K83" t="s">
        <v>499</v>
      </c>
      <c r="L83" s="38">
        <v>46191</v>
      </c>
      <c r="M83">
        <v>1</v>
      </c>
      <c r="N83" t="s">
        <v>428</v>
      </c>
      <c r="O83">
        <v>0</v>
      </c>
      <c r="P83">
        <v>-1.2</v>
      </c>
      <c r="Q83">
        <v>0</v>
      </c>
      <c r="R83">
        <v>0</v>
      </c>
      <c r="S83">
        <v>-1.2</v>
      </c>
      <c r="V83" t="s">
        <v>498</v>
      </c>
      <c r="W83" t="s">
        <v>512</v>
      </c>
      <c r="X83" t="s">
        <v>429</v>
      </c>
      <c r="Z83" s="38">
        <v>45747</v>
      </c>
      <c r="AG83" t="s">
        <v>437</v>
      </c>
    </row>
    <row r="84" spans="1:33" x14ac:dyDescent="0.25">
      <c r="A84" t="s">
        <v>318</v>
      </c>
      <c r="B84" t="s">
        <v>513</v>
      </c>
      <c r="C84" t="s">
        <v>167</v>
      </c>
      <c r="D84" t="s">
        <v>168</v>
      </c>
      <c r="E84" t="s">
        <v>424</v>
      </c>
      <c r="F84" t="s">
        <v>425</v>
      </c>
      <c r="G84" t="s">
        <v>195</v>
      </c>
      <c r="H84" t="s">
        <v>514</v>
      </c>
      <c r="I84" t="s">
        <v>426</v>
      </c>
      <c r="J84" t="s">
        <v>427</v>
      </c>
      <c r="L84" s="38">
        <v>46191</v>
      </c>
      <c r="M84">
        <v>1</v>
      </c>
      <c r="N84" t="s">
        <v>428</v>
      </c>
      <c r="O84">
        <v>0.12</v>
      </c>
      <c r="P84">
        <v>0</v>
      </c>
      <c r="Q84">
        <v>0</v>
      </c>
      <c r="R84">
        <v>0</v>
      </c>
      <c r="S84">
        <v>0.12</v>
      </c>
      <c r="X84" t="s">
        <v>429</v>
      </c>
      <c r="Z84" s="38">
        <v>44620</v>
      </c>
      <c r="AF84" t="s">
        <v>433</v>
      </c>
    </row>
    <row r="85" spans="1:33" x14ac:dyDescent="0.25">
      <c r="A85" t="s">
        <v>318</v>
      </c>
      <c r="B85" t="s">
        <v>515</v>
      </c>
      <c r="C85" t="s">
        <v>167</v>
      </c>
      <c r="D85" t="s">
        <v>168</v>
      </c>
      <c r="E85" t="s">
        <v>424</v>
      </c>
      <c r="F85" t="s">
        <v>425</v>
      </c>
      <c r="G85" t="s">
        <v>195</v>
      </c>
      <c r="H85" t="s">
        <v>514</v>
      </c>
      <c r="I85" t="s">
        <v>426</v>
      </c>
      <c r="J85" t="s">
        <v>516</v>
      </c>
      <c r="L85" s="38">
        <v>46191</v>
      </c>
      <c r="M85">
        <v>1</v>
      </c>
      <c r="N85" t="s">
        <v>428</v>
      </c>
      <c r="O85">
        <v>0.66</v>
      </c>
      <c r="P85">
        <v>0</v>
      </c>
      <c r="Q85">
        <v>0</v>
      </c>
      <c r="R85">
        <v>0</v>
      </c>
      <c r="S85">
        <v>0.66</v>
      </c>
      <c r="T85" t="s">
        <v>234</v>
      </c>
      <c r="U85" t="s">
        <v>517</v>
      </c>
      <c r="X85" t="s">
        <v>429</v>
      </c>
      <c r="Z85" s="38">
        <v>45382</v>
      </c>
      <c r="AF85" t="s">
        <v>437</v>
      </c>
    </row>
    <row r="86" spans="1:33" x14ac:dyDescent="0.25">
      <c r="A86" t="s">
        <v>318</v>
      </c>
      <c r="B86" t="s">
        <v>518</v>
      </c>
      <c r="C86" t="s">
        <v>167</v>
      </c>
      <c r="D86" t="s">
        <v>168</v>
      </c>
      <c r="E86" t="s">
        <v>424</v>
      </c>
      <c r="F86" t="s">
        <v>425</v>
      </c>
      <c r="G86" t="s">
        <v>195</v>
      </c>
      <c r="H86" t="s">
        <v>514</v>
      </c>
      <c r="I86" t="s">
        <v>426</v>
      </c>
      <c r="J86" t="s">
        <v>519</v>
      </c>
      <c r="L86" s="38">
        <v>46191</v>
      </c>
      <c r="M86">
        <v>1</v>
      </c>
      <c r="N86" t="s">
        <v>428</v>
      </c>
      <c r="O86">
        <v>0.77</v>
      </c>
      <c r="P86">
        <v>0</v>
      </c>
      <c r="Q86">
        <v>0</v>
      </c>
      <c r="R86">
        <v>0</v>
      </c>
      <c r="S86">
        <v>0.77</v>
      </c>
      <c r="X86" t="s">
        <v>429</v>
      </c>
      <c r="Z86" s="38">
        <v>45596</v>
      </c>
      <c r="AF86" t="s">
        <v>440</v>
      </c>
    </row>
    <row r="87" spans="1:33" x14ac:dyDescent="0.25">
      <c r="A87" t="s">
        <v>318</v>
      </c>
      <c r="B87" t="s">
        <v>520</v>
      </c>
      <c r="C87" t="s">
        <v>167</v>
      </c>
      <c r="D87" t="s">
        <v>168</v>
      </c>
      <c r="E87" t="s">
        <v>424</v>
      </c>
      <c r="F87" t="s">
        <v>425</v>
      </c>
      <c r="G87" t="s">
        <v>195</v>
      </c>
      <c r="H87" t="s">
        <v>514</v>
      </c>
      <c r="I87" t="s">
        <v>426</v>
      </c>
      <c r="J87" t="s">
        <v>439</v>
      </c>
      <c r="L87" s="38">
        <v>46191</v>
      </c>
      <c r="M87">
        <v>1</v>
      </c>
      <c r="N87" t="s">
        <v>428</v>
      </c>
      <c r="O87">
        <v>6.01</v>
      </c>
      <c r="P87">
        <v>0</v>
      </c>
      <c r="Q87">
        <v>0</v>
      </c>
      <c r="R87">
        <v>0</v>
      </c>
      <c r="S87">
        <v>6.01</v>
      </c>
      <c r="W87" t="s">
        <v>207</v>
      </c>
      <c r="X87" t="s">
        <v>429</v>
      </c>
      <c r="Z87" s="38">
        <v>45747</v>
      </c>
      <c r="AF87" t="s">
        <v>440</v>
      </c>
    </row>
    <row r="88" spans="1:33" x14ac:dyDescent="0.25">
      <c r="A88" t="s">
        <v>318</v>
      </c>
      <c r="B88" t="s">
        <v>521</v>
      </c>
      <c r="C88" t="s">
        <v>167</v>
      </c>
      <c r="D88" t="s">
        <v>168</v>
      </c>
      <c r="E88" t="s">
        <v>424</v>
      </c>
      <c r="F88" t="s">
        <v>425</v>
      </c>
      <c r="G88" t="s">
        <v>195</v>
      </c>
      <c r="H88" t="s">
        <v>514</v>
      </c>
      <c r="I88" t="s">
        <v>426</v>
      </c>
      <c r="J88" t="s">
        <v>439</v>
      </c>
      <c r="L88" s="38">
        <v>46191</v>
      </c>
      <c r="M88">
        <v>1</v>
      </c>
      <c r="N88" t="s">
        <v>428</v>
      </c>
      <c r="O88">
        <v>1.36</v>
      </c>
      <c r="P88">
        <v>0</v>
      </c>
      <c r="Q88">
        <v>0</v>
      </c>
      <c r="R88">
        <v>0</v>
      </c>
      <c r="S88">
        <v>1.36</v>
      </c>
      <c r="W88" t="s">
        <v>207</v>
      </c>
      <c r="X88" t="s">
        <v>429</v>
      </c>
      <c r="Z88" s="38">
        <v>45747</v>
      </c>
      <c r="AF88" t="s">
        <v>440</v>
      </c>
    </row>
    <row r="89" spans="1:33" x14ac:dyDescent="0.25">
      <c r="A89" t="s">
        <v>318</v>
      </c>
      <c r="B89" t="s">
        <v>522</v>
      </c>
      <c r="C89" t="s">
        <v>167</v>
      </c>
      <c r="D89" t="s">
        <v>168</v>
      </c>
      <c r="E89" t="s">
        <v>424</v>
      </c>
      <c r="F89" t="s">
        <v>425</v>
      </c>
      <c r="G89" t="s">
        <v>195</v>
      </c>
      <c r="H89" t="s">
        <v>514</v>
      </c>
      <c r="I89" t="s">
        <v>426</v>
      </c>
      <c r="J89" t="s">
        <v>443</v>
      </c>
      <c r="L89" s="38">
        <v>46191</v>
      </c>
      <c r="M89">
        <v>1</v>
      </c>
      <c r="N89" t="s">
        <v>428</v>
      </c>
      <c r="O89">
        <v>1.1000000000000001</v>
      </c>
      <c r="P89">
        <v>0</v>
      </c>
      <c r="Q89">
        <v>0</v>
      </c>
      <c r="R89">
        <v>0</v>
      </c>
      <c r="S89">
        <v>1.1000000000000001</v>
      </c>
      <c r="X89" t="s">
        <v>429</v>
      </c>
      <c r="Z89" s="38">
        <v>45808</v>
      </c>
      <c r="AF89" t="s">
        <v>440</v>
      </c>
    </row>
    <row r="90" spans="1:33" x14ac:dyDescent="0.25">
      <c r="A90" t="s">
        <v>318</v>
      </c>
      <c r="B90" t="s">
        <v>523</v>
      </c>
      <c r="C90" t="s">
        <v>167</v>
      </c>
      <c r="D90" t="s">
        <v>168</v>
      </c>
      <c r="E90" t="s">
        <v>445</v>
      </c>
      <c r="F90" t="s">
        <v>425</v>
      </c>
      <c r="G90" t="s">
        <v>195</v>
      </c>
      <c r="H90" t="s">
        <v>514</v>
      </c>
      <c r="I90" t="s">
        <v>426</v>
      </c>
      <c r="J90" t="s">
        <v>449</v>
      </c>
      <c r="L90" s="38">
        <v>46191</v>
      </c>
      <c r="M90">
        <v>1</v>
      </c>
      <c r="N90" t="s">
        <v>428</v>
      </c>
      <c r="O90">
        <v>0</v>
      </c>
      <c r="P90">
        <v>0</v>
      </c>
      <c r="Q90">
        <v>0</v>
      </c>
      <c r="R90">
        <v>0</v>
      </c>
      <c r="S90">
        <v>0</v>
      </c>
      <c r="X90" t="s">
        <v>429</v>
      </c>
      <c r="Z90" s="38">
        <v>46081</v>
      </c>
      <c r="AF90" t="s">
        <v>447</v>
      </c>
    </row>
    <row r="91" spans="1:33" x14ac:dyDescent="0.25">
      <c r="A91" t="s">
        <v>318</v>
      </c>
      <c r="B91" t="s">
        <v>524</v>
      </c>
      <c r="C91" t="s">
        <v>167</v>
      </c>
      <c r="D91" t="s">
        <v>168</v>
      </c>
      <c r="E91" t="s">
        <v>445</v>
      </c>
      <c r="F91" t="s">
        <v>425</v>
      </c>
      <c r="G91" t="s">
        <v>195</v>
      </c>
      <c r="H91" t="s">
        <v>514</v>
      </c>
      <c r="I91" t="s">
        <v>426</v>
      </c>
      <c r="J91" t="s">
        <v>449</v>
      </c>
      <c r="L91" s="38">
        <v>46191</v>
      </c>
      <c r="M91">
        <v>1</v>
      </c>
      <c r="N91" t="s">
        <v>428</v>
      </c>
      <c r="O91">
        <v>0</v>
      </c>
      <c r="P91">
        <v>0</v>
      </c>
      <c r="Q91">
        <v>0</v>
      </c>
      <c r="R91">
        <v>0</v>
      </c>
      <c r="S91">
        <v>0</v>
      </c>
      <c r="X91" t="s">
        <v>429</v>
      </c>
      <c r="Z91" s="38">
        <v>46081</v>
      </c>
      <c r="AF91" t="s">
        <v>447</v>
      </c>
    </row>
    <row r="92" spans="1:33" x14ac:dyDescent="0.25">
      <c r="A92" t="s">
        <v>318</v>
      </c>
      <c r="B92" t="s">
        <v>525</v>
      </c>
      <c r="C92" t="s">
        <v>167</v>
      </c>
      <c r="D92" t="s">
        <v>168</v>
      </c>
      <c r="E92" t="s">
        <v>445</v>
      </c>
      <c r="F92" t="s">
        <v>425</v>
      </c>
      <c r="G92" t="s">
        <v>195</v>
      </c>
      <c r="H92" t="s">
        <v>514</v>
      </c>
      <c r="I92" t="s">
        <v>426</v>
      </c>
      <c r="J92" t="s">
        <v>436</v>
      </c>
      <c r="L92" s="38">
        <v>46191</v>
      </c>
      <c r="M92">
        <v>1</v>
      </c>
      <c r="N92" t="s">
        <v>428</v>
      </c>
      <c r="O92">
        <v>0</v>
      </c>
      <c r="P92">
        <v>0</v>
      </c>
      <c r="Q92">
        <v>0</v>
      </c>
      <c r="R92">
        <v>0</v>
      </c>
      <c r="S92">
        <v>0</v>
      </c>
      <c r="X92" t="s">
        <v>429</v>
      </c>
      <c r="Z92" s="38">
        <v>46081</v>
      </c>
      <c r="AF92" t="s">
        <v>447</v>
      </c>
    </row>
    <row r="93" spans="1:33" x14ac:dyDescent="0.25">
      <c r="A93" t="s">
        <v>318</v>
      </c>
      <c r="B93" t="s">
        <v>526</v>
      </c>
      <c r="C93" t="s">
        <v>167</v>
      </c>
      <c r="D93" t="s">
        <v>168</v>
      </c>
      <c r="E93" t="s">
        <v>445</v>
      </c>
      <c r="F93" t="s">
        <v>425</v>
      </c>
      <c r="G93" t="s">
        <v>195</v>
      </c>
      <c r="H93" t="s">
        <v>514</v>
      </c>
      <c r="I93" t="s">
        <v>426</v>
      </c>
      <c r="J93" t="s">
        <v>449</v>
      </c>
      <c r="L93" s="38">
        <v>46191</v>
      </c>
      <c r="M93">
        <v>1</v>
      </c>
      <c r="N93" t="s">
        <v>428</v>
      </c>
      <c r="O93">
        <v>0</v>
      </c>
      <c r="P93">
        <v>0</v>
      </c>
      <c r="Q93">
        <v>0</v>
      </c>
      <c r="R93">
        <v>-17</v>
      </c>
      <c r="S93">
        <v>-17</v>
      </c>
      <c r="X93" t="s">
        <v>429</v>
      </c>
      <c r="Z93" s="38">
        <v>46081</v>
      </c>
      <c r="AF93" t="s">
        <v>447</v>
      </c>
    </row>
    <row r="94" spans="1:33" x14ac:dyDescent="0.25">
      <c r="A94" t="s">
        <v>318</v>
      </c>
      <c r="B94" t="s">
        <v>527</v>
      </c>
      <c r="C94" t="s">
        <v>167</v>
      </c>
      <c r="D94" t="s">
        <v>168</v>
      </c>
      <c r="E94" t="s">
        <v>445</v>
      </c>
      <c r="F94" t="s">
        <v>425</v>
      </c>
      <c r="G94" t="s">
        <v>195</v>
      </c>
      <c r="H94" t="s">
        <v>514</v>
      </c>
      <c r="I94" t="s">
        <v>426</v>
      </c>
      <c r="J94" t="s">
        <v>449</v>
      </c>
      <c r="L94" s="38">
        <v>46191</v>
      </c>
      <c r="M94">
        <v>1</v>
      </c>
      <c r="N94" t="s">
        <v>428</v>
      </c>
      <c r="O94">
        <v>0</v>
      </c>
      <c r="P94">
        <v>0</v>
      </c>
      <c r="Q94">
        <v>0</v>
      </c>
      <c r="R94">
        <v>-17</v>
      </c>
      <c r="S94">
        <v>-17</v>
      </c>
      <c r="X94" t="s">
        <v>429</v>
      </c>
      <c r="Z94" s="38">
        <v>46081</v>
      </c>
      <c r="AF94" t="s">
        <v>447</v>
      </c>
    </row>
    <row r="95" spans="1:33" x14ac:dyDescent="0.25">
      <c r="A95" t="s">
        <v>318</v>
      </c>
      <c r="B95" t="s">
        <v>528</v>
      </c>
      <c r="C95" t="s">
        <v>167</v>
      </c>
      <c r="D95" t="s">
        <v>168</v>
      </c>
      <c r="E95" t="s">
        <v>445</v>
      </c>
      <c r="F95" t="s">
        <v>425</v>
      </c>
      <c r="G95" t="s">
        <v>195</v>
      </c>
      <c r="H95" t="s">
        <v>514</v>
      </c>
      <c r="I95" t="s">
        <v>426</v>
      </c>
      <c r="J95" t="s">
        <v>529</v>
      </c>
      <c r="L95" s="38">
        <v>46191</v>
      </c>
      <c r="M95">
        <v>1</v>
      </c>
      <c r="N95" t="s">
        <v>428</v>
      </c>
      <c r="O95">
        <v>0</v>
      </c>
      <c r="P95">
        <v>0</v>
      </c>
      <c r="Q95">
        <v>0</v>
      </c>
      <c r="R95">
        <v>-17</v>
      </c>
      <c r="S95">
        <v>-17</v>
      </c>
      <c r="X95" t="s">
        <v>429</v>
      </c>
      <c r="Z95" s="38">
        <v>46112</v>
      </c>
      <c r="AF95" t="s">
        <v>447</v>
      </c>
    </row>
    <row r="96" spans="1:33" x14ac:dyDescent="0.25">
      <c r="A96" t="s">
        <v>318</v>
      </c>
      <c r="B96" t="s">
        <v>530</v>
      </c>
      <c r="C96" t="s">
        <v>167</v>
      </c>
      <c r="D96" t="s">
        <v>168</v>
      </c>
      <c r="E96" t="s">
        <v>424</v>
      </c>
      <c r="F96" t="s">
        <v>425</v>
      </c>
      <c r="G96" t="s">
        <v>195</v>
      </c>
      <c r="H96" t="s">
        <v>514</v>
      </c>
      <c r="I96" t="s">
        <v>426</v>
      </c>
      <c r="J96" t="s">
        <v>455</v>
      </c>
      <c r="L96" s="38">
        <v>46191</v>
      </c>
      <c r="M96">
        <v>1</v>
      </c>
      <c r="N96" t="s">
        <v>428</v>
      </c>
      <c r="O96">
        <v>5.78</v>
      </c>
      <c r="P96">
        <v>0</v>
      </c>
      <c r="Q96">
        <v>0</v>
      </c>
      <c r="R96">
        <v>0</v>
      </c>
      <c r="S96">
        <v>5.78</v>
      </c>
      <c r="X96" t="s">
        <v>429</v>
      </c>
      <c r="Z96" s="38">
        <v>44757</v>
      </c>
      <c r="AF96" t="s">
        <v>531</v>
      </c>
    </row>
    <row r="97" spans="1:32" x14ac:dyDescent="0.25">
      <c r="A97" t="s">
        <v>318</v>
      </c>
      <c r="B97" t="s">
        <v>532</v>
      </c>
      <c r="C97" t="s">
        <v>167</v>
      </c>
      <c r="D97" t="s">
        <v>168</v>
      </c>
      <c r="E97" t="s">
        <v>424</v>
      </c>
      <c r="F97" t="s">
        <v>425</v>
      </c>
      <c r="G97" t="s">
        <v>195</v>
      </c>
      <c r="H97" t="s">
        <v>514</v>
      </c>
      <c r="I97" t="s">
        <v>426</v>
      </c>
      <c r="J97" t="s">
        <v>455</v>
      </c>
      <c r="L97" s="38">
        <v>46191</v>
      </c>
      <c r="M97">
        <v>1</v>
      </c>
      <c r="N97" t="s">
        <v>428</v>
      </c>
      <c r="O97">
        <v>0.05</v>
      </c>
      <c r="P97">
        <v>0</v>
      </c>
      <c r="Q97">
        <v>0</v>
      </c>
      <c r="R97">
        <v>0</v>
      </c>
      <c r="S97">
        <v>0.05</v>
      </c>
      <c r="W97" t="s">
        <v>178</v>
      </c>
      <c r="X97" t="s">
        <v>429</v>
      </c>
      <c r="Z97" s="38">
        <v>44782</v>
      </c>
      <c r="AF97" t="s">
        <v>433</v>
      </c>
    </row>
    <row r="98" spans="1:32" x14ac:dyDescent="0.25">
      <c r="A98" t="s">
        <v>318</v>
      </c>
      <c r="B98" t="s">
        <v>533</v>
      </c>
      <c r="C98" t="s">
        <v>167</v>
      </c>
      <c r="D98" t="s">
        <v>168</v>
      </c>
      <c r="E98" t="s">
        <v>424</v>
      </c>
      <c r="F98" t="s">
        <v>425</v>
      </c>
      <c r="G98" t="s">
        <v>195</v>
      </c>
      <c r="H98" t="s">
        <v>514</v>
      </c>
      <c r="I98" t="s">
        <v>426</v>
      </c>
      <c r="J98" t="s">
        <v>455</v>
      </c>
      <c r="L98" s="38">
        <v>46191</v>
      </c>
      <c r="M98">
        <v>1</v>
      </c>
      <c r="N98" t="s">
        <v>428</v>
      </c>
      <c r="O98">
        <v>0.1</v>
      </c>
      <c r="P98">
        <v>0</v>
      </c>
      <c r="Q98">
        <v>0</v>
      </c>
      <c r="R98">
        <v>0</v>
      </c>
      <c r="S98">
        <v>0.1</v>
      </c>
      <c r="T98" t="s">
        <v>234</v>
      </c>
      <c r="U98" t="s">
        <v>432</v>
      </c>
      <c r="W98" t="s">
        <v>503</v>
      </c>
      <c r="X98" t="s">
        <v>429</v>
      </c>
      <c r="Z98" s="38">
        <v>45096</v>
      </c>
      <c r="AF98" t="s">
        <v>458</v>
      </c>
    </row>
    <row r="99" spans="1:32" x14ac:dyDescent="0.25">
      <c r="A99" t="s">
        <v>318</v>
      </c>
      <c r="B99" t="s">
        <v>534</v>
      </c>
      <c r="C99" t="s">
        <v>167</v>
      </c>
      <c r="D99" t="s">
        <v>168</v>
      </c>
      <c r="E99" t="s">
        <v>424</v>
      </c>
      <c r="F99" t="s">
        <v>425</v>
      </c>
      <c r="G99" t="s">
        <v>195</v>
      </c>
      <c r="H99" t="s">
        <v>514</v>
      </c>
      <c r="I99" t="s">
        <v>426</v>
      </c>
      <c r="J99" t="s">
        <v>455</v>
      </c>
      <c r="L99" s="38">
        <v>46191</v>
      </c>
      <c r="M99">
        <v>1</v>
      </c>
      <c r="N99" t="s">
        <v>428</v>
      </c>
      <c r="O99">
        <v>0.02</v>
      </c>
      <c r="P99">
        <v>0</v>
      </c>
      <c r="Q99">
        <v>0</v>
      </c>
      <c r="R99">
        <v>0</v>
      </c>
      <c r="S99">
        <v>0.02</v>
      </c>
      <c r="W99" t="s">
        <v>178</v>
      </c>
      <c r="X99" t="s">
        <v>429</v>
      </c>
      <c r="Z99" s="38">
        <v>45096</v>
      </c>
      <c r="AF99" t="s">
        <v>535</v>
      </c>
    </row>
    <row r="100" spans="1:32" x14ac:dyDescent="0.25">
      <c r="A100" t="s">
        <v>318</v>
      </c>
      <c r="B100" t="s">
        <v>536</v>
      </c>
      <c r="C100" t="s">
        <v>167</v>
      </c>
      <c r="D100" t="s">
        <v>168</v>
      </c>
      <c r="E100" t="s">
        <v>424</v>
      </c>
      <c r="F100" t="s">
        <v>425</v>
      </c>
      <c r="G100" t="s">
        <v>195</v>
      </c>
      <c r="H100" t="s">
        <v>514</v>
      </c>
      <c r="I100" t="s">
        <v>426</v>
      </c>
      <c r="J100" t="s">
        <v>455</v>
      </c>
      <c r="L100" s="38">
        <v>46191</v>
      </c>
      <c r="M100">
        <v>1</v>
      </c>
      <c r="N100" t="s">
        <v>428</v>
      </c>
      <c r="O100">
        <v>7.0000000000000007E-2</v>
      </c>
      <c r="P100">
        <v>0</v>
      </c>
      <c r="Q100">
        <v>0</v>
      </c>
      <c r="R100">
        <v>0</v>
      </c>
      <c r="S100">
        <v>7.0000000000000007E-2</v>
      </c>
      <c r="T100" t="s">
        <v>234</v>
      </c>
      <c r="U100" t="s">
        <v>432</v>
      </c>
      <c r="W100" t="s">
        <v>178</v>
      </c>
      <c r="X100" t="s">
        <v>429</v>
      </c>
      <c r="Z100" s="38">
        <v>45140</v>
      </c>
      <c r="AF100" t="s">
        <v>458</v>
      </c>
    </row>
    <row r="101" spans="1:32" x14ac:dyDescent="0.25">
      <c r="A101" t="s">
        <v>318</v>
      </c>
      <c r="B101" t="s">
        <v>537</v>
      </c>
      <c r="C101" t="s">
        <v>167</v>
      </c>
      <c r="D101" t="s">
        <v>168</v>
      </c>
      <c r="E101" t="s">
        <v>424</v>
      </c>
      <c r="F101" t="s">
        <v>425</v>
      </c>
      <c r="G101" t="s">
        <v>195</v>
      </c>
      <c r="H101" t="s">
        <v>514</v>
      </c>
      <c r="I101" t="s">
        <v>426</v>
      </c>
      <c r="J101" t="s">
        <v>455</v>
      </c>
      <c r="L101" s="38">
        <v>46191</v>
      </c>
      <c r="M101">
        <v>1</v>
      </c>
      <c r="N101" t="s">
        <v>428</v>
      </c>
      <c r="O101">
        <v>0.01</v>
      </c>
      <c r="P101">
        <v>0</v>
      </c>
      <c r="Q101">
        <v>0</v>
      </c>
      <c r="R101">
        <v>0</v>
      </c>
      <c r="S101">
        <v>0.01</v>
      </c>
      <c r="T101" t="s">
        <v>234</v>
      </c>
      <c r="U101" t="s">
        <v>432</v>
      </c>
      <c r="X101" t="s">
        <v>429</v>
      </c>
      <c r="Z101" s="38">
        <v>45155</v>
      </c>
      <c r="AF101" t="s">
        <v>458</v>
      </c>
    </row>
    <row r="102" spans="1:32" x14ac:dyDescent="0.25">
      <c r="A102" t="s">
        <v>318</v>
      </c>
      <c r="B102" t="s">
        <v>538</v>
      </c>
      <c r="C102" t="s">
        <v>167</v>
      </c>
      <c r="D102" t="s">
        <v>168</v>
      </c>
      <c r="E102" t="s">
        <v>424</v>
      </c>
      <c r="F102" t="s">
        <v>425</v>
      </c>
      <c r="G102" t="s">
        <v>195</v>
      </c>
      <c r="H102" t="s">
        <v>514</v>
      </c>
      <c r="I102" t="s">
        <v>426</v>
      </c>
      <c r="J102" t="s">
        <v>455</v>
      </c>
      <c r="L102" s="38">
        <v>46191</v>
      </c>
      <c r="M102">
        <v>1</v>
      </c>
      <c r="N102" t="s">
        <v>428</v>
      </c>
      <c r="O102">
        <v>0.6</v>
      </c>
      <c r="P102">
        <v>0</v>
      </c>
      <c r="Q102">
        <v>0</v>
      </c>
      <c r="R102">
        <v>0</v>
      </c>
      <c r="S102">
        <v>0.6</v>
      </c>
      <c r="T102" t="s">
        <v>228</v>
      </c>
      <c r="W102" t="s">
        <v>178</v>
      </c>
      <c r="X102" t="s">
        <v>429</v>
      </c>
      <c r="Z102" s="38">
        <v>45565</v>
      </c>
      <c r="AF102" t="s">
        <v>440</v>
      </c>
    </row>
    <row r="103" spans="1:32" x14ac:dyDescent="0.25">
      <c r="A103" t="s">
        <v>318</v>
      </c>
      <c r="B103" t="s">
        <v>539</v>
      </c>
      <c r="C103" t="s">
        <v>167</v>
      </c>
      <c r="D103" t="s">
        <v>168</v>
      </c>
      <c r="E103" t="s">
        <v>445</v>
      </c>
      <c r="F103" t="s">
        <v>425</v>
      </c>
      <c r="G103" t="s">
        <v>195</v>
      </c>
      <c r="H103" t="s">
        <v>514</v>
      </c>
      <c r="I103" t="s">
        <v>426</v>
      </c>
      <c r="J103" t="s">
        <v>242</v>
      </c>
      <c r="L103" s="38">
        <v>46191</v>
      </c>
      <c r="M103">
        <v>1</v>
      </c>
      <c r="N103" t="s">
        <v>428</v>
      </c>
      <c r="O103">
        <v>0</v>
      </c>
      <c r="P103">
        <v>0</v>
      </c>
      <c r="Q103">
        <v>0</v>
      </c>
      <c r="R103">
        <v>-17</v>
      </c>
      <c r="S103">
        <v>-17</v>
      </c>
      <c r="U103" t="s">
        <v>471</v>
      </c>
      <c r="X103" t="s">
        <v>429</v>
      </c>
      <c r="Z103" s="38">
        <v>46022</v>
      </c>
      <c r="AF103" t="s">
        <v>447</v>
      </c>
    </row>
    <row r="104" spans="1:32" x14ac:dyDescent="0.25">
      <c r="A104" t="s">
        <v>318</v>
      </c>
      <c r="B104" t="s">
        <v>540</v>
      </c>
      <c r="C104" t="s">
        <v>167</v>
      </c>
      <c r="D104" t="s">
        <v>168</v>
      </c>
      <c r="E104" t="s">
        <v>445</v>
      </c>
      <c r="F104" t="s">
        <v>425</v>
      </c>
      <c r="G104" t="s">
        <v>195</v>
      </c>
      <c r="H104" t="s">
        <v>514</v>
      </c>
      <c r="I104" t="s">
        <v>426</v>
      </c>
      <c r="J104" t="s">
        <v>464</v>
      </c>
      <c r="L104" s="38">
        <v>46191</v>
      </c>
      <c r="M104">
        <v>1</v>
      </c>
      <c r="N104" t="s">
        <v>428</v>
      </c>
      <c r="O104">
        <v>0</v>
      </c>
      <c r="P104">
        <v>0</v>
      </c>
      <c r="Q104">
        <v>0</v>
      </c>
      <c r="R104">
        <v>-17</v>
      </c>
      <c r="S104">
        <v>-17</v>
      </c>
      <c r="U104" t="s">
        <v>46</v>
      </c>
      <c r="X104" t="s">
        <v>429</v>
      </c>
      <c r="Z104" s="38">
        <v>46053</v>
      </c>
      <c r="AF104" t="s">
        <v>447</v>
      </c>
    </row>
    <row r="105" spans="1:32" x14ac:dyDescent="0.25">
      <c r="A105" t="s">
        <v>318</v>
      </c>
      <c r="B105" t="s">
        <v>541</v>
      </c>
      <c r="C105" t="s">
        <v>167</v>
      </c>
      <c r="D105" t="s">
        <v>168</v>
      </c>
      <c r="E105" t="s">
        <v>445</v>
      </c>
      <c r="F105" t="s">
        <v>425</v>
      </c>
      <c r="G105" t="s">
        <v>195</v>
      </c>
      <c r="H105" t="s">
        <v>514</v>
      </c>
      <c r="I105" t="s">
        <v>426</v>
      </c>
      <c r="J105" t="s">
        <v>464</v>
      </c>
      <c r="L105" s="38">
        <v>46191</v>
      </c>
      <c r="M105">
        <v>1</v>
      </c>
      <c r="N105" t="s">
        <v>428</v>
      </c>
      <c r="O105">
        <v>0</v>
      </c>
      <c r="P105">
        <v>0</v>
      </c>
      <c r="Q105">
        <v>0</v>
      </c>
      <c r="R105">
        <v>-51</v>
      </c>
      <c r="S105">
        <v>-51</v>
      </c>
      <c r="T105" t="s">
        <v>234</v>
      </c>
      <c r="U105" t="s">
        <v>542</v>
      </c>
      <c r="X105" t="s">
        <v>429</v>
      </c>
      <c r="Z105" s="38">
        <v>46142</v>
      </c>
      <c r="AF105" t="s">
        <v>447</v>
      </c>
    </row>
    <row r="106" spans="1:32" x14ac:dyDescent="0.25">
      <c r="A106" t="s">
        <v>318</v>
      </c>
      <c r="B106" t="s">
        <v>543</v>
      </c>
      <c r="C106" t="s">
        <v>167</v>
      </c>
      <c r="D106" t="s">
        <v>168</v>
      </c>
      <c r="E106" t="s">
        <v>445</v>
      </c>
      <c r="F106" t="s">
        <v>425</v>
      </c>
      <c r="G106" t="s">
        <v>195</v>
      </c>
      <c r="H106" t="s">
        <v>514</v>
      </c>
      <c r="I106" t="s">
        <v>426</v>
      </c>
      <c r="J106" t="s">
        <v>464</v>
      </c>
      <c r="L106" s="38">
        <v>46191</v>
      </c>
      <c r="M106">
        <v>1</v>
      </c>
      <c r="N106" t="s">
        <v>428</v>
      </c>
      <c r="O106">
        <v>0</v>
      </c>
      <c r="P106">
        <v>0</v>
      </c>
      <c r="Q106">
        <v>0</v>
      </c>
      <c r="R106">
        <v>-34</v>
      </c>
      <c r="S106">
        <v>-34</v>
      </c>
      <c r="T106" t="s">
        <v>234</v>
      </c>
      <c r="U106" t="s">
        <v>544</v>
      </c>
      <c r="X106" t="s">
        <v>429</v>
      </c>
      <c r="Z106" s="38">
        <v>46112</v>
      </c>
      <c r="AF106" t="s">
        <v>447</v>
      </c>
    </row>
    <row r="107" spans="1:32" x14ac:dyDescent="0.25">
      <c r="A107" t="s">
        <v>318</v>
      </c>
      <c r="B107" t="s">
        <v>545</v>
      </c>
      <c r="C107" t="s">
        <v>167</v>
      </c>
      <c r="D107" t="s">
        <v>168</v>
      </c>
      <c r="E107" t="s">
        <v>445</v>
      </c>
      <c r="F107" t="s">
        <v>425</v>
      </c>
      <c r="G107" t="s">
        <v>195</v>
      </c>
      <c r="H107" t="s">
        <v>514</v>
      </c>
      <c r="I107" t="s">
        <v>426</v>
      </c>
      <c r="J107" t="s">
        <v>455</v>
      </c>
      <c r="L107" s="38">
        <v>46191</v>
      </c>
      <c r="M107">
        <v>1</v>
      </c>
      <c r="N107" t="s">
        <v>428</v>
      </c>
      <c r="O107">
        <v>0</v>
      </c>
      <c r="P107">
        <v>0</v>
      </c>
      <c r="Q107">
        <v>0</v>
      </c>
      <c r="R107">
        <v>-34</v>
      </c>
      <c r="S107">
        <v>-34</v>
      </c>
      <c r="U107" t="s">
        <v>471</v>
      </c>
      <c r="X107" t="s">
        <v>429</v>
      </c>
      <c r="Z107" s="38">
        <v>46112</v>
      </c>
      <c r="AF107" t="s">
        <v>447</v>
      </c>
    </row>
    <row r="108" spans="1:32" x14ac:dyDescent="0.25">
      <c r="A108" t="s">
        <v>318</v>
      </c>
      <c r="B108" t="s">
        <v>546</v>
      </c>
      <c r="C108" t="s">
        <v>167</v>
      </c>
      <c r="D108" t="s">
        <v>168</v>
      </c>
      <c r="E108" t="s">
        <v>1316</v>
      </c>
      <c r="F108" t="s">
        <v>425</v>
      </c>
      <c r="G108" t="s">
        <v>195</v>
      </c>
      <c r="H108" t="s">
        <v>514</v>
      </c>
      <c r="I108" t="s">
        <v>426</v>
      </c>
      <c r="J108" t="s">
        <v>464</v>
      </c>
      <c r="L108" s="38">
        <v>46191</v>
      </c>
      <c r="M108">
        <v>3</v>
      </c>
      <c r="N108" t="s">
        <v>428</v>
      </c>
      <c r="O108">
        <v>8.4600000000000009</v>
      </c>
      <c r="P108">
        <v>0</v>
      </c>
      <c r="Q108">
        <v>0</v>
      </c>
      <c r="R108">
        <v>0</v>
      </c>
      <c r="S108">
        <v>0</v>
      </c>
      <c r="X108" t="s">
        <v>429</v>
      </c>
      <c r="Z108" s="38">
        <v>46173</v>
      </c>
      <c r="AF108" t="s">
        <v>447</v>
      </c>
    </row>
    <row r="109" spans="1:32" x14ac:dyDescent="0.25">
      <c r="A109" t="s">
        <v>318</v>
      </c>
      <c r="B109" t="s">
        <v>546</v>
      </c>
      <c r="C109" t="s">
        <v>167</v>
      </c>
      <c r="D109" t="s">
        <v>168</v>
      </c>
      <c r="E109" t="s">
        <v>463</v>
      </c>
      <c r="F109" t="s">
        <v>425</v>
      </c>
      <c r="G109" t="s">
        <v>195</v>
      </c>
      <c r="H109" t="s">
        <v>514</v>
      </c>
      <c r="I109" t="s">
        <v>426</v>
      </c>
      <c r="J109" t="s">
        <v>464</v>
      </c>
      <c r="L109" s="38">
        <v>46191</v>
      </c>
      <c r="M109">
        <v>3</v>
      </c>
      <c r="N109" t="s">
        <v>428</v>
      </c>
      <c r="O109">
        <v>10.74</v>
      </c>
      <c r="P109">
        <v>0</v>
      </c>
      <c r="Q109">
        <v>0</v>
      </c>
      <c r="R109">
        <v>0</v>
      </c>
      <c r="S109">
        <v>0</v>
      </c>
      <c r="X109" t="s">
        <v>429</v>
      </c>
      <c r="Z109" s="38">
        <v>46173</v>
      </c>
      <c r="AF109" t="s">
        <v>447</v>
      </c>
    </row>
    <row r="110" spans="1:32" x14ac:dyDescent="0.25">
      <c r="A110" t="s">
        <v>318</v>
      </c>
      <c r="B110" t="s">
        <v>546</v>
      </c>
      <c r="C110" t="s">
        <v>167</v>
      </c>
      <c r="D110" t="s">
        <v>168</v>
      </c>
      <c r="E110" t="s">
        <v>1316</v>
      </c>
      <c r="F110" t="s">
        <v>425</v>
      </c>
      <c r="G110" t="s">
        <v>195</v>
      </c>
      <c r="H110" t="s">
        <v>514</v>
      </c>
      <c r="I110" t="s">
        <v>426</v>
      </c>
      <c r="J110" t="s">
        <v>464</v>
      </c>
      <c r="L110" s="38">
        <v>46191</v>
      </c>
      <c r="M110">
        <v>3</v>
      </c>
      <c r="N110" t="s">
        <v>428</v>
      </c>
      <c r="O110">
        <v>10.74</v>
      </c>
      <c r="P110">
        <v>0</v>
      </c>
      <c r="Q110">
        <v>0</v>
      </c>
      <c r="R110">
        <v>-34</v>
      </c>
      <c r="S110">
        <v>-4.0599999999999996</v>
      </c>
      <c r="X110" t="s">
        <v>429</v>
      </c>
      <c r="Z110" s="38">
        <v>46173</v>
      </c>
      <c r="AF110" t="s">
        <v>447</v>
      </c>
    </row>
    <row r="111" spans="1:32" x14ac:dyDescent="0.25">
      <c r="A111" t="s">
        <v>318</v>
      </c>
      <c r="B111" t="s">
        <v>547</v>
      </c>
      <c r="C111" t="s">
        <v>167</v>
      </c>
      <c r="D111" t="s">
        <v>168</v>
      </c>
      <c r="E111" t="s">
        <v>445</v>
      </c>
      <c r="F111" t="s">
        <v>425</v>
      </c>
      <c r="G111" t="s">
        <v>195</v>
      </c>
      <c r="H111" t="s">
        <v>514</v>
      </c>
      <c r="I111" t="s">
        <v>426</v>
      </c>
      <c r="J111" t="s">
        <v>464</v>
      </c>
      <c r="L111" s="38">
        <v>46191</v>
      </c>
      <c r="M111">
        <v>1</v>
      </c>
      <c r="N111" t="s">
        <v>428</v>
      </c>
      <c r="O111">
        <v>0</v>
      </c>
      <c r="P111">
        <v>0</v>
      </c>
      <c r="Q111">
        <v>0</v>
      </c>
      <c r="R111">
        <v>-34</v>
      </c>
      <c r="S111">
        <v>-34</v>
      </c>
      <c r="T111" t="s">
        <v>234</v>
      </c>
      <c r="U111" t="s">
        <v>544</v>
      </c>
      <c r="X111" t="s">
        <v>429</v>
      </c>
      <c r="Z111" s="38">
        <v>46142</v>
      </c>
      <c r="AF111" t="s">
        <v>447</v>
      </c>
    </row>
    <row r="112" spans="1:32" x14ac:dyDescent="0.25">
      <c r="A112" t="s">
        <v>318</v>
      </c>
      <c r="B112" t="s">
        <v>548</v>
      </c>
      <c r="C112" t="s">
        <v>167</v>
      </c>
      <c r="D112" t="s">
        <v>168</v>
      </c>
      <c r="E112" t="s">
        <v>463</v>
      </c>
      <c r="F112" t="s">
        <v>425</v>
      </c>
      <c r="G112" t="s">
        <v>195</v>
      </c>
      <c r="H112" t="s">
        <v>514</v>
      </c>
      <c r="I112" t="s">
        <v>426</v>
      </c>
      <c r="J112" t="s">
        <v>464</v>
      </c>
      <c r="L112" s="38">
        <v>46191</v>
      </c>
      <c r="M112">
        <v>1</v>
      </c>
      <c r="N112" t="s">
        <v>428</v>
      </c>
      <c r="O112">
        <v>76.8</v>
      </c>
      <c r="P112">
        <v>0</v>
      </c>
      <c r="Q112">
        <v>0</v>
      </c>
      <c r="R112">
        <v>-85</v>
      </c>
      <c r="S112">
        <v>-8.1999999999999993</v>
      </c>
      <c r="X112" t="s">
        <v>429</v>
      </c>
      <c r="Z112" s="38">
        <v>46203</v>
      </c>
      <c r="AF112" t="s">
        <v>447</v>
      </c>
    </row>
    <row r="113" spans="1:33" x14ac:dyDescent="0.25">
      <c r="A113" t="s">
        <v>318</v>
      </c>
      <c r="B113" t="s">
        <v>549</v>
      </c>
      <c r="C113" t="s">
        <v>167</v>
      </c>
      <c r="D113" t="s">
        <v>168</v>
      </c>
      <c r="E113" t="s">
        <v>496</v>
      </c>
      <c r="F113" t="s">
        <v>425</v>
      </c>
      <c r="G113" t="s">
        <v>195</v>
      </c>
      <c r="H113" t="s">
        <v>514</v>
      </c>
      <c r="I113" t="s">
        <v>426</v>
      </c>
      <c r="J113" t="s">
        <v>550</v>
      </c>
      <c r="K113" t="s">
        <v>239</v>
      </c>
      <c r="L113" s="38">
        <v>46191</v>
      </c>
      <c r="M113">
        <v>1</v>
      </c>
      <c r="N113" t="s">
        <v>428</v>
      </c>
      <c r="O113">
        <v>38.4</v>
      </c>
      <c r="P113">
        <v>0</v>
      </c>
      <c r="Q113">
        <v>0</v>
      </c>
      <c r="R113">
        <v>-34</v>
      </c>
      <c r="S113">
        <v>4.4000000000000004</v>
      </c>
      <c r="V113" t="s">
        <v>472</v>
      </c>
      <c r="X113" t="s">
        <v>429</v>
      </c>
      <c r="Z113" s="38">
        <v>46173</v>
      </c>
      <c r="AF113" t="s">
        <v>447</v>
      </c>
      <c r="AG113" t="s">
        <v>447</v>
      </c>
    </row>
    <row r="114" spans="1:33" x14ac:dyDescent="0.25">
      <c r="A114" t="s">
        <v>318</v>
      </c>
      <c r="B114" t="s">
        <v>551</v>
      </c>
      <c r="C114" t="s">
        <v>167</v>
      </c>
      <c r="D114" t="s">
        <v>168</v>
      </c>
      <c r="E114" t="s">
        <v>445</v>
      </c>
      <c r="F114" t="s">
        <v>425</v>
      </c>
      <c r="G114" t="s">
        <v>195</v>
      </c>
      <c r="H114" t="s">
        <v>514</v>
      </c>
      <c r="I114" t="s">
        <v>426</v>
      </c>
      <c r="J114" t="s">
        <v>455</v>
      </c>
      <c r="L114" s="38">
        <v>46191</v>
      </c>
      <c r="M114">
        <v>1</v>
      </c>
      <c r="N114" t="s">
        <v>428</v>
      </c>
      <c r="O114">
        <v>0</v>
      </c>
      <c r="P114">
        <v>0</v>
      </c>
      <c r="Q114">
        <v>0</v>
      </c>
      <c r="R114">
        <v>-17</v>
      </c>
      <c r="S114">
        <v>-17</v>
      </c>
      <c r="T114" t="s">
        <v>234</v>
      </c>
      <c r="U114" t="s">
        <v>542</v>
      </c>
      <c r="X114" t="s">
        <v>429</v>
      </c>
      <c r="Z114" s="38">
        <v>46112</v>
      </c>
      <c r="AF114" t="s">
        <v>447</v>
      </c>
    </row>
    <row r="115" spans="1:33" x14ac:dyDescent="0.25">
      <c r="A115" t="s">
        <v>318</v>
      </c>
      <c r="B115" t="s">
        <v>552</v>
      </c>
      <c r="C115" t="s">
        <v>167</v>
      </c>
      <c r="D115" t="s">
        <v>168</v>
      </c>
      <c r="E115" t="s">
        <v>469</v>
      </c>
      <c r="F115" t="s">
        <v>425</v>
      </c>
      <c r="G115" t="s">
        <v>195</v>
      </c>
      <c r="H115" t="s">
        <v>514</v>
      </c>
      <c r="I115" t="s">
        <v>426</v>
      </c>
      <c r="J115" t="s">
        <v>455</v>
      </c>
      <c r="K115" t="s">
        <v>553</v>
      </c>
      <c r="L115" s="38">
        <v>46191</v>
      </c>
      <c r="M115">
        <v>1</v>
      </c>
      <c r="N115" t="s">
        <v>428</v>
      </c>
      <c r="O115">
        <v>21.6</v>
      </c>
      <c r="P115">
        <v>0</v>
      </c>
      <c r="Q115">
        <v>0</v>
      </c>
      <c r="R115">
        <v>-17</v>
      </c>
      <c r="S115">
        <v>4.5999999999999996</v>
      </c>
      <c r="T115" t="s">
        <v>234</v>
      </c>
      <c r="U115" t="s">
        <v>542</v>
      </c>
      <c r="V115" t="s">
        <v>472</v>
      </c>
      <c r="X115" t="s">
        <v>429</v>
      </c>
      <c r="Z115" s="38">
        <v>46173</v>
      </c>
      <c r="AF115" t="s">
        <v>447</v>
      </c>
      <c r="AG115" t="s">
        <v>447</v>
      </c>
    </row>
    <row r="116" spans="1:33" x14ac:dyDescent="0.25">
      <c r="A116" t="s">
        <v>318</v>
      </c>
      <c r="B116" t="s">
        <v>554</v>
      </c>
      <c r="C116" t="s">
        <v>167</v>
      </c>
      <c r="D116" t="s">
        <v>168</v>
      </c>
      <c r="E116" t="s">
        <v>469</v>
      </c>
      <c r="F116" t="s">
        <v>425</v>
      </c>
      <c r="G116" t="s">
        <v>195</v>
      </c>
      <c r="H116" t="s">
        <v>514</v>
      </c>
      <c r="I116" t="s">
        <v>426</v>
      </c>
      <c r="J116" t="s">
        <v>455</v>
      </c>
      <c r="K116" t="s">
        <v>555</v>
      </c>
      <c r="L116" s="38">
        <v>46191</v>
      </c>
      <c r="M116">
        <v>1</v>
      </c>
      <c r="N116" t="s">
        <v>428</v>
      </c>
      <c r="O116">
        <v>33.799999999999997</v>
      </c>
      <c r="P116">
        <v>0</v>
      </c>
      <c r="Q116">
        <v>0</v>
      </c>
      <c r="R116">
        <v>-17</v>
      </c>
      <c r="S116">
        <v>16.8</v>
      </c>
      <c r="U116" t="s">
        <v>544</v>
      </c>
      <c r="V116" t="s">
        <v>472</v>
      </c>
      <c r="X116" t="s">
        <v>429</v>
      </c>
      <c r="Z116" s="38">
        <v>46173</v>
      </c>
      <c r="AF116" t="s">
        <v>447</v>
      </c>
      <c r="AG116" t="s">
        <v>447</v>
      </c>
    </row>
    <row r="117" spans="1:33" x14ac:dyDescent="0.25">
      <c r="A117" t="s">
        <v>318</v>
      </c>
      <c r="B117" t="s">
        <v>556</v>
      </c>
      <c r="C117" t="s">
        <v>167</v>
      </c>
      <c r="D117" t="s">
        <v>168</v>
      </c>
      <c r="E117" t="s">
        <v>469</v>
      </c>
      <c r="F117" t="s">
        <v>425</v>
      </c>
      <c r="G117" t="s">
        <v>195</v>
      </c>
      <c r="H117" t="s">
        <v>514</v>
      </c>
      <c r="I117" t="s">
        <v>426</v>
      </c>
      <c r="J117" t="s">
        <v>464</v>
      </c>
      <c r="K117" t="s">
        <v>555</v>
      </c>
      <c r="L117" s="38">
        <v>46191</v>
      </c>
      <c r="M117">
        <v>1</v>
      </c>
      <c r="N117" t="s">
        <v>428</v>
      </c>
      <c r="O117">
        <v>9.4</v>
      </c>
      <c r="P117">
        <v>0</v>
      </c>
      <c r="Q117">
        <v>0</v>
      </c>
      <c r="R117">
        <v>0</v>
      </c>
      <c r="S117">
        <v>9.4</v>
      </c>
      <c r="T117" t="s">
        <v>234</v>
      </c>
      <c r="U117" t="s">
        <v>544</v>
      </c>
      <c r="V117" t="s">
        <v>472</v>
      </c>
      <c r="W117" t="s">
        <v>323</v>
      </c>
      <c r="X117" t="s">
        <v>429</v>
      </c>
      <c r="Z117" s="38">
        <v>46173</v>
      </c>
      <c r="AF117" t="s">
        <v>447</v>
      </c>
      <c r="AG117" t="s">
        <v>447</v>
      </c>
    </row>
    <row r="118" spans="1:33" x14ac:dyDescent="0.25">
      <c r="A118" t="s">
        <v>318</v>
      </c>
      <c r="B118" t="s">
        <v>557</v>
      </c>
      <c r="C118" t="s">
        <v>167</v>
      </c>
      <c r="D118" t="s">
        <v>168</v>
      </c>
      <c r="E118" t="s">
        <v>445</v>
      </c>
      <c r="F118" t="s">
        <v>425</v>
      </c>
      <c r="G118" t="s">
        <v>195</v>
      </c>
      <c r="H118" t="s">
        <v>514</v>
      </c>
      <c r="I118" t="s">
        <v>426</v>
      </c>
      <c r="J118" t="s">
        <v>464</v>
      </c>
      <c r="L118" s="38">
        <v>46191</v>
      </c>
      <c r="M118">
        <v>1</v>
      </c>
      <c r="N118" t="s">
        <v>428</v>
      </c>
      <c r="O118">
        <v>0</v>
      </c>
      <c r="P118">
        <v>0</v>
      </c>
      <c r="Q118">
        <v>0</v>
      </c>
      <c r="R118">
        <v>0</v>
      </c>
      <c r="S118">
        <v>0</v>
      </c>
      <c r="U118" t="s">
        <v>517</v>
      </c>
      <c r="X118" t="s">
        <v>429</v>
      </c>
      <c r="Z118" s="38">
        <v>46173</v>
      </c>
      <c r="AF118" t="s">
        <v>447</v>
      </c>
    </row>
    <row r="119" spans="1:33" x14ac:dyDescent="0.25">
      <c r="A119" t="s">
        <v>318</v>
      </c>
      <c r="B119" t="s">
        <v>558</v>
      </c>
      <c r="C119" t="s">
        <v>167</v>
      </c>
      <c r="D119" t="s">
        <v>168</v>
      </c>
      <c r="E119" t="s">
        <v>445</v>
      </c>
      <c r="F119" t="s">
        <v>425</v>
      </c>
      <c r="G119" t="s">
        <v>195</v>
      </c>
      <c r="H119" t="s">
        <v>514</v>
      </c>
      <c r="I119" t="s">
        <v>426</v>
      </c>
      <c r="J119" t="s">
        <v>464</v>
      </c>
      <c r="L119" s="38">
        <v>46191</v>
      </c>
      <c r="M119">
        <v>1</v>
      </c>
      <c r="N119" t="s">
        <v>428</v>
      </c>
      <c r="O119">
        <v>0</v>
      </c>
      <c r="P119">
        <v>0</v>
      </c>
      <c r="Q119">
        <v>0</v>
      </c>
      <c r="R119">
        <v>-68</v>
      </c>
      <c r="S119">
        <v>-68</v>
      </c>
      <c r="T119" t="s">
        <v>228</v>
      </c>
      <c r="U119" t="s">
        <v>517</v>
      </c>
      <c r="X119" t="s">
        <v>429</v>
      </c>
      <c r="Z119" s="38">
        <v>46173</v>
      </c>
      <c r="AF119" t="s">
        <v>447</v>
      </c>
    </row>
    <row r="120" spans="1:33" x14ac:dyDescent="0.25">
      <c r="A120" t="s">
        <v>318</v>
      </c>
      <c r="B120" t="s">
        <v>560</v>
      </c>
      <c r="C120" t="s">
        <v>167</v>
      </c>
      <c r="D120" t="s">
        <v>168</v>
      </c>
      <c r="E120" t="s">
        <v>445</v>
      </c>
      <c r="F120" t="s">
        <v>425</v>
      </c>
      <c r="G120" t="s">
        <v>195</v>
      </c>
      <c r="H120" t="s">
        <v>514</v>
      </c>
      <c r="I120" t="s">
        <v>426</v>
      </c>
      <c r="J120" t="s">
        <v>464</v>
      </c>
      <c r="L120" s="38">
        <v>46191</v>
      </c>
      <c r="M120">
        <v>1</v>
      </c>
      <c r="N120" t="s">
        <v>428</v>
      </c>
      <c r="O120">
        <v>0</v>
      </c>
      <c r="P120">
        <v>0</v>
      </c>
      <c r="Q120">
        <v>0</v>
      </c>
      <c r="R120">
        <v>-17</v>
      </c>
      <c r="S120">
        <v>-17</v>
      </c>
      <c r="X120" t="s">
        <v>429</v>
      </c>
      <c r="Z120" s="38">
        <v>46173</v>
      </c>
      <c r="AF120" t="s">
        <v>447</v>
      </c>
    </row>
    <row r="121" spans="1:33" x14ac:dyDescent="0.25">
      <c r="A121" t="s">
        <v>318</v>
      </c>
      <c r="B121" t="s">
        <v>562</v>
      </c>
      <c r="C121" t="s">
        <v>167</v>
      </c>
      <c r="D121" t="s">
        <v>168</v>
      </c>
      <c r="E121" t="s">
        <v>445</v>
      </c>
      <c r="F121" t="s">
        <v>425</v>
      </c>
      <c r="G121" t="s">
        <v>195</v>
      </c>
      <c r="H121" t="s">
        <v>514</v>
      </c>
      <c r="I121" t="s">
        <v>426</v>
      </c>
      <c r="J121" t="s">
        <v>464</v>
      </c>
      <c r="L121" s="38">
        <v>46191</v>
      </c>
      <c r="M121">
        <v>1</v>
      </c>
      <c r="N121" t="s">
        <v>428</v>
      </c>
      <c r="O121">
        <v>0</v>
      </c>
      <c r="P121">
        <v>0</v>
      </c>
      <c r="Q121">
        <v>0</v>
      </c>
      <c r="R121">
        <v>-102</v>
      </c>
      <c r="S121">
        <v>-102</v>
      </c>
      <c r="X121" t="s">
        <v>429</v>
      </c>
      <c r="Z121" s="38">
        <v>46173</v>
      </c>
      <c r="AF121" t="s">
        <v>447</v>
      </c>
    </row>
    <row r="122" spans="1:33" x14ac:dyDescent="0.25">
      <c r="A122" t="s">
        <v>318</v>
      </c>
      <c r="B122" t="s">
        <v>563</v>
      </c>
      <c r="C122" t="s">
        <v>167</v>
      </c>
      <c r="D122" t="s">
        <v>168</v>
      </c>
      <c r="E122" t="s">
        <v>1316</v>
      </c>
      <c r="F122" t="s">
        <v>425</v>
      </c>
      <c r="G122" t="s">
        <v>195</v>
      </c>
      <c r="H122" t="s">
        <v>514</v>
      </c>
      <c r="I122" t="s">
        <v>426</v>
      </c>
      <c r="J122" t="s">
        <v>455</v>
      </c>
      <c r="L122" s="38">
        <v>46191</v>
      </c>
      <c r="M122">
        <v>1</v>
      </c>
      <c r="N122" t="s">
        <v>428</v>
      </c>
      <c r="O122">
        <v>8.4600000000000009</v>
      </c>
      <c r="P122">
        <v>0</v>
      </c>
      <c r="Q122">
        <v>0</v>
      </c>
      <c r="R122">
        <v>0</v>
      </c>
      <c r="S122">
        <v>8.4600000000000009</v>
      </c>
      <c r="X122" t="s">
        <v>429</v>
      </c>
      <c r="Z122" s="38">
        <v>46173</v>
      </c>
      <c r="AF122" t="s">
        <v>447</v>
      </c>
    </row>
    <row r="123" spans="1:33" x14ac:dyDescent="0.25">
      <c r="A123" t="s">
        <v>318</v>
      </c>
      <c r="B123" t="s">
        <v>564</v>
      </c>
      <c r="C123" t="s">
        <v>167</v>
      </c>
      <c r="D123" t="s">
        <v>168</v>
      </c>
      <c r="E123" t="s">
        <v>478</v>
      </c>
      <c r="F123" t="s">
        <v>425</v>
      </c>
      <c r="G123" t="s">
        <v>195</v>
      </c>
      <c r="H123" t="s">
        <v>514</v>
      </c>
      <c r="I123" t="s">
        <v>426</v>
      </c>
      <c r="J123" t="s">
        <v>464</v>
      </c>
      <c r="K123" t="s">
        <v>565</v>
      </c>
      <c r="L123" s="38">
        <v>46191</v>
      </c>
      <c r="M123">
        <v>1</v>
      </c>
      <c r="N123" t="s">
        <v>428</v>
      </c>
      <c r="O123">
        <v>9.6</v>
      </c>
      <c r="P123">
        <v>0</v>
      </c>
      <c r="Q123">
        <v>0</v>
      </c>
      <c r="R123">
        <v>-17</v>
      </c>
      <c r="S123">
        <v>-7.4</v>
      </c>
      <c r="V123" t="s">
        <v>472</v>
      </c>
      <c r="X123" t="s">
        <v>429</v>
      </c>
      <c r="Z123" s="38">
        <v>46203</v>
      </c>
      <c r="AF123" t="s">
        <v>447</v>
      </c>
      <c r="AG123" t="s">
        <v>447</v>
      </c>
    </row>
    <row r="124" spans="1:33" x14ac:dyDescent="0.25">
      <c r="A124" t="s">
        <v>318</v>
      </c>
      <c r="B124" t="s">
        <v>566</v>
      </c>
      <c r="C124" t="s">
        <v>167</v>
      </c>
      <c r="D124" t="s">
        <v>168</v>
      </c>
      <c r="E124" t="s">
        <v>445</v>
      </c>
      <c r="F124" t="s">
        <v>425</v>
      </c>
      <c r="G124" t="s">
        <v>195</v>
      </c>
      <c r="H124" t="s">
        <v>514</v>
      </c>
      <c r="I124" t="s">
        <v>426</v>
      </c>
      <c r="J124" t="s">
        <v>464</v>
      </c>
      <c r="L124" s="38">
        <v>46191</v>
      </c>
      <c r="M124">
        <v>1</v>
      </c>
      <c r="N124" t="s">
        <v>428</v>
      </c>
      <c r="O124">
        <v>0</v>
      </c>
      <c r="P124">
        <v>0</v>
      </c>
      <c r="Q124">
        <v>0</v>
      </c>
      <c r="R124">
        <v>-17</v>
      </c>
      <c r="S124">
        <v>-17</v>
      </c>
      <c r="X124" t="s">
        <v>429</v>
      </c>
      <c r="Z124" s="38">
        <v>46203</v>
      </c>
      <c r="AF124" t="s">
        <v>447</v>
      </c>
    </row>
    <row r="125" spans="1:33" x14ac:dyDescent="0.25">
      <c r="A125" t="s">
        <v>318</v>
      </c>
      <c r="B125" t="s">
        <v>567</v>
      </c>
      <c r="C125" t="s">
        <v>167</v>
      </c>
      <c r="D125" t="s">
        <v>168</v>
      </c>
      <c r="E125" t="s">
        <v>445</v>
      </c>
      <c r="F125" t="s">
        <v>425</v>
      </c>
      <c r="G125" t="s">
        <v>195</v>
      </c>
      <c r="H125" t="s">
        <v>514</v>
      </c>
      <c r="I125" t="s">
        <v>426</v>
      </c>
      <c r="J125" t="s">
        <v>464</v>
      </c>
      <c r="L125" s="38">
        <v>46191</v>
      </c>
      <c r="M125">
        <v>1</v>
      </c>
      <c r="N125" t="s">
        <v>428</v>
      </c>
      <c r="O125">
        <v>0</v>
      </c>
      <c r="P125">
        <v>0</v>
      </c>
      <c r="Q125">
        <v>0</v>
      </c>
      <c r="R125">
        <v>-17</v>
      </c>
      <c r="S125">
        <v>-17</v>
      </c>
      <c r="X125" t="s">
        <v>429</v>
      </c>
      <c r="Z125" s="38">
        <v>46203</v>
      </c>
      <c r="AF125" t="s">
        <v>447</v>
      </c>
    </row>
    <row r="126" spans="1:33" x14ac:dyDescent="0.25">
      <c r="A126" t="s">
        <v>318</v>
      </c>
      <c r="B126" t="s">
        <v>568</v>
      </c>
      <c r="C126" t="s">
        <v>167</v>
      </c>
      <c r="D126" t="s">
        <v>168</v>
      </c>
      <c r="E126" t="s">
        <v>478</v>
      </c>
      <c r="F126" t="s">
        <v>425</v>
      </c>
      <c r="G126" t="s">
        <v>195</v>
      </c>
      <c r="H126" t="s">
        <v>514</v>
      </c>
      <c r="I126" t="s">
        <v>426</v>
      </c>
      <c r="J126" t="s">
        <v>464</v>
      </c>
      <c r="K126" t="s">
        <v>569</v>
      </c>
      <c r="L126" s="38">
        <v>46191</v>
      </c>
      <c r="M126">
        <v>1</v>
      </c>
      <c r="N126" t="s">
        <v>428</v>
      </c>
      <c r="O126">
        <v>100</v>
      </c>
      <c r="P126">
        <v>0</v>
      </c>
      <c r="Q126">
        <v>0</v>
      </c>
      <c r="R126">
        <v>-102</v>
      </c>
      <c r="S126">
        <v>-2</v>
      </c>
      <c r="U126" t="s">
        <v>46</v>
      </c>
      <c r="V126" t="s">
        <v>472</v>
      </c>
      <c r="X126" t="s">
        <v>429</v>
      </c>
      <c r="Z126" s="38">
        <v>46142</v>
      </c>
      <c r="AF126" t="s">
        <v>447</v>
      </c>
      <c r="AG126" t="s">
        <v>447</v>
      </c>
    </row>
    <row r="127" spans="1:33" x14ac:dyDescent="0.25">
      <c r="A127" t="s">
        <v>318</v>
      </c>
      <c r="B127" t="s">
        <v>570</v>
      </c>
      <c r="C127" t="s">
        <v>167</v>
      </c>
      <c r="D127" t="s">
        <v>168</v>
      </c>
      <c r="E127" t="s">
        <v>478</v>
      </c>
      <c r="F127" t="s">
        <v>425</v>
      </c>
      <c r="G127" t="s">
        <v>195</v>
      </c>
      <c r="H127" t="s">
        <v>514</v>
      </c>
      <c r="I127" t="s">
        <v>426</v>
      </c>
      <c r="J127" t="s">
        <v>464</v>
      </c>
      <c r="K127" t="s">
        <v>571</v>
      </c>
      <c r="L127" s="38">
        <v>46191</v>
      </c>
      <c r="M127">
        <v>2</v>
      </c>
      <c r="N127" t="s">
        <v>428</v>
      </c>
      <c r="O127">
        <v>19.2</v>
      </c>
      <c r="P127">
        <v>0</v>
      </c>
      <c r="Q127">
        <v>0</v>
      </c>
      <c r="R127">
        <v>0</v>
      </c>
      <c r="S127">
        <v>0</v>
      </c>
      <c r="U127" t="s">
        <v>46</v>
      </c>
      <c r="V127" t="s">
        <v>472</v>
      </c>
      <c r="X127" t="s">
        <v>429</v>
      </c>
      <c r="Z127" s="38">
        <v>46142</v>
      </c>
      <c r="AF127" t="s">
        <v>447</v>
      </c>
      <c r="AG127" t="s">
        <v>447</v>
      </c>
    </row>
    <row r="128" spans="1:33" x14ac:dyDescent="0.25">
      <c r="A128" t="s">
        <v>318</v>
      </c>
      <c r="B128" t="s">
        <v>570</v>
      </c>
      <c r="C128" t="s">
        <v>167</v>
      </c>
      <c r="D128" t="s">
        <v>168</v>
      </c>
      <c r="E128" t="s">
        <v>478</v>
      </c>
      <c r="F128" t="s">
        <v>425</v>
      </c>
      <c r="G128" t="s">
        <v>195</v>
      </c>
      <c r="H128" t="s">
        <v>514</v>
      </c>
      <c r="I128" t="s">
        <v>426</v>
      </c>
      <c r="J128" t="s">
        <v>464</v>
      </c>
      <c r="K128" t="s">
        <v>571</v>
      </c>
      <c r="L128" s="38">
        <v>46191</v>
      </c>
      <c r="M128">
        <v>2</v>
      </c>
      <c r="N128" t="s">
        <v>428</v>
      </c>
      <c r="O128">
        <v>19.2</v>
      </c>
      <c r="P128">
        <v>0</v>
      </c>
      <c r="Q128">
        <v>0</v>
      </c>
      <c r="R128">
        <v>-34</v>
      </c>
      <c r="S128">
        <v>4.4000000000000004</v>
      </c>
      <c r="U128" t="s">
        <v>46</v>
      </c>
      <c r="V128" t="s">
        <v>472</v>
      </c>
      <c r="X128" t="s">
        <v>429</v>
      </c>
      <c r="Z128" s="38">
        <v>46142</v>
      </c>
      <c r="AF128" t="s">
        <v>447</v>
      </c>
      <c r="AG128" t="s">
        <v>447</v>
      </c>
    </row>
    <row r="129" spans="1:33" x14ac:dyDescent="0.25">
      <c r="A129" t="s">
        <v>318</v>
      </c>
      <c r="B129" t="s">
        <v>572</v>
      </c>
      <c r="C129" t="s">
        <v>167</v>
      </c>
      <c r="D129" t="s">
        <v>168</v>
      </c>
      <c r="E129" t="s">
        <v>469</v>
      </c>
      <c r="F129" t="s">
        <v>425</v>
      </c>
      <c r="G129" t="s">
        <v>195</v>
      </c>
      <c r="H129" t="s">
        <v>514</v>
      </c>
      <c r="I129" t="s">
        <v>426</v>
      </c>
      <c r="J129" t="s">
        <v>464</v>
      </c>
      <c r="K129" t="s">
        <v>573</v>
      </c>
      <c r="L129" s="38">
        <v>46191</v>
      </c>
      <c r="M129">
        <v>1</v>
      </c>
      <c r="N129" t="s">
        <v>428</v>
      </c>
      <c r="O129">
        <v>19.2</v>
      </c>
      <c r="P129">
        <v>0</v>
      </c>
      <c r="Q129">
        <v>0</v>
      </c>
      <c r="R129">
        <v>-17</v>
      </c>
      <c r="S129">
        <v>2.2000000000000002</v>
      </c>
      <c r="U129" t="s">
        <v>465</v>
      </c>
      <c r="V129" t="s">
        <v>472</v>
      </c>
      <c r="X129" t="s">
        <v>429</v>
      </c>
      <c r="Z129" s="38">
        <v>46203</v>
      </c>
      <c r="AF129" t="s">
        <v>447</v>
      </c>
      <c r="AG129" t="s">
        <v>447</v>
      </c>
    </row>
    <row r="130" spans="1:33" x14ac:dyDescent="0.25">
      <c r="A130" t="s">
        <v>318</v>
      </c>
      <c r="B130" t="s">
        <v>574</v>
      </c>
      <c r="C130" t="s">
        <v>167</v>
      </c>
      <c r="D130" t="s">
        <v>168</v>
      </c>
      <c r="E130" t="s">
        <v>478</v>
      </c>
      <c r="F130" t="s">
        <v>425</v>
      </c>
      <c r="G130" t="s">
        <v>195</v>
      </c>
      <c r="H130" t="s">
        <v>514</v>
      </c>
      <c r="I130" t="s">
        <v>426</v>
      </c>
      <c r="J130" t="s">
        <v>464</v>
      </c>
      <c r="K130" t="s">
        <v>575</v>
      </c>
      <c r="L130" s="38">
        <v>46191</v>
      </c>
      <c r="M130">
        <v>1</v>
      </c>
      <c r="N130" t="s">
        <v>428</v>
      </c>
      <c r="O130">
        <v>12.24</v>
      </c>
      <c r="P130">
        <v>0</v>
      </c>
      <c r="Q130">
        <v>0</v>
      </c>
      <c r="R130">
        <v>-17</v>
      </c>
      <c r="S130">
        <v>-4.76</v>
      </c>
      <c r="V130" t="s">
        <v>472</v>
      </c>
      <c r="W130" t="s">
        <v>207</v>
      </c>
      <c r="X130" t="s">
        <v>429</v>
      </c>
      <c r="Z130" s="38">
        <v>46203</v>
      </c>
      <c r="AF130" t="s">
        <v>447</v>
      </c>
      <c r="AG130" t="s">
        <v>447</v>
      </c>
    </row>
    <row r="131" spans="1:33" x14ac:dyDescent="0.25">
      <c r="A131" t="s">
        <v>318</v>
      </c>
      <c r="B131" t="s">
        <v>576</v>
      </c>
      <c r="C131" t="s">
        <v>167</v>
      </c>
      <c r="D131" t="s">
        <v>168</v>
      </c>
      <c r="E131" t="s">
        <v>469</v>
      </c>
      <c r="F131" t="s">
        <v>425</v>
      </c>
      <c r="G131" t="s">
        <v>195</v>
      </c>
      <c r="H131" t="s">
        <v>514</v>
      </c>
      <c r="I131" t="s">
        <v>426</v>
      </c>
      <c r="J131" t="s">
        <v>464</v>
      </c>
      <c r="K131" t="s">
        <v>577</v>
      </c>
      <c r="L131" s="38">
        <v>46191</v>
      </c>
      <c r="M131">
        <v>1</v>
      </c>
      <c r="N131" t="s">
        <v>428</v>
      </c>
      <c r="O131">
        <v>16.32</v>
      </c>
      <c r="P131">
        <v>0</v>
      </c>
      <c r="Q131">
        <v>0</v>
      </c>
      <c r="R131">
        <v>-17</v>
      </c>
      <c r="S131">
        <v>-0.68</v>
      </c>
      <c r="V131" t="s">
        <v>472</v>
      </c>
      <c r="W131" t="s">
        <v>207</v>
      </c>
      <c r="X131" t="s">
        <v>429</v>
      </c>
      <c r="Z131" s="38">
        <v>46203</v>
      </c>
      <c r="AF131" t="s">
        <v>447</v>
      </c>
      <c r="AG131" t="s">
        <v>447</v>
      </c>
    </row>
    <row r="132" spans="1:33" x14ac:dyDescent="0.25">
      <c r="A132" t="s">
        <v>318</v>
      </c>
      <c r="B132" t="s">
        <v>578</v>
      </c>
      <c r="C132" t="s">
        <v>167</v>
      </c>
      <c r="D132" t="s">
        <v>168</v>
      </c>
      <c r="E132" t="s">
        <v>478</v>
      </c>
      <c r="F132" t="s">
        <v>425</v>
      </c>
      <c r="G132" t="s">
        <v>195</v>
      </c>
      <c r="H132" t="s">
        <v>514</v>
      </c>
      <c r="I132" t="s">
        <v>426</v>
      </c>
      <c r="J132" t="s">
        <v>464</v>
      </c>
      <c r="K132" t="s">
        <v>579</v>
      </c>
      <c r="L132" s="38">
        <v>46191</v>
      </c>
      <c r="M132">
        <v>1</v>
      </c>
      <c r="N132" t="s">
        <v>428</v>
      </c>
      <c r="O132">
        <v>13.98</v>
      </c>
      <c r="P132">
        <v>0</v>
      </c>
      <c r="Q132">
        <v>0</v>
      </c>
      <c r="R132">
        <v>-17</v>
      </c>
      <c r="S132">
        <v>-3.02</v>
      </c>
      <c r="V132" t="s">
        <v>472</v>
      </c>
      <c r="W132" t="s">
        <v>207</v>
      </c>
      <c r="X132" t="s">
        <v>429</v>
      </c>
      <c r="Z132" s="38">
        <v>46203</v>
      </c>
      <c r="AF132" t="s">
        <v>447</v>
      </c>
      <c r="AG132" t="s">
        <v>447</v>
      </c>
    </row>
    <row r="133" spans="1:33" x14ac:dyDescent="0.25">
      <c r="A133" t="s">
        <v>318</v>
      </c>
      <c r="B133" t="s">
        <v>580</v>
      </c>
      <c r="C133" t="s">
        <v>167</v>
      </c>
      <c r="D133" t="s">
        <v>168</v>
      </c>
      <c r="E133" t="s">
        <v>483</v>
      </c>
      <c r="F133" t="s">
        <v>425</v>
      </c>
      <c r="G133" t="s">
        <v>195</v>
      </c>
      <c r="H133" t="s">
        <v>514</v>
      </c>
      <c r="I133" t="s">
        <v>426</v>
      </c>
      <c r="J133" t="s">
        <v>464</v>
      </c>
      <c r="K133" t="s">
        <v>261</v>
      </c>
      <c r="L133" s="38">
        <v>46191</v>
      </c>
      <c r="M133">
        <v>1</v>
      </c>
      <c r="N133" t="s">
        <v>428</v>
      </c>
      <c r="O133">
        <v>19.2</v>
      </c>
      <c r="P133">
        <v>0</v>
      </c>
      <c r="Q133">
        <v>0</v>
      </c>
      <c r="R133">
        <v>-17</v>
      </c>
      <c r="S133">
        <v>2.2000000000000002</v>
      </c>
      <c r="V133" t="s">
        <v>472</v>
      </c>
      <c r="X133" t="s">
        <v>429</v>
      </c>
      <c r="Z133" s="38">
        <v>46173</v>
      </c>
      <c r="AF133" t="s">
        <v>447</v>
      </c>
      <c r="AG133" t="s">
        <v>447</v>
      </c>
    </row>
    <row r="134" spans="1:33" x14ac:dyDescent="0.25">
      <c r="A134" t="s">
        <v>318</v>
      </c>
      <c r="B134" t="s">
        <v>581</v>
      </c>
      <c r="C134" t="s">
        <v>167</v>
      </c>
      <c r="D134" t="s">
        <v>168</v>
      </c>
      <c r="E134" t="s">
        <v>483</v>
      </c>
      <c r="F134" t="s">
        <v>425</v>
      </c>
      <c r="G134" t="s">
        <v>195</v>
      </c>
      <c r="H134" t="s">
        <v>514</v>
      </c>
      <c r="I134" t="s">
        <v>426</v>
      </c>
      <c r="J134" t="s">
        <v>464</v>
      </c>
      <c r="K134" t="s">
        <v>225</v>
      </c>
      <c r="L134" s="38">
        <v>46191</v>
      </c>
      <c r="M134">
        <v>1</v>
      </c>
      <c r="N134" t="s">
        <v>428</v>
      </c>
      <c r="O134">
        <v>13.2</v>
      </c>
      <c r="P134">
        <v>0</v>
      </c>
      <c r="Q134">
        <v>0</v>
      </c>
      <c r="R134">
        <v>-17</v>
      </c>
      <c r="S134">
        <v>-3.8</v>
      </c>
      <c r="V134" t="s">
        <v>472</v>
      </c>
      <c r="X134" t="s">
        <v>429</v>
      </c>
      <c r="Z134" s="38">
        <v>46173</v>
      </c>
      <c r="AF134" t="s">
        <v>447</v>
      </c>
      <c r="AG134" t="s">
        <v>447</v>
      </c>
    </row>
    <row r="135" spans="1:33" x14ac:dyDescent="0.25">
      <c r="A135" t="s">
        <v>318</v>
      </c>
      <c r="B135" t="s">
        <v>582</v>
      </c>
      <c r="C135" t="s">
        <v>167</v>
      </c>
      <c r="D135" t="s">
        <v>168</v>
      </c>
      <c r="E135" t="s">
        <v>483</v>
      </c>
      <c r="F135" t="s">
        <v>425</v>
      </c>
      <c r="G135" t="s">
        <v>195</v>
      </c>
      <c r="H135" t="s">
        <v>514</v>
      </c>
      <c r="I135" t="s">
        <v>426</v>
      </c>
      <c r="J135" t="s">
        <v>464</v>
      </c>
      <c r="K135" t="s">
        <v>196</v>
      </c>
      <c r="L135" s="38">
        <v>46191</v>
      </c>
      <c r="M135">
        <v>1</v>
      </c>
      <c r="N135" t="s">
        <v>428</v>
      </c>
      <c r="O135">
        <v>43.2</v>
      </c>
      <c r="P135">
        <v>0</v>
      </c>
      <c r="Q135">
        <v>0</v>
      </c>
      <c r="R135">
        <v>-34</v>
      </c>
      <c r="S135">
        <v>9.1999999999999993</v>
      </c>
      <c r="T135" t="s">
        <v>234</v>
      </c>
      <c r="U135" t="s">
        <v>542</v>
      </c>
      <c r="V135" t="s">
        <v>472</v>
      </c>
      <c r="X135" t="s">
        <v>429</v>
      </c>
      <c r="Z135" s="38">
        <v>46203</v>
      </c>
      <c r="AF135" t="s">
        <v>447</v>
      </c>
      <c r="AG135" t="s">
        <v>447</v>
      </c>
    </row>
    <row r="136" spans="1:33" x14ac:dyDescent="0.25">
      <c r="A136" t="s">
        <v>318</v>
      </c>
      <c r="B136" t="s">
        <v>583</v>
      </c>
      <c r="C136" t="s">
        <v>167</v>
      </c>
      <c r="D136" t="s">
        <v>168</v>
      </c>
      <c r="E136" t="s">
        <v>483</v>
      </c>
      <c r="F136" t="s">
        <v>425</v>
      </c>
      <c r="G136" t="s">
        <v>195</v>
      </c>
      <c r="H136" t="s">
        <v>514</v>
      </c>
      <c r="I136" t="s">
        <v>426</v>
      </c>
      <c r="J136" t="s">
        <v>464</v>
      </c>
      <c r="K136" t="s">
        <v>199</v>
      </c>
      <c r="L136" s="38">
        <v>46191</v>
      </c>
      <c r="M136">
        <v>1</v>
      </c>
      <c r="N136" t="s">
        <v>428</v>
      </c>
      <c r="O136">
        <v>43.2</v>
      </c>
      <c r="P136">
        <v>0</v>
      </c>
      <c r="Q136">
        <v>0</v>
      </c>
      <c r="R136">
        <v>-51</v>
      </c>
      <c r="S136">
        <v>-7.8</v>
      </c>
      <c r="T136" t="s">
        <v>234</v>
      </c>
      <c r="U136" t="s">
        <v>544</v>
      </c>
      <c r="V136" t="s">
        <v>472</v>
      </c>
      <c r="X136" t="s">
        <v>429</v>
      </c>
      <c r="Z136" s="38">
        <v>46203</v>
      </c>
      <c r="AF136" t="s">
        <v>447</v>
      </c>
      <c r="AG136" t="s">
        <v>447</v>
      </c>
    </row>
    <row r="137" spans="1:33" x14ac:dyDescent="0.25">
      <c r="A137" t="s">
        <v>318</v>
      </c>
      <c r="B137" t="s">
        <v>584</v>
      </c>
      <c r="C137" t="s">
        <v>167</v>
      </c>
      <c r="D137" t="s">
        <v>168</v>
      </c>
      <c r="E137" t="s">
        <v>483</v>
      </c>
      <c r="F137" t="s">
        <v>425</v>
      </c>
      <c r="G137" t="s">
        <v>195</v>
      </c>
      <c r="H137" t="s">
        <v>514</v>
      </c>
      <c r="I137" t="s">
        <v>426</v>
      </c>
      <c r="J137" t="s">
        <v>464</v>
      </c>
      <c r="K137" t="s">
        <v>233</v>
      </c>
      <c r="L137" s="38">
        <v>46191</v>
      </c>
      <c r="M137">
        <v>1</v>
      </c>
      <c r="N137" t="s">
        <v>428</v>
      </c>
      <c r="O137">
        <v>43.2</v>
      </c>
      <c r="P137">
        <v>0</v>
      </c>
      <c r="Q137">
        <v>0</v>
      </c>
      <c r="R137">
        <v>-51</v>
      </c>
      <c r="S137">
        <v>-7.8</v>
      </c>
      <c r="T137" t="s">
        <v>234</v>
      </c>
      <c r="U137" t="s">
        <v>542</v>
      </c>
      <c r="V137" t="s">
        <v>472</v>
      </c>
      <c r="X137" t="s">
        <v>429</v>
      </c>
      <c r="Z137" s="38">
        <v>46203</v>
      </c>
      <c r="AF137" t="s">
        <v>447</v>
      </c>
      <c r="AG137" t="s">
        <v>447</v>
      </c>
    </row>
    <row r="138" spans="1:33" x14ac:dyDescent="0.25">
      <c r="A138" t="s">
        <v>318</v>
      </c>
      <c r="B138" t="s">
        <v>585</v>
      </c>
      <c r="C138" t="s">
        <v>167</v>
      </c>
      <c r="D138" t="s">
        <v>168</v>
      </c>
      <c r="E138" t="s">
        <v>463</v>
      </c>
      <c r="F138" t="s">
        <v>425</v>
      </c>
      <c r="G138" t="s">
        <v>195</v>
      </c>
      <c r="H138" t="s">
        <v>514</v>
      </c>
      <c r="I138" t="s">
        <v>426</v>
      </c>
      <c r="J138" t="s">
        <v>464</v>
      </c>
      <c r="L138" s="38">
        <v>46191</v>
      </c>
      <c r="M138">
        <v>1</v>
      </c>
      <c r="N138" t="s">
        <v>428</v>
      </c>
      <c r="O138">
        <v>108</v>
      </c>
      <c r="P138">
        <v>0</v>
      </c>
      <c r="Q138">
        <v>0</v>
      </c>
      <c r="R138">
        <v>-102</v>
      </c>
      <c r="S138">
        <v>6</v>
      </c>
      <c r="X138" t="s">
        <v>429</v>
      </c>
      <c r="Z138" s="38">
        <v>46203</v>
      </c>
      <c r="AF138" t="s">
        <v>447</v>
      </c>
    </row>
    <row r="139" spans="1:33" x14ac:dyDescent="0.25">
      <c r="A139" t="s">
        <v>318</v>
      </c>
      <c r="B139" t="s">
        <v>586</v>
      </c>
      <c r="C139" t="s">
        <v>167</v>
      </c>
      <c r="D139" t="s">
        <v>168</v>
      </c>
      <c r="E139" t="s">
        <v>445</v>
      </c>
      <c r="F139" t="s">
        <v>425</v>
      </c>
      <c r="G139" t="s">
        <v>195</v>
      </c>
      <c r="H139" t="s">
        <v>514</v>
      </c>
      <c r="I139" t="s">
        <v>426</v>
      </c>
      <c r="J139" t="s">
        <v>494</v>
      </c>
      <c r="L139" s="38">
        <v>46191</v>
      </c>
      <c r="M139">
        <v>1</v>
      </c>
      <c r="N139" t="s">
        <v>428</v>
      </c>
      <c r="O139">
        <v>0</v>
      </c>
      <c r="P139">
        <v>0</v>
      </c>
      <c r="Q139">
        <v>0</v>
      </c>
      <c r="R139">
        <v>-17</v>
      </c>
      <c r="S139">
        <v>-17</v>
      </c>
      <c r="U139" t="s">
        <v>471</v>
      </c>
      <c r="W139" t="s">
        <v>512</v>
      </c>
      <c r="X139" t="s">
        <v>429</v>
      </c>
      <c r="Z139" s="38">
        <v>46183</v>
      </c>
      <c r="AF139" t="s">
        <v>447</v>
      </c>
    </row>
    <row r="140" spans="1:33" x14ac:dyDescent="0.25">
      <c r="A140" t="s">
        <v>318</v>
      </c>
      <c r="B140" t="s">
        <v>587</v>
      </c>
      <c r="C140" t="s">
        <v>167</v>
      </c>
      <c r="D140" t="s">
        <v>168</v>
      </c>
      <c r="E140" t="s">
        <v>445</v>
      </c>
      <c r="F140" t="s">
        <v>425</v>
      </c>
      <c r="G140" t="s">
        <v>195</v>
      </c>
      <c r="H140" t="s">
        <v>514</v>
      </c>
      <c r="I140" t="s">
        <v>426</v>
      </c>
      <c r="J140" t="s">
        <v>588</v>
      </c>
      <c r="L140" s="38">
        <v>46191</v>
      </c>
      <c r="M140">
        <v>1</v>
      </c>
      <c r="N140" t="s">
        <v>428</v>
      </c>
      <c r="O140">
        <v>0</v>
      </c>
      <c r="P140">
        <v>0</v>
      </c>
      <c r="Q140">
        <v>0</v>
      </c>
      <c r="R140">
        <v>17</v>
      </c>
      <c r="S140">
        <v>17</v>
      </c>
      <c r="U140" t="s">
        <v>46</v>
      </c>
      <c r="X140" t="s">
        <v>429</v>
      </c>
      <c r="Z140" s="38">
        <v>46053</v>
      </c>
      <c r="AG140" t="s">
        <v>447</v>
      </c>
    </row>
    <row r="141" spans="1:33" x14ac:dyDescent="0.25">
      <c r="A141" t="s">
        <v>318</v>
      </c>
      <c r="B141" t="s">
        <v>571</v>
      </c>
      <c r="C141" t="s">
        <v>167</v>
      </c>
      <c r="D141" t="s">
        <v>168</v>
      </c>
      <c r="E141" t="s">
        <v>478</v>
      </c>
      <c r="F141" t="s">
        <v>425</v>
      </c>
      <c r="G141" t="s">
        <v>195</v>
      </c>
      <c r="H141" t="s">
        <v>514</v>
      </c>
      <c r="I141" t="s">
        <v>426</v>
      </c>
      <c r="J141" t="s">
        <v>588</v>
      </c>
      <c r="K141" t="s">
        <v>570</v>
      </c>
      <c r="L141" s="38">
        <v>46191</v>
      </c>
      <c r="M141">
        <v>2</v>
      </c>
      <c r="N141" t="s">
        <v>428</v>
      </c>
      <c r="O141">
        <v>0</v>
      </c>
      <c r="P141">
        <v>-19.2</v>
      </c>
      <c r="Q141">
        <v>0</v>
      </c>
      <c r="R141">
        <v>0</v>
      </c>
      <c r="S141">
        <v>0</v>
      </c>
      <c r="U141" t="s">
        <v>46</v>
      </c>
      <c r="V141" t="s">
        <v>472</v>
      </c>
      <c r="X141" t="s">
        <v>429</v>
      </c>
      <c r="Z141" s="38">
        <v>46142</v>
      </c>
      <c r="AF141" t="s">
        <v>447</v>
      </c>
      <c r="AG141" t="s">
        <v>447</v>
      </c>
    </row>
    <row r="142" spans="1:33" x14ac:dyDescent="0.25">
      <c r="A142" t="s">
        <v>318</v>
      </c>
      <c r="B142" t="s">
        <v>571</v>
      </c>
      <c r="C142" t="s">
        <v>167</v>
      </c>
      <c r="D142" t="s">
        <v>168</v>
      </c>
      <c r="E142" t="s">
        <v>478</v>
      </c>
      <c r="F142" t="s">
        <v>425</v>
      </c>
      <c r="G142" t="s">
        <v>195</v>
      </c>
      <c r="H142" t="s">
        <v>514</v>
      </c>
      <c r="I142" t="s">
        <v>426</v>
      </c>
      <c r="J142" t="s">
        <v>588</v>
      </c>
      <c r="K142" t="s">
        <v>570</v>
      </c>
      <c r="L142" s="38">
        <v>46191</v>
      </c>
      <c r="M142">
        <v>2</v>
      </c>
      <c r="N142" t="s">
        <v>428</v>
      </c>
      <c r="O142">
        <v>0</v>
      </c>
      <c r="P142">
        <v>-19.2</v>
      </c>
      <c r="Q142">
        <v>0</v>
      </c>
      <c r="R142">
        <v>51</v>
      </c>
      <c r="S142">
        <v>12.6</v>
      </c>
      <c r="U142" t="s">
        <v>46</v>
      </c>
      <c r="V142" t="s">
        <v>472</v>
      </c>
      <c r="X142" t="s">
        <v>429</v>
      </c>
      <c r="Z142" s="38">
        <v>46142</v>
      </c>
      <c r="AF142" t="s">
        <v>447</v>
      </c>
      <c r="AG142" t="s">
        <v>447</v>
      </c>
    </row>
    <row r="143" spans="1:33" x14ac:dyDescent="0.25">
      <c r="A143" t="s">
        <v>318</v>
      </c>
      <c r="B143" t="s">
        <v>573</v>
      </c>
      <c r="C143" t="s">
        <v>167</v>
      </c>
      <c r="D143" t="s">
        <v>168</v>
      </c>
      <c r="E143" t="s">
        <v>469</v>
      </c>
      <c r="F143" t="s">
        <v>425</v>
      </c>
      <c r="G143" t="s">
        <v>195</v>
      </c>
      <c r="H143" t="s">
        <v>514</v>
      </c>
      <c r="I143" t="s">
        <v>426</v>
      </c>
      <c r="J143" t="s">
        <v>588</v>
      </c>
      <c r="K143" t="s">
        <v>572</v>
      </c>
      <c r="L143" s="38">
        <v>46191</v>
      </c>
      <c r="M143">
        <v>1</v>
      </c>
      <c r="N143" t="s">
        <v>428</v>
      </c>
      <c r="O143">
        <v>0</v>
      </c>
      <c r="P143">
        <v>-19.2</v>
      </c>
      <c r="Q143">
        <v>0</v>
      </c>
      <c r="R143">
        <v>17</v>
      </c>
      <c r="S143">
        <v>-2.2000000000000002</v>
      </c>
      <c r="U143" t="s">
        <v>465</v>
      </c>
      <c r="V143" t="s">
        <v>472</v>
      </c>
      <c r="X143" t="s">
        <v>429</v>
      </c>
      <c r="Z143" s="38">
        <v>46142</v>
      </c>
      <c r="AF143" t="s">
        <v>447</v>
      </c>
      <c r="AG143" t="s">
        <v>447</v>
      </c>
    </row>
    <row r="144" spans="1:33" x14ac:dyDescent="0.25">
      <c r="A144" t="s">
        <v>318</v>
      </c>
      <c r="B144" t="s">
        <v>569</v>
      </c>
      <c r="C144" t="s">
        <v>167</v>
      </c>
      <c r="D144" t="s">
        <v>168</v>
      </c>
      <c r="E144" t="s">
        <v>478</v>
      </c>
      <c r="F144" t="s">
        <v>425</v>
      </c>
      <c r="G144" t="s">
        <v>195</v>
      </c>
      <c r="H144" t="s">
        <v>514</v>
      </c>
      <c r="I144" t="s">
        <v>426</v>
      </c>
      <c r="J144" t="s">
        <v>588</v>
      </c>
      <c r="K144" t="s">
        <v>568</v>
      </c>
      <c r="L144" s="38">
        <v>46191</v>
      </c>
      <c r="M144">
        <v>1</v>
      </c>
      <c r="N144" t="s">
        <v>428</v>
      </c>
      <c r="O144">
        <v>0</v>
      </c>
      <c r="P144">
        <v>-100</v>
      </c>
      <c r="Q144">
        <v>0</v>
      </c>
      <c r="R144">
        <v>102</v>
      </c>
      <c r="S144">
        <v>2</v>
      </c>
      <c r="U144" t="s">
        <v>46</v>
      </c>
      <c r="V144" t="s">
        <v>472</v>
      </c>
      <c r="X144" t="s">
        <v>429</v>
      </c>
      <c r="Z144" s="38">
        <v>46142</v>
      </c>
      <c r="AF144" t="s">
        <v>447</v>
      </c>
      <c r="AG144" t="s">
        <v>447</v>
      </c>
    </row>
    <row r="145" spans="1:33" x14ac:dyDescent="0.25">
      <c r="A145" t="s">
        <v>318</v>
      </c>
      <c r="B145" t="s">
        <v>589</v>
      </c>
      <c r="C145" t="s">
        <v>167</v>
      </c>
      <c r="D145" t="s">
        <v>168</v>
      </c>
      <c r="E145" t="s">
        <v>445</v>
      </c>
      <c r="F145" t="s">
        <v>425</v>
      </c>
      <c r="G145" t="s">
        <v>195</v>
      </c>
      <c r="H145" t="s">
        <v>514</v>
      </c>
      <c r="I145" t="s">
        <v>426</v>
      </c>
      <c r="J145" t="s">
        <v>242</v>
      </c>
      <c r="L145" s="38">
        <v>46191</v>
      </c>
      <c r="M145">
        <v>1</v>
      </c>
      <c r="N145" t="s">
        <v>428</v>
      </c>
      <c r="O145">
        <v>0</v>
      </c>
      <c r="P145">
        <v>0</v>
      </c>
      <c r="Q145">
        <v>0</v>
      </c>
      <c r="R145">
        <v>34</v>
      </c>
      <c r="S145">
        <v>34</v>
      </c>
      <c r="U145" t="s">
        <v>471</v>
      </c>
      <c r="X145" t="s">
        <v>429</v>
      </c>
      <c r="Z145" s="38">
        <v>46142</v>
      </c>
      <c r="AG145" t="s">
        <v>447</v>
      </c>
    </row>
    <row r="146" spans="1:33" x14ac:dyDescent="0.25">
      <c r="A146" t="s">
        <v>318</v>
      </c>
      <c r="B146" t="s">
        <v>590</v>
      </c>
      <c r="C146" t="s">
        <v>167</v>
      </c>
      <c r="D146" t="s">
        <v>168</v>
      </c>
      <c r="E146" t="s">
        <v>445</v>
      </c>
      <c r="F146" t="s">
        <v>425</v>
      </c>
      <c r="G146" t="s">
        <v>195</v>
      </c>
      <c r="H146" t="s">
        <v>514</v>
      </c>
      <c r="I146" t="s">
        <v>426</v>
      </c>
      <c r="J146" t="s">
        <v>197</v>
      </c>
      <c r="L146" s="38">
        <v>46191</v>
      </c>
      <c r="M146">
        <v>1</v>
      </c>
      <c r="N146" t="s">
        <v>428</v>
      </c>
      <c r="O146">
        <v>0</v>
      </c>
      <c r="P146">
        <v>0</v>
      </c>
      <c r="Q146">
        <v>0</v>
      </c>
      <c r="R146">
        <v>17</v>
      </c>
      <c r="S146">
        <v>17</v>
      </c>
      <c r="T146" t="s">
        <v>234</v>
      </c>
      <c r="U146" t="s">
        <v>542</v>
      </c>
      <c r="X146" t="s">
        <v>429</v>
      </c>
      <c r="Z146" s="38">
        <v>46112</v>
      </c>
      <c r="AG146" t="s">
        <v>447</v>
      </c>
    </row>
    <row r="147" spans="1:33" x14ac:dyDescent="0.25">
      <c r="A147" t="s">
        <v>318</v>
      </c>
      <c r="B147" t="s">
        <v>591</v>
      </c>
      <c r="C147" t="s">
        <v>167</v>
      </c>
      <c r="D147" t="s">
        <v>168</v>
      </c>
      <c r="E147" t="s">
        <v>445</v>
      </c>
      <c r="F147" t="s">
        <v>425</v>
      </c>
      <c r="G147" t="s">
        <v>195</v>
      </c>
      <c r="H147" t="s">
        <v>514</v>
      </c>
      <c r="I147" t="s">
        <v>426</v>
      </c>
      <c r="J147" t="s">
        <v>197</v>
      </c>
      <c r="L147" s="38">
        <v>46191</v>
      </c>
      <c r="M147">
        <v>1</v>
      </c>
      <c r="N147" t="s">
        <v>428</v>
      </c>
      <c r="O147">
        <v>0</v>
      </c>
      <c r="P147">
        <v>0</v>
      </c>
      <c r="Q147">
        <v>0</v>
      </c>
      <c r="R147">
        <v>51</v>
      </c>
      <c r="S147">
        <v>51</v>
      </c>
      <c r="T147" t="s">
        <v>234</v>
      </c>
      <c r="U147" t="s">
        <v>542</v>
      </c>
      <c r="X147" t="s">
        <v>429</v>
      </c>
      <c r="Z147" s="38">
        <v>46142</v>
      </c>
      <c r="AG147" t="s">
        <v>447</v>
      </c>
    </row>
    <row r="148" spans="1:33" x14ac:dyDescent="0.25">
      <c r="A148" t="s">
        <v>318</v>
      </c>
      <c r="B148" t="s">
        <v>553</v>
      </c>
      <c r="C148" t="s">
        <v>167</v>
      </c>
      <c r="D148" t="s">
        <v>168</v>
      </c>
      <c r="E148" t="s">
        <v>469</v>
      </c>
      <c r="F148" t="s">
        <v>425</v>
      </c>
      <c r="G148" t="s">
        <v>195</v>
      </c>
      <c r="H148" t="s">
        <v>514</v>
      </c>
      <c r="I148" t="s">
        <v>426</v>
      </c>
      <c r="J148" t="s">
        <v>197</v>
      </c>
      <c r="K148" t="s">
        <v>552</v>
      </c>
      <c r="L148" s="38">
        <v>46191</v>
      </c>
      <c r="M148">
        <v>1</v>
      </c>
      <c r="N148" t="s">
        <v>428</v>
      </c>
      <c r="O148">
        <v>0</v>
      </c>
      <c r="P148">
        <v>-21.6</v>
      </c>
      <c r="Q148">
        <v>0</v>
      </c>
      <c r="R148">
        <v>17</v>
      </c>
      <c r="S148">
        <v>-4.5999999999999996</v>
      </c>
      <c r="T148" t="s">
        <v>234</v>
      </c>
      <c r="U148" t="s">
        <v>542</v>
      </c>
      <c r="V148" t="s">
        <v>472</v>
      </c>
      <c r="X148" t="s">
        <v>429</v>
      </c>
      <c r="Z148" s="38">
        <v>46173</v>
      </c>
      <c r="AF148" t="s">
        <v>447</v>
      </c>
      <c r="AG148" t="s">
        <v>447</v>
      </c>
    </row>
    <row r="149" spans="1:33" x14ac:dyDescent="0.25">
      <c r="A149" t="s">
        <v>318</v>
      </c>
      <c r="B149" t="s">
        <v>196</v>
      </c>
      <c r="C149" t="s">
        <v>167</v>
      </c>
      <c r="D149" t="s">
        <v>168</v>
      </c>
      <c r="E149" t="s">
        <v>483</v>
      </c>
      <c r="F149" t="s">
        <v>425</v>
      </c>
      <c r="G149" t="s">
        <v>195</v>
      </c>
      <c r="H149" t="s">
        <v>514</v>
      </c>
      <c r="I149" t="s">
        <v>426</v>
      </c>
      <c r="J149" t="s">
        <v>197</v>
      </c>
      <c r="K149" t="s">
        <v>582</v>
      </c>
      <c r="L149" s="38">
        <v>46191</v>
      </c>
      <c r="M149">
        <v>1</v>
      </c>
      <c r="N149" t="s">
        <v>428</v>
      </c>
      <c r="O149">
        <v>0</v>
      </c>
      <c r="P149">
        <v>-43.2</v>
      </c>
      <c r="Q149">
        <v>0</v>
      </c>
      <c r="R149">
        <v>51</v>
      </c>
      <c r="S149">
        <v>7.8</v>
      </c>
      <c r="T149" t="s">
        <v>234</v>
      </c>
      <c r="U149" t="s">
        <v>542</v>
      </c>
      <c r="V149" t="s">
        <v>472</v>
      </c>
      <c r="X149" t="s">
        <v>429</v>
      </c>
      <c r="Z149" s="38">
        <v>46203</v>
      </c>
      <c r="AF149" t="s">
        <v>447</v>
      </c>
      <c r="AG149" t="s">
        <v>447</v>
      </c>
    </row>
    <row r="150" spans="1:33" x14ac:dyDescent="0.25">
      <c r="A150" t="s">
        <v>318</v>
      </c>
      <c r="B150" t="s">
        <v>202</v>
      </c>
      <c r="C150" t="s">
        <v>167</v>
      </c>
      <c r="D150" t="s">
        <v>168</v>
      </c>
      <c r="E150" t="s">
        <v>170</v>
      </c>
      <c r="F150" t="s">
        <v>425</v>
      </c>
      <c r="G150" t="s">
        <v>195</v>
      </c>
      <c r="H150" t="s">
        <v>514</v>
      </c>
      <c r="I150" t="s">
        <v>426</v>
      </c>
      <c r="J150" t="s">
        <v>197</v>
      </c>
      <c r="K150" t="s">
        <v>499</v>
      </c>
      <c r="L150" s="38">
        <v>46191</v>
      </c>
      <c r="M150">
        <v>1</v>
      </c>
      <c r="N150" t="s">
        <v>428</v>
      </c>
      <c r="O150">
        <v>0</v>
      </c>
      <c r="P150">
        <v>-64.8</v>
      </c>
      <c r="Q150">
        <v>0</v>
      </c>
      <c r="R150">
        <v>68</v>
      </c>
      <c r="S150">
        <v>3.2</v>
      </c>
      <c r="T150" t="s">
        <v>234</v>
      </c>
      <c r="U150" t="s">
        <v>542</v>
      </c>
      <c r="V150" t="s">
        <v>472</v>
      </c>
      <c r="X150" t="s">
        <v>429</v>
      </c>
      <c r="Z150" s="38">
        <v>46234</v>
      </c>
      <c r="AG150" t="s">
        <v>447</v>
      </c>
    </row>
    <row r="151" spans="1:33" x14ac:dyDescent="0.25">
      <c r="A151" t="s">
        <v>318</v>
      </c>
      <c r="B151" t="s">
        <v>209</v>
      </c>
      <c r="C151" t="s">
        <v>167</v>
      </c>
      <c r="D151" t="s">
        <v>168</v>
      </c>
      <c r="E151" t="s">
        <v>170</v>
      </c>
      <c r="F151" t="s">
        <v>425</v>
      </c>
      <c r="G151" t="s">
        <v>195</v>
      </c>
      <c r="H151" t="s">
        <v>514</v>
      </c>
      <c r="I151" t="s">
        <v>426</v>
      </c>
      <c r="J151" t="s">
        <v>197</v>
      </c>
      <c r="K151" t="s">
        <v>499</v>
      </c>
      <c r="L151" s="38">
        <v>46191</v>
      </c>
      <c r="M151">
        <v>1</v>
      </c>
      <c r="N151" t="s">
        <v>428</v>
      </c>
      <c r="O151">
        <v>0</v>
      </c>
      <c r="P151">
        <v>-64.8</v>
      </c>
      <c r="Q151">
        <v>68</v>
      </c>
      <c r="R151">
        <v>0</v>
      </c>
      <c r="S151">
        <v>3.2</v>
      </c>
      <c r="T151" t="s">
        <v>234</v>
      </c>
      <c r="U151" t="s">
        <v>542</v>
      </c>
      <c r="V151" t="s">
        <v>472</v>
      </c>
      <c r="X151" t="s">
        <v>429</v>
      </c>
      <c r="Z151" s="38">
        <v>46265</v>
      </c>
      <c r="AG151" t="s">
        <v>447</v>
      </c>
    </row>
    <row r="152" spans="1:33" x14ac:dyDescent="0.25">
      <c r="A152" t="s">
        <v>318</v>
      </c>
      <c r="B152" t="s">
        <v>211</v>
      </c>
      <c r="C152" t="s">
        <v>167</v>
      </c>
      <c r="D152" t="s">
        <v>168</v>
      </c>
      <c r="E152" t="s">
        <v>170</v>
      </c>
      <c r="F152" t="s">
        <v>425</v>
      </c>
      <c r="G152" t="s">
        <v>195</v>
      </c>
      <c r="H152" t="s">
        <v>514</v>
      </c>
      <c r="I152" t="s">
        <v>426</v>
      </c>
      <c r="J152" t="s">
        <v>197</v>
      </c>
      <c r="K152" t="s">
        <v>499</v>
      </c>
      <c r="L152" s="38">
        <v>46191</v>
      </c>
      <c r="M152">
        <v>1</v>
      </c>
      <c r="N152" t="s">
        <v>428</v>
      </c>
      <c r="O152">
        <v>0</v>
      </c>
      <c r="P152">
        <v>-64.8</v>
      </c>
      <c r="Q152">
        <v>68</v>
      </c>
      <c r="R152">
        <v>0</v>
      </c>
      <c r="S152">
        <v>3.2</v>
      </c>
      <c r="T152" t="s">
        <v>234</v>
      </c>
      <c r="U152" t="s">
        <v>542</v>
      </c>
      <c r="V152" t="s">
        <v>472</v>
      </c>
      <c r="X152" t="s">
        <v>429</v>
      </c>
      <c r="Z152" s="38">
        <v>46295</v>
      </c>
      <c r="AG152" t="s">
        <v>447</v>
      </c>
    </row>
    <row r="153" spans="1:33" x14ac:dyDescent="0.25">
      <c r="A153" t="s">
        <v>318</v>
      </c>
      <c r="B153" t="s">
        <v>213</v>
      </c>
      <c r="C153" t="s">
        <v>167</v>
      </c>
      <c r="D153" t="s">
        <v>168</v>
      </c>
      <c r="E153" t="s">
        <v>170</v>
      </c>
      <c r="F153" t="s">
        <v>425</v>
      </c>
      <c r="G153" t="s">
        <v>195</v>
      </c>
      <c r="H153" t="s">
        <v>514</v>
      </c>
      <c r="I153" t="s">
        <v>426</v>
      </c>
      <c r="J153" t="s">
        <v>197</v>
      </c>
      <c r="K153" t="s">
        <v>499</v>
      </c>
      <c r="L153" s="38">
        <v>46191</v>
      </c>
      <c r="M153">
        <v>1</v>
      </c>
      <c r="N153" t="s">
        <v>428</v>
      </c>
      <c r="O153">
        <v>0</v>
      </c>
      <c r="P153">
        <v>-64.8</v>
      </c>
      <c r="Q153">
        <v>68</v>
      </c>
      <c r="R153">
        <v>0</v>
      </c>
      <c r="S153">
        <v>3.2</v>
      </c>
      <c r="T153" t="s">
        <v>234</v>
      </c>
      <c r="U153" t="s">
        <v>542</v>
      </c>
      <c r="V153" t="s">
        <v>472</v>
      </c>
      <c r="X153" t="s">
        <v>429</v>
      </c>
      <c r="Z153" s="38">
        <v>46326</v>
      </c>
      <c r="AG153" t="s">
        <v>447</v>
      </c>
    </row>
    <row r="154" spans="1:33" x14ac:dyDescent="0.25">
      <c r="A154" t="s">
        <v>318</v>
      </c>
      <c r="B154" t="s">
        <v>215</v>
      </c>
      <c r="C154" t="s">
        <v>167</v>
      </c>
      <c r="D154" t="s">
        <v>168</v>
      </c>
      <c r="E154" t="s">
        <v>170</v>
      </c>
      <c r="F154" t="s">
        <v>425</v>
      </c>
      <c r="G154" t="s">
        <v>195</v>
      </c>
      <c r="H154" t="s">
        <v>514</v>
      </c>
      <c r="I154" t="s">
        <v>426</v>
      </c>
      <c r="J154" t="s">
        <v>197</v>
      </c>
      <c r="K154" t="s">
        <v>499</v>
      </c>
      <c r="L154" s="38">
        <v>46191</v>
      </c>
      <c r="M154">
        <v>1</v>
      </c>
      <c r="N154" t="s">
        <v>428</v>
      </c>
      <c r="O154">
        <v>0</v>
      </c>
      <c r="P154">
        <v>-43.2</v>
      </c>
      <c r="Q154">
        <v>51</v>
      </c>
      <c r="R154">
        <v>0</v>
      </c>
      <c r="S154">
        <v>7.8</v>
      </c>
      <c r="T154" t="s">
        <v>234</v>
      </c>
      <c r="U154" t="s">
        <v>542</v>
      </c>
      <c r="V154" t="s">
        <v>472</v>
      </c>
      <c r="X154" t="s">
        <v>429</v>
      </c>
      <c r="Z154" s="38">
        <v>46356</v>
      </c>
      <c r="AG154" t="s">
        <v>447</v>
      </c>
    </row>
    <row r="155" spans="1:33" x14ac:dyDescent="0.25">
      <c r="A155" t="s">
        <v>318</v>
      </c>
      <c r="B155" t="s">
        <v>592</v>
      </c>
      <c r="C155" t="s">
        <v>167</v>
      </c>
      <c r="D155" t="s">
        <v>168</v>
      </c>
      <c r="E155" t="s">
        <v>445</v>
      </c>
      <c r="F155" t="s">
        <v>425</v>
      </c>
      <c r="G155" t="s">
        <v>195</v>
      </c>
      <c r="H155" t="s">
        <v>514</v>
      </c>
      <c r="I155" t="s">
        <v>426</v>
      </c>
      <c r="J155" t="s">
        <v>197</v>
      </c>
      <c r="L155" s="38">
        <v>46191</v>
      </c>
      <c r="M155">
        <v>1</v>
      </c>
      <c r="N155" t="s">
        <v>428</v>
      </c>
      <c r="O155">
        <v>0</v>
      </c>
      <c r="P155">
        <v>0</v>
      </c>
      <c r="Q155">
        <v>0</v>
      </c>
      <c r="R155">
        <v>51</v>
      </c>
      <c r="S155">
        <v>51</v>
      </c>
      <c r="T155" t="s">
        <v>234</v>
      </c>
      <c r="U155" t="s">
        <v>544</v>
      </c>
      <c r="X155" t="s">
        <v>429</v>
      </c>
      <c r="Z155" s="38">
        <v>46112</v>
      </c>
      <c r="AG155" t="s">
        <v>447</v>
      </c>
    </row>
    <row r="156" spans="1:33" x14ac:dyDescent="0.25">
      <c r="A156" t="s">
        <v>318</v>
      </c>
      <c r="B156" t="s">
        <v>593</v>
      </c>
      <c r="C156" t="s">
        <v>167</v>
      </c>
      <c r="D156" t="s">
        <v>168</v>
      </c>
      <c r="E156" t="s">
        <v>445</v>
      </c>
      <c r="F156" t="s">
        <v>425</v>
      </c>
      <c r="G156" t="s">
        <v>195</v>
      </c>
      <c r="H156" t="s">
        <v>514</v>
      </c>
      <c r="I156" t="s">
        <v>426</v>
      </c>
      <c r="J156" t="s">
        <v>197</v>
      </c>
      <c r="L156" s="38">
        <v>46191</v>
      </c>
      <c r="M156">
        <v>1</v>
      </c>
      <c r="N156" t="s">
        <v>428</v>
      </c>
      <c r="O156">
        <v>0</v>
      </c>
      <c r="P156">
        <v>0</v>
      </c>
      <c r="Q156">
        <v>0</v>
      </c>
      <c r="R156">
        <v>51</v>
      </c>
      <c r="S156">
        <v>51</v>
      </c>
      <c r="T156" t="s">
        <v>234</v>
      </c>
      <c r="U156" t="s">
        <v>544</v>
      </c>
      <c r="X156" t="s">
        <v>429</v>
      </c>
      <c r="Z156" s="38">
        <v>46142</v>
      </c>
      <c r="AG156" t="s">
        <v>447</v>
      </c>
    </row>
    <row r="157" spans="1:33" x14ac:dyDescent="0.25">
      <c r="A157" t="s">
        <v>318</v>
      </c>
      <c r="B157" t="s">
        <v>555</v>
      </c>
      <c r="C157" t="s">
        <v>167</v>
      </c>
      <c r="D157" t="s">
        <v>168</v>
      </c>
      <c r="E157" t="s">
        <v>469</v>
      </c>
      <c r="F157" t="s">
        <v>425</v>
      </c>
      <c r="G157" t="s">
        <v>195</v>
      </c>
      <c r="H157" t="s">
        <v>514</v>
      </c>
      <c r="I157" t="s">
        <v>426</v>
      </c>
      <c r="J157" t="s">
        <v>197</v>
      </c>
      <c r="K157" t="s">
        <v>554</v>
      </c>
      <c r="L157" s="38">
        <v>46191</v>
      </c>
      <c r="M157">
        <v>2</v>
      </c>
      <c r="N157" t="s">
        <v>428</v>
      </c>
      <c r="O157">
        <v>0</v>
      </c>
      <c r="P157">
        <v>-33.799999999999997</v>
      </c>
      <c r="Q157">
        <v>0</v>
      </c>
      <c r="R157">
        <v>0</v>
      </c>
      <c r="S157">
        <v>0</v>
      </c>
      <c r="T157" t="s">
        <v>234</v>
      </c>
      <c r="U157" t="s">
        <v>544</v>
      </c>
      <c r="V157" t="s">
        <v>472</v>
      </c>
      <c r="X157" t="s">
        <v>429</v>
      </c>
      <c r="Z157" s="38">
        <v>46173</v>
      </c>
      <c r="AF157" t="s">
        <v>447</v>
      </c>
      <c r="AG157" t="s">
        <v>447</v>
      </c>
    </row>
    <row r="158" spans="1:33" x14ac:dyDescent="0.25">
      <c r="A158" t="s">
        <v>318</v>
      </c>
      <c r="B158" t="s">
        <v>555</v>
      </c>
      <c r="C158" t="s">
        <v>167</v>
      </c>
      <c r="D158" t="s">
        <v>168</v>
      </c>
      <c r="E158" t="s">
        <v>469</v>
      </c>
      <c r="F158" t="s">
        <v>425</v>
      </c>
      <c r="G158" t="s">
        <v>195</v>
      </c>
      <c r="H158" t="s">
        <v>514</v>
      </c>
      <c r="I158" t="s">
        <v>426</v>
      </c>
      <c r="J158" t="s">
        <v>197</v>
      </c>
      <c r="K158" t="s">
        <v>556</v>
      </c>
      <c r="L158" s="38">
        <v>46191</v>
      </c>
      <c r="M158">
        <v>2</v>
      </c>
      <c r="N158" t="s">
        <v>428</v>
      </c>
      <c r="O158">
        <v>0</v>
      </c>
      <c r="P158">
        <v>-9.4</v>
      </c>
      <c r="Q158">
        <v>0</v>
      </c>
      <c r="R158">
        <v>51</v>
      </c>
      <c r="S158">
        <v>7.8</v>
      </c>
      <c r="T158" t="s">
        <v>234</v>
      </c>
      <c r="U158" t="s">
        <v>544</v>
      </c>
      <c r="V158" t="s">
        <v>472</v>
      </c>
      <c r="X158" t="s">
        <v>429</v>
      </c>
      <c r="Z158" s="38">
        <v>46173</v>
      </c>
      <c r="AF158" t="s">
        <v>447</v>
      </c>
      <c r="AG158" t="s">
        <v>447</v>
      </c>
    </row>
    <row r="159" spans="1:33" x14ac:dyDescent="0.25">
      <c r="A159" t="s">
        <v>318</v>
      </c>
      <c r="B159" t="s">
        <v>199</v>
      </c>
      <c r="C159" t="s">
        <v>167</v>
      </c>
      <c r="D159" t="s">
        <v>168</v>
      </c>
      <c r="E159" t="s">
        <v>483</v>
      </c>
      <c r="F159" t="s">
        <v>425</v>
      </c>
      <c r="G159" t="s">
        <v>195</v>
      </c>
      <c r="H159" t="s">
        <v>514</v>
      </c>
      <c r="I159" t="s">
        <v>426</v>
      </c>
      <c r="J159" t="s">
        <v>197</v>
      </c>
      <c r="K159" t="s">
        <v>583</v>
      </c>
      <c r="L159" s="38">
        <v>46191</v>
      </c>
      <c r="M159">
        <v>1</v>
      </c>
      <c r="N159" t="s">
        <v>428</v>
      </c>
      <c r="O159">
        <v>0</v>
      </c>
      <c r="P159">
        <v>-43.2</v>
      </c>
      <c r="Q159">
        <v>0</v>
      </c>
      <c r="R159">
        <v>51</v>
      </c>
      <c r="S159">
        <v>7.8</v>
      </c>
      <c r="T159" t="s">
        <v>234</v>
      </c>
      <c r="U159" t="s">
        <v>544</v>
      </c>
      <c r="V159" t="s">
        <v>472</v>
      </c>
      <c r="X159" t="s">
        <v>429</v>
      </c>
      <c r="Z159" s="38">
        <v>46203</v>
      </c>
      <c r="AF159" t="s">
        <v>447</v>
      </c>
      <c r="AG159" t="s">
        <v>447</v>
      </c>
    </row>
    <row r="160" spans="1:33" x14ac:dyDescent="0.25">
      <c r="A160" t="s">
        <v>318</v>
      </c>
      <c r="B160" t="s">
        <v>208</v>
      </c>
      <c r="C160" t="s">
        <v>167</v>
      </c>
      <c r="D160" t="s">
        <v>168</v>
      </c>
      <c r="E160" t="s">
        <v>170</v>
      </c>
      <c r="F160" t="s">
        <v>425</v>
      </c>
      <c r="G160" t="s">
        <v>195</v>
      </c>
      <c r="H160" t="s">
        <v>514</v>
      </c>
      <c r="I160" t="s">
        <v>426</v>
      </c>
      <c r="J160" t="s">
        <v>197</v>
      </c>
      <c r="K160" t="s">
        <v>499</v>
      </c>
      <c r="L160" s="38">
        <v>46191</v>
      </c>
      <c r="M160">
        <v>1</v>
      </c>
      <c r="N160" t="s">
        <v>428</v>
      </c>
      <c r="O160">
        <v>0</v>
      </c>
      <c r="P160">
        <v>-43.2</v>
      </c>
      <c r="Q160">
        <v>0</v>
      </c>
      <c r="R160">
        <v>51</v>
      </c>
      <c r="S160">
        <v>7.8</v>
      </c>
      <c r="T160" t="s">
        <v>234</v>
      </c>
      <c r="U160" t="s">
        <v>544</v>
      </c>
      <c r="V160" t="s">
        <v>472</v>
      </c>
      <c r="X160" t="s">
        <v>429</v>
      </c>
      <c r="Z160" s="38">
        <v>46234</v>
      </c>
      <c r="AG160" t="s">
        <v>447</v>
      </c>
    </row>
    <row r="161" spans="1:33" x14ac:dyDescent="0.25">
      <c r="A161" t="s">
        <v>318</v>
      </c>
      <c r="B161" t="s">
        <v>210</v>
      </c>
      <c r="C161" t="s">
        <v>167</v>
      </c>
      <c r="D161" t="s">
        <v>168</v>
      </c>
      <c r="E161" t="s">
        <v>170</v>
      </c>
      <c r="F161" t="s">
        <v>425</v>
      </c>
      <c r="G161" t="s">
        <v>195</v>
      </c>
      <c r="H161" t="s">
        <v>514</v>
      </c>
      <c r="I161" t="s">
        <v>426</v>
      </c>
      <c r="J161" t="s">
        <v>197</v>
      </c>
      <c r="K161" t="s">
        <v>499</v>
      </c>
      <c r="L161" s="38">
        <v>46191</v>
      </c>
      <c r="M161">
        <v>1</v>
      </c>
      <c r="N161" t="s">
        <v>428</v>
      </c>
      <c r="O161">
        <v>0</v>
      </c>
      <c r="P161">
        <v>-64.8</v>
      </c>
      <c r="Q161">
        <v>68</v>
      </c>
      <c r="R161">
        <v>0</v>
      </c>
      <c r="S161">
        <v>3.2</v>
      </c>
      <c r="T161" t="s">
        <v>234</v>
      </c>
      <c r="U161" t="s">
        <v>544</v>
      </c>
      <c r="V161" t="s">
        <v>472</v>
      </c>
      <c r="X161" t="s">
        <v>429</v>
      </c>
      <c r="Z161" s="38">
        <v>46265</v>
      </c>
      <c r="AG161" t="s">
        <v>447</v>
      </c>
    </row>
    <row r="162" spans="1:33" x14ac:dyDescent="0.25">
      <c r="A162" t="s">
        <v>318</v>
      </c>
      <c r="B162" t="s">
        <v>212</v>
      </c>
      <c r="C162" t="s">
        <v>167</v>
      </c>
      <c r="D162" t="s">
        <v>168</v>
      </c>
      <c r="E162" t="s">
        <v>170</v>
      </c>
      <c r="F162" t="s">
        <v>425</v>
      </c>
      <c r="G162" t="s">
        <v>195</v>
      </c>
      <c r="H162" t="s">
        <v>514</v>
      </c>
      <c r="I162" t="s">
        <v>426</v>
      </c>
      <c r="J162" t="s">
        <v>197</v>
      </c>
      <c r="K162" t="s">
        <v>499</v>
      </c>
      <c r="L162" s="38">
        <v>46191</v>
      </c>
      <c r="M162">
        <v>1</v>
      </c>
      <c r="N162" t="s">
        <v>428</v>
      </c>
      <c r="O162">
        <v>0</v>
      </c>
      <c r="P162">
        <v>-64.8</v>
      </c>
      <c r="Q162">
        <v>68</v>
      </c>
      <c r="R162">
        <v>0</v>
      </c>
      <c r="S162">
        <v>3.2</v>
      </c>
      <c r="T162" t="s">
        <v>234</v>
      </c>
      <c r="U162" t="s">
        <v>544</v>
      </c>
      <c r="V162" t="s">
        <v>472</v>
      </c>
      <c r="X162" t="s">
        <v>429</v>
      </c>
      <c r="Z162" s="38">
        <v>46295</v>
      </c>
      <c r="AG162" t="s">
        <v>447</v>
      </c>
    </row>
    <row r="163" spans="1:33" x14ac:dyDescent="0.25">
      <c r="A163" t="s">
        <v>318</v>
      </c>
      <c r="B163" t="s">
        <v>214</v>
      </c>
      <c r="C163" t="s">
        <v>167</v>
      </c>
      <c r="D163" t="s">
        <v>168</v>
      </c>
      <c r="E163" t="s">
        <v>170</v>
      </c>
      <c r="F163" t="s">
        <v>425</v>
      </c>
      <c r="G163" t="s">
        <v>195</v>
      </c>
      <c r="H163" t="s">
        <v>514</v>
      </c>
      <c r="I163" t="s">
        <v>426</v>
      </c>
      <c r="J163" t="s">
        <v>197</v>
      </c>
      <c r="K163" t="s">
        <v>499</v>
      </c>
      <c r="L163" s="38">
        <v>46191</v>
      </c>
      <c r="M163">
        <v>1</v>
      </c>
      <c r="N163" t="s">
        <v>428</v>
      </c>
      <c r="O163">
        <v>0</v>
      </c>
      <c r="P163">
        <v>-64.8</v>
      </c>
      <c r="Q163">
        <v>68</v>
      </c>
      <c r="R163">
        <v>0</v>
      </c>
      <c r="S163">
        <v>3.2</v>
      </c>
      <c r="T163" t="s">
        <v>234</v>
      </c>
      <c r="U163" t="s">
        <v>544</v>
      </c>
      <c r="V163" t="s">
        <v>472</v>
      </c>
      <c r="X163" t="s">
        <v>429</v>
      </c>
      <c r="Z163" s="38">
        <v>46326</v>
      </c>
      <c r="AG163" t="s">
        <v>447</v>
      </c>
    </row>
    <row r="164" spans="1:33" x14ac:dyDescent="0.25">
      <c r="A164" t="s">
        <v>318</v>
      </c>
      <c r="B164" t="s">
        <v>216</v>
      </c>
      <c r="C164" t="s">
        <v>167</v>
      </c>
      <c r="D164" t="s">
        <v>168</v>
      </c>
      <c r="E164" t="s">
        <v>170</v>
      </c>
      <c r="F164" t="s">
        <v>425</v>
      </c>
      <c r="G164" t="s">
        <v>195</v>
      </c>
      <c r="H164" t="s">
        <v>514</v>
      </c>
      <c r="I164" t="s">
        <v>426</v>
      </c>
      <c r="J164" t="s">
        <v>197</v>
      </c>
      <c r="K164" t="s">
        <v>499</v>
      </c>
      <c r="L164" s="38">
        <v>46191</v>
      </c>
      <c r="M164">
        <v>1</v>
      </c>
      <c r="N164" t="s">
        <v>428</v>
      </c>
      <c r="O164">
        <v>0</v>
      </c>
      <c r="P164">
        <v>-43.2</v>
      </c>
      <c r="Q164">
        <v>51</v>
      </c>
      <c r="R164">
        <v>0</v>
      </c>
      <c r="S164">
        <v>7.8</v>
      </c>
      <c r="T164" t="s">
        <v>234</v>
      </c>
      <c r="U164" t="s">
        <v>544</v>
      </c>
      <c r="V164" t="s">
        <v>472</v>
      </c>
      <c r="X164" t="s">
        <v>429</v>
      </c>
      <c r="Z164" s="38">
        <v>46356</v>
      </c>
      <c r="AG164" t="s">
        <v>447</v>
      </c>
    </row>
    <row r="165" spans="1:33" x14ac:dyDescent="0.25">
      <c r="A165" t="s">
        <v>318</v>
      </c>
      <c r="B165" t="s">
        <v>559</v>
      </c>
      <c r="C165" t="s">
        <v>167</v>
      </c>
      <c r="D165" t="s">
        <v>168</v>
      </c>
      <c r="E165" t="s">
        <v>445</v>
      </c>
      <c r="F165" t="s">
        <v>425</v>
      </c>
      <c r="G165" t="s">
        <v>195</v>
      </c>
      <c r="H165" t="s">
        <v>514</v>
      </c>
      <c r="I165" t="s">
        <v>426</v>
      </c>
      <c r="J165" t="s">
        <v>594</v>
      </c>
      <c r="L165" s="38">
        <v>46191</v>
      </c>
      <c r="M165">
        <v>1</v>
      </c>
      <c r="N165" t="s">
        <v>428</v>
      </c>
      <c r="O165">
        <v>0</v>
      </c>
      <c r="P165">
        <v>0</v>
      </c>
      <c r="Q165">
        <v>0</v>
      </c>
      <c r="R165">
        <v>68</v>
      </c>
      <c r="S165">
        <v>68</v>
      </c>
      <c r="T165" t="s">
        <v>228</v>
      </c>
      <c r="U165" t="s">
        <v>517</v>
      </c>
      <c r="X165" t="s">
        <v>429</v>
      </c>
      <c r="Z165" s="38">
        <v>46173</v>
      </c>
      <c r="AG165" t="s">
        <v>447</v>
      </c>
    </row>
    <row r="166" spans="1:33" x14ac:dyDescent="0.25">
      <c r="A166" t="s">
        <v>318</v>
      </c>
      <c r="B166" t="s">
        <v>595</v>
      </c>
      <c r="C166" t="s">
        <v>167</v>
      </c>
      <c r="D166" t="s">
        <v>168</v>
      </c>
      <c r="E166" t="s">
        <v>445</v>
      </c>
      <c r="F166" t="s">
        <v>425</v>
      </c>
      <c r="G166" t="s">
        <v>195</v>
      </c>
      <c r="H166" t="s">
        <v>514</v>
      </c>
      <c r="I166" t="s">
        <v>426</v>
      </c>
      <c r="J166" t="s">
        <v>242</v>
      </c>
      <c r="L166" s="38">
        <v>46191</v>
      </c>
      <c r="M166">
        <v>1</v>
      </c>
      <c r="N166" t="s">
        <v>428</v>
      </c>
      <c r="O166">
        <v>0</v>
      </c>
      <c r="P166">
        <v>0</v>
      </c>
      <c r="Q166">
        <v>0</v>
      </c>
      <c r="R166">
        <v>102</v>
      </c>
      <c r="S166">
        <v>102</v>
      </c>
      <c r="X166" t="s">
        <v>429</v>
      </c>
      <c r="Z166" s="38">
        <v>46173</v>
      </c>
      <c r="AG166" t="s">
        <v>447</v>
      </c>
    </row>
    <row r="167" spans="1:33" x14ac:dyDescent="0.25">
      <c r="A167" t="s">
        <v>318</v>
      </c>
      <c r="B167" t="s">
        <v>233</v>
      </c>
      <c r="C167" t="s">
        <v>167</v>
      </c>
      <c r="D167" t="s">
        <v>168</v>
      </c>
      <c r="E167" t="s">
        <v>483</v>
      </c>
      <c r="F167" t="s">
        <v>425</v>
      </c>
      <c r="G167" t="s">
        <v>195</v>
      </c>
      <c r="H167" t="s">
        <v>514</v>
      </c>
      <c r="I167" t="s">
        <v>426</v>
      </c>
      <c r="J167" t="s">
        <v>197</v>
      </c>
      <c r="K167" t="s">
        <v>584</v>
      </c>
      <c r="L167" s="38">
        <v>46191</v>
      </c>
      <c r="M167">
        <v>1</v>
      </c>
      <c r="N167" t="s">
        <v>428</v>
      </c>
      <c r="O167">
        <v>0</v>
      </c>
      <c r="P167">
        <v>-43.2</v>
      </c>
      <c r="Q167">
        <v>0</v>
      </c>
      <c r="R167">
        <v>51</v>
      </c>
      <c r="S167">
        <v>7.8</v>
      </c>
      <c r="T167" t="s">
        <v>234</v>
      </c>
      <c r="U167" t="s">
        <v>542</v>
      </c>
      <c r="V167" t="s">
        <v>472</v>
      </c>
      <c r="X167" t="s">
        <v>429</v>
      </c>
      <c r="Z167" s="38">
        <v>46203</v>
      </c>
      <c r="AF167" t="s">
        <v>447</v>
      </c>
      <c r="AG167" t="s">
        <v>447</v>
      </c>
    </row>
    <row r="168" spans="1:33" x14ac:dyDescent="0.25">
      <c r="A168" t="s">
        <v>318</v>
      </c>
      <c r="B168" t="s">
        <v>312</v>
      </c>
      <c r="C168" t="s">
        <v>167</v>
      </c>
      <c r="D168" t="s">
        <v>168</v>
      </c>
      <c r="E168" t="s">
        <v>170</v>
      </c>
      <c r="F168" t="s">
        <v>425</v>
      </c>
      <c r="G168" t="s">
        <v>195</v>
      </c>
      <c r="H168" t="s">
        <v>514</v>
      </c>
      <c r="I168" t="s">
        <v>426</v>
      </c>
      <c r="J168" t="s">
        <v>237</v>
      </c>
      <c r="K168" t="s">
        <v>499</v>
      </c>
      <c r="L168" s="38">
        <v>46191</v>
      </c>
      <c r="M168">
        <v>1</v>
      </c>
      <c r="N168" t="s">
        <v>428</v>
      </c>
      <c r="O168">
        <v>0</v>
      </c>
      <c r="P168">
        <v>-19.2</v>
      </c>
      <c r="Q168">
        <v>17</v>
      </c>
      <c r="R168">
        <v>0</v>
      </c>
      <c r="S168">
        <v>-2.2000000000000002</v>
      </c>
      <c r="V168" t="s">
        <v>472</v>
      </c>
      <c r="X168" t="s">
        <v>429</v>
      </c>
      <c r="Z168" s="38">
        <v>46173</v>
      </c>
      <c r="AG168" t="s">
        <v>447</v>
      </c>
    </row>
    <row r="169" spans="1:33" x14ac:dyDescent="0.25">
      <c r="A169" t="s">
        <v>318</v>
      </c>
      <c r="B169" t="s">
        <v>225</v>
      </c>
      <c r="C169" t="s">
        <v>167</v>
      </c>
      <c r="D169" t="s">
        <v>168</v>
      </c>
      <c r="E169" t="s">
        <v>483</v>
      </c>
      <c r="F169" t="s">
        <v>425</v>
      </c>
      <c r="G169" t="s">
        <v>195</v>
      </c>
      <c r="H169" t="s">
        <v>514</v>
      </c>
      <c r="I169" t="s">
        <v>426</v>
      </c>
      <c r="J169" t="s">
        <v>181</v>
      </c>
      <c r="K169" t="s">
        <v>581</v>
      </c>
      <c r="L169" s="38">
        <v>46191</v>
      </c>
      <c r="M169">
        <v>1</v>
      </c>
      <c r="N169" t="s">
        <v>428</v>
      </c>
      <c r="O169">
        <v>0</v>
      </c>
      <c r="P169">
        <v>-13.2</v>
      </c>
      <c r="Q169">
        <v>0</v>
      </c>
      <c r="R169">
        <v>17</v>
      </c>
      <c r="S169">
        <v>3.8</v>
      </c>
      <c r="V169" t="s">
        <v>472</v>
      </c>
      <c r="X169" t="s">
        <v>429</v>
      </c>
      <c r="Z169" s="38">
        <v>46173</v>
      </c>
      <c r="AF169" t="s">
        <v>447</v>
      </c>
      <c r="AG169" t="s">
        <v>447</v>
      </c>
    </row>
    <row r="170" spans="1:33" x14ac:dyDescent="0.25">
      <c r="A170" t="s">
        <v>318</v>
      </c>
      <c r="B170" t="s">
        <v>561</v>
      </c>
      <c r="C170" t="s">
        <v>167</v>
      </c>
      <c r="D170" t="s">
        <v>168</v>
      </c>
      <c r="E170" t="s">
        <v>445</v>
      </c>
      <c r="F170" t="s">
        <v>425</v>
      </c>
      <c r="G170" t="s">
        <v>195</v>
      </c>
      <c r="H170" t="s">
        <v>514</v>
      </c>
      <c r="I170" t="s">
        <v>426</v>
      </c>
      <c r="J170" t="s">
        <v>253</v>
      </c>
      <c r="L170" s="38">
        <v>46191</v>
      </c>
      <c r="M170">
        <v>1</v>
      </c>
      <c r="N170" t="s">
        <v>428</v>
      </c>
      <c r="O170">
        <v>0</v>
      </c>
      <c r="P170">
        <v>0</v>
      </c>
      <c r="Q170">
        <v>0</v>
      </c>
      <c r="R170">
        <v>17</v>
      </c>
      <c r="S170">
        <v>17</v>
      </c>
      <c r="X170" t="s">
        <v>429</v>
      </c>
      <c r="Z170" s="38">
        <v>46173</v>
      </c>
      <c r="AG170" t="s">
        <v>509</v>
      </c>
    </row>
    <row r="171" spans="1:33" x14ac:dyDescent="0.25">
      <c r="A171" t="s">
        <v>318</v>
      </c>
      <c r="B171" t="s">
        <v>596</v>
      </c>
      <c r="C171" t="s">
        <v>167</v>
      </c>
      <c r="D171" t="s">
        <v>168</v>
      </c>
      <c r="E171" t="s">
        <v>445</v>
      </c>
      <c r="F171" t="s">
        <v>425</v>
      </c>
      <c r="G171" t="s">
        <v>195</v>
      </c>
      <c r="H171" t="s">
        <v>514</v>
      </c>
      <c r="I171" t="s">
        <v>426</v>
      </c>
      <c r="J171" t="s">
        <v>285</v>
      </c>
      <c r="L171" s="38">
        <v>46191</v>
      </c>
      <c r="M171">
        <v>1</v>
      </c>
      <c r="N171" t="s">
        <v>428</v>
      </c>
      <c r="O171">
        <v>0</v>
      </c>
      <c r="P171">
        <v>0</v>
      </c>
      <c r="Q171">
        <v>0</v>
      </c>
      <c r="R171">
        <v>17</v>
      </c>
      <c r="S171">
        <v>17</v>
      </c>
      <c r="X171" t="s">
        <v>429</v>
      </c>
      <c r="Z171" s="38">
        <v>46203</v>
      </c>
      <c r="AG171" t="s">
        <v>447</v>
      </c>
    </row>
    <row r="172" spans="1:33" x14ac:dyDescent="0.25">
      <c r="A172" t="s">
        <v>318</v>
      </c>
      <c r="B172" t="s">
        <v>243</v>
      </c>
      <c r="C172" t="s">
        <v>167</v>
      </c>
      <c r="D172" t="s">
        <v>168</v>
      </c>
      <c r="E172" t="s">
        <v>170</v>
      </c>
      <c r="F172" t="s">
        <v>425</v>
      </c>
      <c r="G172" t="s">
        <v>195</v>
      </c>
      <c r="H172" t="s">
        <v>514</v>
      </c>
      <c r="I172" t="s">
        <v>426</v>
      </c>
      <c r="J172" t="s">
        <v>227</v>
      </c>
      <c r="K172" t="s">
        <v>499</v>
      </c>
      <c r="L172" s="38">
        <v>46191</v>
      </c>
      <c r="M172">
        <v>1</v>
      </c>
      <c r="N172" t="s">
        <v>428</v>
      </c>
      <c r="O172">
        <v>0</v>
      </c>
      <c r="P172">
        <v>-19.2</v>
      </c>
      <c r="Q172">
        <v>17</v>
      </c>
      <c r="R172">
        <v>0</v>
      </c>
      <c r="S172">
        <v>-2.2000000000000002</v>
      </c>
      <c r="T172" t="s">
        <v>228</v>
      </c>
      <c r="V172" t="s">
        <v>511</v>
      </c>
      <c r="X172" t="s">
        <v>429</v>
      </c>
      <c r="Z172" s="38">
        <v>46234</v>
      </c>
      <c r="AG172" t="s">
        <v>509</v>
      </c>
    </row>
    <row r="173" spans="1:33" x14ac:dyDescent="0.25">
      <c r="A173" t="s">
        <v>318</v>
      </c>
      <c r="B173" t="s">
        <v>565</v>
      </c>
      <c r="C173" t="s">
        <v>167</v>
      </c>
      <c r="D173" t="s">
        <v>168</v>
      </c>
      <c r="E173" t="s">
        <v>478</v>
      </c>
      <c r="F173" t="s">
        <v>425</v>
      </c>
      <c r="G173" t="s">
        <v>195</v>
      </c>
      <c r="H173" t="s">
        <v>514</v>
      </c>
      <c r="I173" t="s">
        <v>426</v>
      </c>
      <c r="J173" t="s">
        <v>510</v>
      </c>
      <c r="K173" t="s">
        <v>564</v>
      </c>
      <c r="L173" s="38">
        <v>46191</v>
      </c>
      <c r="M173">
        <v>1</v>
      </c>
      <c r="N173" t="s">
        <v>428</v>
      </c>
      <c r="O173">
        <v>0</v>
      </c>
      <c r="P173">
        <v>-9.6</v>
      </c>
      <c r="Q173">
        <v>0</v>
      </c>
      <c r="R173">
        <v>17</v>
      </c>
      <c r="S173">
        <v>7.4</v>
      </c>
      <c r="T173" t="s">
        <v>228</v>
      </c>
      <c r="V173" t="s">
        <v>472</v>
      </c>
      <c r="X173" t="s">
        <v>429</v>
      </c>
      <c r="Z173" s="38">
        <v>46203</v>
      </c>
      <c r="AF173" t="s">
        <v>447</v>
      </c>
      <c r="AG173" t="s">
        <v>447</v>
      </c>
    </row>
    <row r="174" spans="1:33" x14ac:dyDescent="0.25">
      <c r="A174" t="s">
        <v>318</v>
      </c>
      <c r="B174" t="s">
        <v>579</v>
      </c>
      <c r="C174" t="s">
        <v>167</v>
      </c>
      <c r="D174" t="s">
        <v>168</v>
      </c>
      <c r="E174" t="s">
        <v>478</v>
      </c>
      <c r="F174" t="s">
        <v>425</v>
      </c>
      <c r="G174" t="s">
        <v>195</v>
      </c>
      <c r="H174" t="s">
        <v>514</v>
      </c>
      <c r="I174" t="s">
        <v>426</v>
      </c>
      <c r="J174" t="s">
        <v>305</v>
      </c>
      <c r="K174" t="s">
        <v>578</v>
      </c>
      <c r="L174" s="38">
        <v>46191</v>
      </c>
      <c r="M174">
        <v>1</v>
      </c>
      <c r="N174" t="s">
        <v>428</v>
      </c>
      <c r="O174">
        <v>0</v>
      </c>
      <c r="P174">
        <v>-13.98</v>
      </c>
      <c r="Q174">
        <v>0</v>
      </c>
      <c r="R174">
        <v>17</v>
      </c>
      <c r="S174">
        <v>3.02</v>
      </c>
      <c r="V174" t="s">
        <v>472</v>
      </c>
      <c r="W174" t="s">
        <v>207</v>
      </c>
      <c r="X174" t="s">
        <v>429</v>
      </c>
      <c r="Z174" s="38">
        <v>46203</v>
      </c>
      <c r="AF174" t="s">
        <v>447</v>
      </c>
      <c r="AG174" t="s">
        <v>447</v>
      </c>
    </row>
    <row r="175" spans="1:33" x14ac:dyDescent="0.25">
      <c r="A175" t="s">
        <v>318</v>
      </c>
      <c r="B175" t="s">
        <v>577</v>
      </c>
      <c r="C175" t="s">
        <v>167</v>
      </c>
      <c r="D175" t="s">
        <v>168</v>
      </c>
      <c r="E175" t="s">
        <v>469</v>
      </c>
      <c r="F175" t="s">
        <v>425</v>
      </c>
      <c r="G175" t="s">
        <v>195</v>
      </c>
      <c r="H175" t="s">
        <v>514</v>
      </c>
      <c r="I175" t="s">
        <v>426</v>
      </c>
      <c r="J175" t="s">
        <v>305</v>
      </c>
      <c r="K175" t="s">
        <v>576</v>
      </c>
      <c r="L175" s="38">
        <v>46191</v>
      </c>
      <c r="M175">
        <v>1</v>
      </c>
      <c r="N175" t="s">
        <v>428</v>
      </c>
      <c r="O175">
        <v>0</v>
      </c>
      <c r="P175">
        <v>-16.32</v>
      </c>
      <c r="Q175">
        <v>0</v>
      </c>
      <c r="R175">
        <v>17</v>
      </c>
      <c r="S175">
        <v>0.68</v>
      </c>
      <c r="V175" t="s">
        <v>472</v>
      </c>
      <c r="W175" t="s">
        <v>207</v>
      </c>
      <c r="X175" t="s">
        <v>429</v>
      </c>
      <c r="Z175" s="38">
        <v>46203</v>
      </c>
      <c r="AF175" t="s">
        <v>447</v>
      </c>
      <c r="AG175" t="s">
        <v>447</v>
      </c>
    </row>
    <row r="176" spans="1:33" x14ac:dyDescent="0.25">
      <c r="A176" t="s">
        <v>318</v>
      </c>
      <c r="B176" t="s">
        <v>241</v>
      </c>
      <c r="C176" t="s">
        <v>167</v>
      </c>
      <c r="D176" t="s">
        <v>168</v>
      </c>
      <c r="E176" t="s">
        <v>170</v>
      </c>
      <c r="F176" t="s">
        <v>425</v>
      </c>
      <c r="G176" t="s">
        <v>195</v>
      </c>
      <c r="H176" t="s">
        <v>514</v>
      </c>
      <c r="I176" t="s">
        <v>426</v>
      </c>
      <c r="J176" t="s">
        <v>242</v>
      </c>
      <c r="K176" t="s">
        <v>499</v>
      </c>
      <c r="L176" s="38">
        <v>46191</v>
      </c>
      <c r="M176">
        <v>1</v>
      </c>
      <c r="N176" t="s">
        <v>428</v>
      </c>
      <c r="O176">
        <v>0</v>
      </c>
      <c r="P176">
        <v>-108</v>
      </c>
      <c r="Q176">
        <v>0</v>
      </c>
      <c r="R176">
        <v>102</v>
      </c>
      <c r="S176">
        <v>-6</v>
      </c>
      <c r="V176" t="s">
        <v>472</v>
      </c>
      <c r="X176" t="s">
        <v>429</v>
      </c>
      <c r="Z176" s="38">
        <v>46203</v>
      </c>
      <c r="AG176" t="s">
        <v>447</v>
      </c>
    </row>
    <row r="177" spans="1:33" x14ac:dyDescent="0.25">
      <c r="A177" t="s">
        <v>318</v>
      </c>
      <c r="B177" t="s">
        <v>597</v>
      </c>
      <c r="C177" t="s">
        <v>167</v>
      </c>
      <c r="D177" t="s">
        <v>168</v>
      </c>
      <c r="E177" t="s">
        <v>445</v>
      </c>
      <c r="F177" t="s">
        <v>425</v>
      </c>
      <c r="G177" t="s">
        <v>195</v>
      </c>
      <c r="H177" t="s">
        <v>514</v>
      </c>
      <c r="I177" t="s">
        <v>426</v>
      </c>
      <c r="J177" t="s">
        <v>285</v>
      </c>
      <c r="L177" s="38">
        <v>46191</v>
      </c>
      <c r="M177">
        <v>1</v>
      </c>
      <c r="N177" t="s">
        <v>428</v>
      </c>
      <c r="O177">
        <v>0</v>
      </c>
      <c r="P177">
        <v>0</v>
      </c>
      <c r="Q177">
        <v>0</v>
      </c>
      <c r="R177">
        <v>17</v>
      </c>
      <c r="S177">
        <v>17</v>
      </c>
      <c r="X177" t="s">
        <v>429</v>
      </c>
      <c r="Z177" s="38">
        <v>46203</v>
      </c>
      <c r="AG177" t="s">
        <v>447</v>
      </c>
    </row>
    <row r="178" spans="1:33" x14ac:dyDescent="0.25">
      <c r="A178" t="s">
        <v>318</v>
      </c>
      <c r="B178" t="s">
        <v>575</v>
      </c>
      <c r="C178" t="s">
        <v>167</v>
      </c>
      <c r="D178" t="s">
        <v>168</v>
      </c>
      <c r="E178" t="s">
        <v>478</v>
      </c>
      <c r="F178" t="s">
        <v>425</v>
      </c>
      <c r="G178" t="s">
        <v>195</v>
      </c>
      <c r="H178" t="s">
        <v>514</v>
      </c>
      <c r="I178" t="s">
        <v>426</v>
      </c>
      <c r="J178" t="s">
        <v>305</v>
      </c>
      <c r="K178" t="s">
        <v>574</v>
      </c>
      <c r="L178" s="38">
        <v>46191</v>
      </c>
      <c r="M178">
        <v>1</v>
      </c>
      <c r="N178" t="s">
        <v>428</v>
      </c>
      <c r="O178">
        <v>0</v>
      </c>
      <c r="P178">
        <v>-12.24</v>
      </c>
      <c r="Q178">
        <v>0</v>
      </c>
      <c r="R178">
        <v>17</v>
      </c>
      <c r="S178">
        <v>4.76</v>
      </c>
      <c r="V178" t="s">
        <v>472</v>
      </c>
      <c r="W178" t="s">
        <v>207</v>
      </c>
      <c r="X178" t="s">
        <v>429</v>
      </c>
      <c r="Z178" s="38">
        <v>46203</v>
      </c>
      <c r="AF178" t="s">
        <v>447</v>
      </c>
      <c r="AG178" t="s">
        <v>447</v>
      </c>
    </row>
    <row r="179" spans="1:33" x14ac:dyDescent="0.25">
      <c r="A179" t="s">
        <v>318</v>
      </c>
      <c r="B179" t="s">
        <v>239</v>
      </c>
      <c r="C179" t="s">
        <v>167</v>
      </c>
      <c r="D179" t="s">
        <v>168</v>
      </c>
      <c r="E179" t="s">
        <v>170</v>
      </c>
      <c r="F179" t="s">
        <v>425</v>
      </c>
      <c r="G179" t="s">
        <v>195</v>
      </c>
      <c r="H179" t="s">
        <v>514</v>
      </c>
      <c r="I179" t="s">
        <v>426</v>
      </c>
      <c r="J179" t="s">
        <v>181</v>
      </c>
      <c r="K179" t="s">
        <v>499</v>
      </c>
      <c r="L179" s="38">
        <v>46191</v>
      </c>
      <c r="M179">
        <v>2</v>
      </c>
      <c r="N179" t="s">
        <v>428</v>
      </c>
      <c r="O179">
        <v>0</v>
      </c>
      <c r="P179">
        <v>-38.4</v>
      </c>
      <c r="Q179">
        <v>0</v>
      </c>
      <c r="R179">
        <v>0</v>
      </c>
      <c r="S179">
        <v>0</v>
      </c>
      <c r="V179" t="s">
        <v>472</v>
      </c>
      <c r="X179" t="s">
        <v>429</v>
      </c>
      <c r="Z179" s="38">
        <v>46203</v>
      </c>
      <c r="AG179" t="s">
        <v>447</v>
      </c>
    </row>
    <row r="180" spans="1:33" x14ac:dyDescent="0.25">
      <c r="A180" t="s">
        <v>318</v>
      </c>
      <c r="B180" t="s">
        <v>239</v>
      </c>
      <c r="C180" t="s">
        <v>167</v>
      </c>
      <c r="D180" t="s">
        <v>168</v>
      </c>
      <c r="E180" t="s">
        <v>496</v>
      </c>
      <c r="F180" t="s">
        <v>425</v>
      </c>
      <c r="G180" t="s">
        <v>195</v>
      </c>
      <c r="H180" t="s">
        <v>514</v>
      </c>
      <c r="I180" t="s">
        <v>426</v>
      </c>
      <c r="J180" t="s">
        <v>181</v>
      </c>
      <c r="K180" t="s">
        <v>549</v>
      </c>
      <c r="L180" s="38">
        <v>46191</v>
      </c>
      <c r="M180">
        <v>2</v>
      </c>
      <c r="N180" t="s">
        <v>428</v>
      </c>
      <c r="O180">
        <v>0</v>
      </c>
      <c r="P180">
        <v>-38.4</v>
      </c>
      <c r="Q180">
        <v>85</v>
      </c>
      <c r="R180">
        <v>0</v>
      </c>
      <c r="S180">
        <v>8.1999999999999993</v>
      </c>
      <c r="V180" t="s">
        <v>472</v>
      </c>
      <c r="X180" t="s">
        <v>429</v>
      </c>
      <c r="Z180" s="38">
        <v>46203</v>
      </c>
      <c r="AF180" t="s">
        <v>447</v>
      </c>
      <c r="AG180" t="s">
        <v>447</v>
      </c>
    </row>
    <row r="181" spans="1:33" x14ac:dyDescent="0.25">
      <c r="A181" t="s">
        <v>318</v>
      </c>
      <c r="B181" t="s">
        <v>261</v>
      </c>
      <c r="C181" t="s">
        <v>167</v>
      </c>
      <c r="D181" t="s">
        <v>168</v>
      </c>
      <c r="E181" t="s">
        <v>483</v>
      </c>
      <c r="F181" t="s">
        <v>425</v>
      </c>
      <c r="G181" t="s">
        <v>195</v>
      </c>
      <c r="H181" t="s">
        <v>514</v>
      </c>
      <c r="I181" t="s">
        <v>426</v>
      </c>
      <c r="J181" t="s">
        <v>262</v>
      </c>
      <c r="K181" t="s">
        <v>580</v>
      </c>
      <c r="L181" s="38">
        <v>46191</v>
      </c>
      <c r="M181">
        <v>1</v>
      </c>
      <c r="N181" t="s">
        <v>428</v>
      </c>
      <c r="O181">
        <v>0</v>
      </c>
      <c r="P181">
        <v>-19.2</v>
      </c>
      <c r="Q181">
        <v>0</v>
      </c>
      <c r="R181">
        <v>17</v>
      </c>
      <c r="S181">
        <v>-2.2000000000000002</v>
      </c>
      <c r="V181" t="s">
        <v>472</v>
      </c>
      <c r="X181" t="s">
        <v>429</v>
      </c>
      <c r="Z181" s="38">
        <v>46173</v>
      </c>
      <c r="AF181" t="s">
        <v>447</v>
      </c>
      <c r="AG181" t="s">
        <v>447</v>
      </c>
    </row>
    <row r="182" spans="1:33" x14ac:dyDescent="0.25">
      <c r="A182" t="s">
        <v>318</v>
      </c>
      <c r="B182" t="s">
        <v>264</v>
      </c>
      <c r="C182" t="s">
        <v>167</v>
      </c>
      <c r="D182" t="s">
        <v>168</v>
      </c>
      <c r="E182" t="s">
        <v>170</v>
      </c>
      <c r="F182" t="s">
        <v>425</v>
      </c>
      <c r="G182" t="s">
        <v>195</v>
      </c>
      <c r="H182" t="s">
        <v>514</v>
      </c>
      <c r="I182" t="s">
        <v>426</v>
      </c>
      <c r="J182" t="s">
        <v>262</v>
      </c>
      <c r="K182" t="s">
        <v>499</v>
      </c>
      <c r="L182" s="38">
        <v>46191</v>
      </c>
      <c r="M182">
        <v>1</v>
      </c>
      <c r="N182" t="s">
        <v>428</v>
      </c>
      <c r="O182">
        <v>0</v>
      </c>
      <c r="P182">
        <v>-19.2</v>
      </c>
      <c r="Q182">
        <v>0</v>
      </c>
      <c r="R182">
        <v>17</v>
      </c>
      <c r="S182">
        <v>-2.2000000000000002</v>
      </c>
      <c r="V182" t="s">
        <v>472</v>
      </c>
      <c r="X182" t="s">
        <v>429</v>
      </c>
      <c r="Z182" s="38">
        <v>46203</v>
      </c>
      <c r="AG182" t="s">
        <v>447</v>
      </c>
    </row>
    <row r="183" spans="1:33" x14ac:dyDescent="0.25">
      <c r="A183" t="s">
        <v>318</v>
      </c>
      <c r="B183" t="s">
        <v>310</v>
      </c>
      <c r="C183" t="s">
        <v>167</v>
      </c>
      <c r="D183" t="s">
        <v>168</v>
      </c>
      <c r="E183" t="s">
        <v>170</v>
      </c>
      <c r="F183" t="s">
        <v>425</v>
      </c>
      <c r="G183" t="s">
        <v>195</v>
      </c>
      <c r="H183" t="s">
        <v>514</v>
      </c>
      <c r="I183" t="s">
        <v>426</v>
      </c>
      <c r="J183" t="s">
        <v>285</v>
      </c>
      <c r="K183" t="s">
        <v>499</v>
      </c>
      <c r="L183" s="38">
        <v>46191</v>
      </c>
      <c r="M183">
        <v>1</v>
      </c>
      <c r="N183" t="s">
        <v>428</v>
      </c>
      <c r="O183">
        <v>0</v>
      </c>
      <c r="P183">
        <v>-19.2</v>
      </c>
      <c r="Q183">
        <v>0</v>
      </c>
      <c r="R183">
        <v>17</v>
      </c>
      <c r="S183">
        <v>-2.2000000000000002</v>
      </c>
      <c r="V183" t="s">
        <v>472</v>
      </c>
      <c r="X183" t="s">
        <v>429</v>
      </c>
      <c r="Z183" s="38">
        <v>46234</v>
      </c>
      <c r="AG183" t="s">
        <v>447</v>
      </c>
    </row>
    <row r="184" spans="1:33" x14ac:dyDescent="0.25">
      <c r="A184" t="s">
        <v>318</v>
      </c>
      <c r="B184" t="s">
        <v>598</v>
      </c>
      <c r="C184" t="s">
        <v>167</v>
      </c>
      <c r="D184" t="s">
        <v>168</v>
      </c>
      <c r="E184" t="s">
        <v>445</v>
      </c>
      <c r="F184" t="s">
        <v>425</v>
      </c>
      <c r="G184" t="s">
        <v>195</v>
      </c>
      <c r="H184" t="s">
        <v>514</v>
      </c>
      <c r="I184" t="s">
        <v>426</v>
      </c>
      <c r="J184" t="s">
        <v>599</v>
      </c>
      <c r="L184" s="38">
        <v>46191</v>
      </c>
      <c r="M184">
        <v>1</v>
      </c>
      <c r="N184" t="s">
        <v>428</v>
      </c>
      <c r="O184">
        <v>0</v>
      </c>
      <c r="P184">
        <v>0</v>
      </c>
      <c r="Q184">
        <v>0</v>
      </c>
      <c r="R184">
        <v>17</v>
      </c>
      <c r="S184">
        <v>17</v>
      </c>
      <c r="U184" t="s">
        <v>471</v>
      </c>
      <c r="W184" t="s">
        <v>512</v>
      </c>
      <c r="X184" t="s">
        <v>429</v>
      </c>
      <c r="Z184" s="38">
        <v>46203</v>
      </c>
      <c r="AG184" t="s">
        <v>447</v>
      </c>
    </row>
    <row r="185" spans="1:33" x14ac:dyDescent="0.25">
      <c r="A185" t="s">
        <v>318</v>
      </c>
      <c r="B185" t="s">
        <v>1262</v>
      </c>
      <c r="C185" t="s">
        <v>167</v>
      </c>
      <c r="D185" t="s">
        <v>168</v>
      </c>
      <c r="E185" t="s">
        <v>170</v>
      </c>
      <c r="F185" t="s">
        <v>425</v>
      </c>
      <c r="G185" t="s">
        <v>195</v>
      </c>
      <c r="H185" t="s">
        <v>514</v>
      </c>
      <c r="I185" t="s">
        <v>426</v>
      </c>
      <c r="J185" t="s">
        <v>242</v>
      </c>
      <c r="K185" t="s">
        <v>499</v>
      </c>
      <c r="L185" s="38">
        <v>46191</v>
      </c>
      <c r="M185">
        <v>1</v>
      </c>
      <c r="N185" t="s">
        <v>428</v>
      </c>
      <c r="O185">
        <v>0</v>
      </c>
      <c r="P185">
        <v>-108</v>
      </c>
      <c r="Q185">
        <v>102</v>
      </c>
      <c r="R185">
        <v>0</v>
      </c>
      <c r="S185">
        <v>-6</v>
      </c>
      <c r="V185" t="s">
        <v>612</v>
      </c>
      <c r="X185" t="s">
        <v>429</v>
      </c>
      <c r="Z185" s="38">
        <v>46295</v>
      </c>
      <c r="AG185" t="s">
        <v>507</v>
      </c>
    </row>
    <row r="186" spans="1:33" x14ac:dyDescent="0.25">
      <c r="A186" t="s">
        <v>318</v>
      </c>
      <c r="B186" t="s">
        <v>1257</v>
      </c>
      <c r="C186" t="s">
        <v>167</v>
      </c>
      <c r="D186" t="s">
        <v>168</v>
      </c>
      <c r="E186" t="s">
        <v>170</v>
      </c>
      <c r="F186" t="s">
        <v>425</v>
      </c>
      <c r="G186" t="s">
        <v>195</v>
      </c>
      <c r="H186" t="s">
        <v>514</v>
      </c>
      <c r="I186" t="s">
        <v>426</v>
      </c>
      <c r="J186" t="s">
        <v>242</v>
      </c>
      <c r="K186" t="s">
        <v>499</v>
      </c>
      <c r="L186" s="38">
        <v>46191</v>
      </c>
      <c r="M186">
        <v>1</v>
      </c>
      <c r="N186" t="s">
        <v>428</v>
      </c>
      <c r="O186">
        <v>0</v>
      </c>
      <c r="P186">
        <v>-108</v>
      </c>
      <c r="Q186">
        <v>102</v>
      </c>
      <c r="R186">
        <v>0</v>
      </c>
      <c r="S186">
        <v>-6</v>
      </c>
      <c r="T186" t="s">
        <v>1260</v>
      </c>
      <c r="V186" t="s">
        <v>612</v>
      </c>
      <c r="X186" t="s">
        <v>429</v>
      </c>
      <c r="Z186" s="38">
        <v>46265</v>
      </c>
      <c r="AG186" t="s">
        <v>507</v>
      </c>
    </row>
    <row r="187" spans="1:33" x14ac:dyDescent="0.25">
      <c r="A187" t="s">
        <v>318</v>
      </c>
      <c r="B187" t="s">
        <v>1263</v>
      </c>
      <c r="C187" t="s">
        <v>167</v>
      </c>
      <c r="D187" t="s">
        <v>168</v>
      </c>
      <c r="E187" t="s">
        <v>170</v>
      </c>
      <c r="F187" t="s">
        <v>425</v>
      </c>
      <c r="G187" t="s">
        <v>195</v>
      </c>
      <c r="H187" t="s">
        <v>514</v>
      </c>
      <c r="I187" t="s">
        <v>426</v>
      </c>
      <c r="J187" t="s">
        <v>242</v>
      </c>
      <c r="K187" t="s">
        <v>499</v>
      </c>
      <c r="L187" s="38">
        <v>46191</v>
      </c>
      <c r="M187">
        <v>1</v>
      </c>
      <c r="N187" t="s">
        <v>428</v>
      </c>
      <c r="O187">
        <v>0</v>
      </c>
      <c r="P187">
        <v>-108</v>
      </c>
      <c r="Q187">
        <v>102</v>
      </c>
      <c r="R187">
        <v>0</v>
      </c>
      <c r="S187">
        <v>-6</v>
      </c>
      <c r="T187" t="s">
        <v>1260</v>
      </c>
      <c r="V187" t="s">
        <v>612</v>
      </c>
      <c r="X187" t="s">
        <v>429</v>
      </c>
      <c r="Z187" s="38">
        <v>46295</v>
      </c>
      <c r="AG187" t="s">
        <v>507</v>
      </c>
    </row>
    <row r="188" spans="1:33" x14ac:dyDescent="0.25">
      <c r="A188" t="s">
        <v>318</v>
      </c>
      <c r="B188" t="s">
        <v>600</v>
      </c>
      <c r="C188" t="s">
        <v>167</v>
      </c>
      <c r="D188" t="s">
        <v>168</v>
      </c>
      <c r="E188" t="s">
        <v>445</v>
      </c>
      <c r="F188" t="s">
        <v>425</v>
      </c>
      <c r="G188" t="s">
        <v>195</v>
      </c>
      <c r="H188" t="s">
        <v>514</v>
      </c>
      <c r="I188" t="s">
        <v>426</v>
      </c>
      <c r="J188" t="s">
        <v>494</v>
      </c>
      <c r="L188" s="38">
        <v>46191</v>
      </c>
      <c r="M188">
        <v>1</v>
      </c>
      <c r="N188" t="s">
        <v>428</v>
      </c>
      <c r="O188">
        <v>0</v>
      </c>
      <c r="P188">
        <v>0</v>
      </c>
      <c r="Q188">
        <v>0</v>
      </c>
      <c r="R188">
        <v>17</v>
      </c>
      <c r="S188">
        <v>17</v>
      </c>
      <c r="U188" t="s">
        <v>471</v>
      </c>
      <c r="W188" t="s">
        <v>495</v>
      </c>
      <c r="X188" t="s">
        <v>429</v>
      </c>
      <c r="Z188" s="38">
        <v>46128</v>
      </c>
      <c r="AG188" t="s">
        <v>447</v>
      </c>
    </row>
    <row r="189" spans="1:33" x14ac:dyDescent="0.25">
      <c r="A189" t="s">
        <v>318</v>
      </c>
      <c r="B189" t="s">
        <v>601</v>
      </c>
      <c r="C189" t="s">
        <v>167</v>
      </c>
      <c r="D189" t="s">
        <v>168</v>
      </c>
      <c r="E189" t="s">
        <v>424</v>
      </c>
      <c r="F189" t="s">
        <v>425</v>
      </c>
      <c r="G189" t="s">
        <v>224</v>
      </c>
      <c r="H189" t="s">
        <v>602</v>
      </c>
      <c r="I189" t="s">
        <v>426</v>
      </c>
      <c r="J189" t="s">
        <v>455</v>
      </c>
      <c r="L189" s="38">
        <v>46191</v>
      </c>
      <c r="M189">
        <v>1</v>
      </c>
      <c r="N189" t="s">
        <v>428</v>
      </c>
      <c r="O189">
        <v>1.76</v>
      </c>
      <c r="P189">
        <v>0</v>
      </c>
      <c r="Q189">
        <v>0</v>
      </c>
      <c r="R189">
        <v>0</v>
      </c>
      <c r="S189">
        <v>1.76</v>
      </c>
      <c r="U189" t="s">
        <v>432</v>
      </c>
      <c r="X189" t="s">
        <v>429</v>
      </c>
      <c r="Z189" s="38">
        <v>44740</v>
      </c>
      <c r="AF189" t="s">
        <v>433</v>
      </c>
    </row>
    <row r="190" spans="1:33" x14ac:dyDescent="0.25">
      <c r="A190" t="s">
        <v>318</v>
      </c>
      <c r="B190" t="s">
        <v>603</v>
      </c>
      <c r="C190" t="s">
        <v>167</v>
      </c>
      <c r="D190" t="s">
        <v>168</v>
      </c>
      <c r="E190" t="s">
        <v>424</v>
      </c>
      <c r="F190" t="s">
        <v>425</v>
      </c>
      <c r="G190" t="s">
        <v>224</v>
      </c>
      <c r="H190" t="s">
        <v>602</v>
      </c>
      <c r="I190" t="s">
        <v>426</v>
      </c>
      <c r="J190" t="s">
        <v>455</v>
      </c>
      <c r="L190" s="38">
        <v>46191</v>
      </c>
      <c r="M190">
        <v>1</v>
      </c>
      <c r="N190" t="s">
        <v>428</v>
      </c>
      <c r="O190">
        <v>0.02</v>
      </c>
      <c r="P190">
        <v>0</v>
      </c>
      <c r="Q190">
        <v>0</v>
      </c>
      <c r="R190">
        <v>0</v>
      </c>
      <c r="S190">
        <v>0.02</v>
      </c>
      <c r="U190" t="s">
        <v>517</v>
      </c>
      <c r="X190" t="s">
        <v>429</v>
      </c>
      <c r="Z190" s="38">
        <v>45260</v>
      </c>
      <c r="AF190" t="s">
        <v>458</v>
      </c>
    </row>
    <row r="191" spans="1:33" x14ac:dyDescent="0.25">
      <c r="A191" t="s">
        <v>318</v>
      </c>
      <c r="B191" t="s">
        <v>604</v>
      </c>
      <c r="C191" t="s">
        <v>167</v>
      </c>
      <c r="D191" t="s">
        <v>168</v>
      </c>
      <c r="E191" t="s">
        <v>445</v>
      </c>
      <c r="F191" t="s">
        <v>425</v>
      </c>
      <c r="G191" t="s">
        <v>224</v>
      </c>
      <c r="H191" t="s">
        <v>602</v>
      </c>
      <c r="I191" t="s">
        <v>426</v>
      </c>
      <c r="J191" t="s">
        <v>464</v>
      </c>
      <c r="L191" s="38">
        <v>46191</v>
      </c>
      <c r="M191">
        <v>1</v>
      </c>
      <c r="N191" t="s">
        <v>428</v>
      </c>
      <c r="O191">
        <v>0</v>
      </c>
      <c r="P191">
        <v>0</v>
      </c>
      <c r="Q191">
        <v>0</v>
      </c>
      <c r="R191">
        <v>0</v>
      </c>
      <c r="S191">
        <v>0</v>
      </c>
      <c r="X191" t="s">
        <v>429</v>
      </c>
      <c r="Z191" s="38">
        <v>46173</v>
      </c>
      <c r="AF191" t="s">
        <v>447</v>
      </c>
    </row>
    <row r="192" spans="1:33" x14ac:dyDescent="0.25">
      <c r="A192" t="s">
        <v>318</v>
      </c>
      <c r="B192" t="s">
        <v>605</v>
      </c>
      <c r="C192" t="s">
        <v>167</v>
      </c>
      <c r="D192" t="s">
        <v>168</v>
      </c>
      <c r="E192" t="s">
        <v>445</v>
      </c>
      <c r="F192" t="s">
        <v>425</v>
      </c>
      <c r="G192" t="s">
        <v>224</v>
      </c>
      <c r="H192" t="s">
        <v>602</v>
      </c>
      <c r="I192" t="s">
        <v>426</v>
      </c>
      <c r="J192" t="s">
        <v>455</v>
      </c>
      <c r="L192" s="38">
        <v>46191</v>
      </c>
      <c r="M192">
        <v>1</v>
      </c>
      <c r="N192" t="s">
        <v>428</v>
      </c>
      <c r="O192">
        <v>0</v>
      </c>
      <c r="P192">
        <v>0</v>
      </c>
      <c r="Q192">
        <v>0</v>
      </c>
      <c r="R192">
        <v>-17</v>
      </c>
      <c r="S192">
        <v>-17</v>
      </c>
      <c r="U192" t="s">
        <v>542</v>
      </c>
      <c r="W192" t="s">
        <v>207</v>
      </c>
      <c r="X192" t="s">
        <v>429</v>
      </c>
      <c r="Z192" s="38">
        <v>46173</v>
      </c>
      <c r="AF192" t="s">
        <v>447</v>
      </c>
    </row>
    <row r="193" spans="1:33" x14ac:dyDescent="0.25">
      <c r="A193" t="s">
        <v>318</v>
      </c>
      <c r="B193" t="s">
        <v>606</v>
      </c>
      <c r="C193" t="s">
        <v>167</v>
      </c>
      <c r="D193" t="s">
        <v>168</v>
      </c>
      <c r="E193" t="s">
        <v>445</v>
      </c>
      <c r="F193" t="s">
        <v>425</v>
      </c>
      <c r="G193" t="s">
        <v>224</v>
      </c>
      <c r="H193" t="s">
        <v>602</v>
      </c>
      <c r="I193" t="s">
        <v>426</v>
      </c>
      <c r="J193" t="s">
        <v>464</v>
      </c>
      <c r="L193" s="38">
        <v>46191</v>
      </c>
      <c r="M193">
        <v>1</v>
      </c>
      <c r="N193" t="s">
        <v>428</v>
      </c>
      <c r="O193">
        <v>0</v>
      </c>
      <c r="P193">
        <v>0</v>
      </c>
      <c r="Q193">
        <v>0</v>
      </c>
      <c r="R193">
        <v>-51</v>
      </c>
      <c r="S193">
        <v>-51</v>
      </c>
      <c r="X193" t="s">
        <v>429</v>
      </c>
      <c r="Z193" s="38">
        <v>46173</v>
      </c>
      <c r="AF193" t="s">
        <v>447</v>
      </c>
    </row>
    <row r="194" spans="1:33" x14ac:dyDescent="0.25">
      <c r="A194" t="s">
        <v>318</v>
      </c>
      <c r="B194" t="s">
        <v>608</v>
      </c>
      <c r="C194" t="s">
        <v>167</v>
      </c>
      <c r="D194" t="s">
        <v>168</v>
      </c>
      <c r="E194" t="s">
        <v>478</v>
      </c>
      <c r="F194" t="s">
        <v>425</v>
      </c>
      <c r="G194" t="s">
        <v>224</v>
      </c>
      <c r="H194" t="s">
        <v>602</v>
      </c>
      <c r="I194" t="s">
        <v>426</v>
      </c>
      <c r="J194" t="s">
        <v>464</v>
      </c>
      <c r="K194" t="s">
        <v>236</v>
      </c>
      <c r="L194" s="38">
        <v>46191</v>
      </c>
      <c r="M194">
        <v>1</v>
      </c>
      <c r="N194" t="s">
        <v>428</v>
      </c>
      <c r="O194">
        <v>42.92</v>
      </c>
      <c r="P194">
        <v>0</v>
      </c>
      <c r="Q194">
        <v>0</v>
      </c>
      <c r="R194">
        <v>-51</v>
      </c>
      <c r="S194">
        <v>-8.08</v>
      </c>
      <c r="V194" t="s">
        <v>472</v>
      </c>
      <c r="X194" t="s">
        <v>429</v>
      </c>
      <c r="Z194" s="38">
        <v>46173</v>
      </c>
      <c r="AF194" t="s">
        <v>447</v>
      </c>
      <c r="AG194" t="s">
        <v>447</v>
      </c>
    </row>
    <row r="195" spans="1:33" x14ac:dyDescent="0.25">
      <c r="A195" t="s">
        <v>318</v>
      </c>
      <c r="B195" t="s">
        <v>609</v>
      </c>
      <c r="C195" t="s">
        <v>167</v>
      </c>
      <c r="D195" t="s">
        <v>168</v>
      </c>
      <c r="E195" t="s">
        <v>478</v>
      </c>
      <c r="F195" t="s">
        <v>425</v>
      </c>
      <c r="G195" t="s">
        <v>224</v>
      </c>
      <c r="H195" t="s">
        <v>602</v>
      </c>
      <c r="I195" t="s">
        <v>426</v>
      </c>
      <c r="J195" t="s">
        <v>455</v>
      </c>
      <c r="K195" t="s">
        <v>236</v>
      </c>
      <c r="L195" s="38">
        <v>46191</v>
      </c>
      <c r="M195">
        <v>1</v>
      </c>
      <c r="N195" t="s">
        <v>428</v>
      </c>
      <c r="O195">
        <v>33.880000000000003</v>
      </c>
      <c r="P195">
        <v>0</v>
      </c>
      <c r="Q195">
        <v>0</v>
      </c>
      <c r="R195">
        <v>0</v>
      </c>
      <c r="S195">
        <v>33.880000000000003</v>
      </c>
      <c r="V195" t="s">
        <v>472</v>
      </c>
      <c r="X195" t="s">
        <v>429</v>
      </c>
      <c r="Z195" s="38">
        <v>46173</v>
      </c>
      <c r="AF195" t="s">
        <v>447</v>
      </c>
      <c r="AG195" t="s">
        <v>447</v>
      </c>
    </row>
    <row r="196" spans="1:33" x14ac:dyDescent="0.25">
      <c r="A196" t="s">
        <v>318</v>
      </c>
      <c r="B196" t="s">
        <v>610</v>
      </c>
      <c r="C196" t="s">
        <v>167</v>
      </c>
      <c r="D196" t="s">
        <v>168</v>
      </c>
      <c r="E196" t="s">
        <v>445</v>
      </c>
      <c r="F196" t="s">
        <v>425</v>
      </c>
      <c r="G196" t="s">
        <v>224</v>
      </c>
      <c r="H196" t="s">
        <v>602</v>
      </c>
      <c r="I196" t="s">
        <v>426</v>
      </c>
      <c r="J196" t="s">
        <v>611</v>
      </c>
      <c r="L196" s="38">
        <v>46191</v>
      </c>
      <c r="M196">
        <v>1</v>
      </c>
      <c r="N196" t="s">
        <v>428</v>
      </c>
      <c r="O196">
        <v>0</v>
      </c>
      <c r="P196">
        <v>0</v>
      </c>
      <c r="Q196">
        <v>0</v>
      </c>
      <c r="R196">
        <v>17</v>
      </c>
      <c r="S196">
        <v>17</v>
      </c>
      <c r="U196" t="s">
        <v>542</v>
      </c>
      <c r="X196" t="s">
        <v>429</v>
      </c>
      <c r="Z196" s="38">
        <v>46173</v>
      </c>
      <c r="AG196" t="s">
        <v>447</v>
      </c>
    </row>
    <row r="197" spans="1:33" x14ac:dyDescent="0.25">
      <c r="A197" t="s">
        <v>318</v>
      </c>
      <c r="B197" t="s">
        <v>607</v>
      </c>
      <c r="C197" t="s">
        <v>167</v>
      </c>
      <c r="D197" t="s">
        <v>168</v>
      </c>
      <c r="E197" t="s">
        <v>445</v>
      </c>
      <c r="F197" t="s">
        <v>425</v>
      </c>
      <c r="G197" t="s">
        <v>224</v>
      </c>
      <c r="H197" t="s">
        <v>602</v>
      </c>
      <c r="I197" t="s">
        <v>426</v>
      </c>
      <c r="J197" t="s">
        <v>248</v>
      </c>
      <c r="L197" s="38">
        <v>46191</v>
      </c>
      <c r="M197">
        <v>1</v>
      </c>
      <c r="N197" t="s">
        <v>428</v>
      </c>
      <c r="O197">
        <v>0</v>
      </c>
      <c r="P197">
        <v>0</v>
      </c>
      <c r="Q197">
        <v>0</v>
      </c>
      <c r="R197">
        <v>51</v>
      </c>
      <c r="S197">
        <v>51</v>
      </c>
      <c r="X197" t="s">
        <v>429</v>
      </c>
      <c r="Z197" s="38">
        <v>46173</v>
      </c>
      <c r="AG197" t="s">
        <v>447</v>
      </c>
    </row>
    <row r="198" spans="1:33" x14ac:dyDescent="0.25">
      <c r="A198" t="s">
        <v>318</v>
      </c>
      <c r="B198" t="s">
        <v>265</v>
      </c>
      <c r="C198" t="s">
        <v>167</v>
      </c>
      <c r="D198" t="s">
        <v>168</v>
      </c>
      <c r="E198" t="s">
        <v>170</v>
      </c>
      <c r="F198" t="s">
        <v>425</v>
      </c>
      <c r="G198" t="s">
        <v>224</v>
      </c>
      <c r="H198" t="s">
        <v>602</v>
      </c>
      <c r="I198" t="s">
        <v>426</v>
      </c>
      <c r="J198" t="s">
        <v>248</v>
      </c>
      <c r="K198" t="s">
        <v>499</v>
      </c>
      <c r="L198" s="38">
        <v>46191</v>
      </c>
      <c r="M198">
        <v>1</v>
      </c>
      <c r="N198" t="s">
        <v>428</v>
      </c>
      <c r="O198">
        <v>0</v>
      </c>
      <c r="P198">
        <v>-50.4</v>
      </c>
      <c r="Q198">
        <v>0</v>
      </c>
      <c r="R198">
        <v>51</v>
      </c>
      <c r="S198">
        <v>0.6</v>
      </c>
      <c r="V198" t="s">
        <v>472</v>
      </c>
      <c r="X198" t="s">
        <v>429</v>
      </c>
      <c r="Z198" s="38">
        <v>46203</v>
      </c>
      <c r="AG198" t="s">
        <v>447</v>
      </c>
    </row>
    <row r="199" spans="1:33" x14ac:dyDescent="0.25">
      <c r="A199" t="s">
        <v>318</v>
      </c>
      <c r="B199" t="s">
        <v>236</v>
      </c>
      <c r="C199" t="s">
        <v>167</v>
      </c>
      <c r="D199" t="s">
        <v>168</v>
      </c>
      <c r="E199" t="s">
        <v>478</v>
      </c>
      <c r="F199" t="s">
        <v>425</v>
      </c>
      <c r="G199" t="s">
        <v>224</v>
      </c>
      <c r="H199" t="s">
        <v>602</v>
      </c>
      <c r="I199" t="s">
        <v>426</v>
      </c>
      <c r="J199" t="s">
        <v>237</v>
      </c>
      <c r="K199" t="s">
        <v>608</v>
      </c>
      <c r="L199" s="38">
        <v>46191</v>
      </c>
      <c r="M199">
        <v>2</v>
      </c>
      <c r="N199" t="s">
        <v>428</v>
      </c>
      <c r="O199">
        <v>0</v>
      </c>
      <c r="P199">
        <v>-42.92</v>
      </c>
      <c r="Q199">
        <v>0</v>
      </c>
      <c r="R199">
        <v>0</v>
      </c>
      <c r="S199">
        <v>0</v>
      </c>
      <c r="V199" t="s">
        <v>472</v>
      </c>
      <c r="X199" t="s">
        <v>429</v>
      </c>
      <c r="Z199" s="38">
        <v>46173</v>
      </c>
      <c r="AF199" t="s">
        <v>447</v>
      </c>
      <c r="AG199" t="s">
        <v>447</v>
      </c>
    </row>
    <row r="200" spans="1:33" x14ac:dyDescent="0.25">
      <c r="A200" t="s">
        <v>318</v>
      </c>
      <c r="B200" t="s">
        <v>236</v>
      </c>
      <c r="C200" t="s">
        <v>167</v>
      </c>
      <c r="D200" t="s">
        <v>168</v>
      </c>
      <c r="E200" t="s">
        <v>478</v>
      </c>
      <c r="F200" t="s">
        <v>425</v>
      </c>
      <c r="G200" t="s">
        <v>224</v>
      </c>
      <c r="H200" t="s">
        <v>602</v>
      </c>
      <c r="I200" t="s">
        <v>426</v>
      </c>
      <c r="J200" t="s">
        <v>237</v>
      </c>
      <c r="K200" t="s">
        <v>609</v>
      </c>
      <c r="L200" s="38">
        <v>46191</v>
      </c>
      <c r="M200">
        <v>2</v>
      </c>
      <c r="N200" t="s">
        <v>428</v>
      </c>
      <c r="O200">
        <v>0</v>
      </c>
      <c r="P200">
        <v>-33.880000000000003</v>
      </c>
      <c r="Q200">
        <v>85</v>
      </c>
      <c r="R200">
        <v>0</v>
      </c>
      <c r="S200">
        <v>8.1999999999999993</v>
      </c>
      <c r="V200" t="s">
        <v>472</v>
      </c>
      <c r="X200" t="s">
        <v>429</v>
      </c>
      <c r="Z200" s="38">
        <v>46173</v>
      </c>
      <c r="AF200" t="s">
        <v>447</v>
      </c>
      <c r="AG200" t="s">
        <v>447</v>
      </c>
    </row>
    <row r="201" spans="1:33" x14ac:dyDescent="0.25">
      <c r="A201" t="s">
        <v>318</v>
      </c>
      <c r="B201" t="s">
        <v>307</v>
      </c>
      <c r="C201" t="s">
        <v>167</v>
      </c>
      <c r="D201" t="s">
        <v>168</v>
      </c>
      <c r="E201" t="s">
        <v>170</v>
      </c>
      <c r="F201" t="s">
        <v>425</v>
      </c>
      <c r="G201" t="s">
        <v>224</v>
      </c>
      <c r="H201" t="s">
        <v>602</v>
      </c>
      <c r="I201" t="s">
        <v>426</v>
      </c>
      <c r="J201" t="s">
        <v>308</v>
      </c>
      <c r="K201" t="s">
        <v>499</v>
      </c>
      <c r="L201" s="38">
        <v>46191</v>
      </c>
      <c r="M201">
        <v>1</v>
      </c>
      <c r="N201" t="s">
        <v>428</v>
      </c>
      <c r="O201">
        <v>0</v>
      </c>
      <c r="P201">
        <v>-21.6</v>
      </c>
      <c r="Q201">
        <v>17</v>
      </c>
      <c r="R201">
        <v>0</v>
      </c>
      <c r="S201">
        <v>-4.5999999999999996</v>
      </c>
      <c r="U201" t="s">
        <v>517</v>
      </c>
      <c r="V201" t="s">
        <v>612</v>
      </c>
      <c r="X201" t="s">
        <v>429</v>
      </c>
      <c r="Z201" s="38">
        <v>46218</v>
      </c>
      <c r="AG201" t="s">
        <v>507</v>
      </c>
    </row>
    <row r="202" spans="1:33" x14ac:dyDescent="0.25">
      <c r="A202" t="s">
        <v>318</v>
      </c>
      <c r="B202" t="s">
        <v>613</v>
      </c>
      <c r="C202" t="s">
        <v>167</v>
      </c>
      <c r="D202" t="s">
        <v>168</v>
      </c>
      <c r="E202" t="s">
        <v>424</v>
      </c>
      <c r="F202" t="s">
        <v>425</v>
      </c>
      <c r="G202" t="s">
        <v>614</v>
      </c>
      <c r="H202" t="s">
        <v>615</v>
      </c>
      <c r="I202" t="s">
        <v>426</v>
      </c>
      <c r="J202" t="s">
        <v>519</v>
      </c>
      <c r="L202" s="38">
        <v>46191</v>
      </c>
      <c r="M202">
        <v>1</v>
      </c>
      <c r="N202" t="s">
        <v>428</v>
      </c>
      <c r="O202">
        <v>0.16</v>
      </c>
      <c r="P202">
        <v>0</v>
      </c>
      <c r="Q202">
        <v>0</v>
      </c>
      <c r="R202">
        <v>0</v>
      </c>
      <c r="S202">
        <v>0.16</v>
      </c>
      <c r="X202" t="s">
        <v>429</v>
      </c>
      <c r="Z202" s="38">
        <v>45596</v>
      </c>
      <c r="AF202" t="s">
        <v>440</v>
      </c>
    </row>
    <row r="203" spans="1:33" x14ac:dyDescent="0.25">
      <c r="A203" t="s">
        <v>318</v>
      </c>
      <c r="B203" t="s">
        <v>616</v>
      </c>
      <c r="C203" t="s">
        <v>167</v>
      </c>
      <c r="D203" t="s">
        <v>168</v>
      </c>
      <c r="E203" t="s">
        <v>424</v>
      </c>
      <c r="F203" t="s">
        <v>425</v>
      </c>
      <c r="G203" t="s">
        <v>614</v>
      </c>
      <c r="H203" t="s">
        <v>615</v>
      </c>
      <c r="I203" t="s">
        <v>426</v>
      </c>
      <c r="J203" t="s">
        <v>519</v>
      </c>
      <c r="L203" s="38">
        <v>46191</v>
      </c>
      <c r="M203">
        <v>1</v>
      </c>
      <c r="N203" t="s">
        <v>428</v>
      </c>
      <c r="O203">
        <v>0.06</v>
      </c>
      <c r="P203">
        <v>0</v>
      </c>
      <c r="Q203">
        <v>0</v>
      </c>
      <c r="R203">
        <v>0</v>
      </c>
      <c r="S203">
        <v>0.06</v>
      </c>
      <c r="W203" t="s">
        <v>207</v>
      </c>
      <c r="X203" t="s">
        <v>429</v>
      </c>
      <c r="Z203" s="38">
        <v>45716</v>
      </c>
      <c r="AF203" t="s">
        <v>440</v>
      </c>
    </row>
    <row r="204" spans="1:33" x14ac:dyDescent="0.25">
      <c r="A204" t="s">
        <v>318</v>
      </c>
      <c r="B204" t="s">
        <v>617</v>
      </c>
      <c r="C204" t="s">
        <v>167</v>
      </c>
      <c r="D204" t="s">
        <v>168</v>
      </c>
      <c r="E204" t="s">
        <v>424</v>
      </c>
      <c r="F204" t="s">
        <v>425</v>
      </c>
      <c r="G204" t="s">
        <v>614</v>
      </c>
      <c r="H204" t="s">
        <v>615</v>
      </c>
      <c r="I204" t="s">
        <v>426</v>
      </c>
      <c r="J204" t="s">
        <v>439</v>
      </c>
      <c r="L204" s="38">
        <v>46191</v>
      </c>
      <c r="M204">
        <v>1</v>
      </c>
      <c r="N204" t="s">
        <v>428</v>
      </c>
      <c r="O204">
        <v>2.64</v>
      </c>
      <c r="P204">
        <v>0</v>
      </c>
      <c r="Q204">
        <v>0</v>
      </c>
      <c r="R204">
        <v>0</v>
      </c>
      <c r="S204">
        <v>2.64</v>
      </c>
      <c r="X204" t="s">
        <v>429</v>
      </c>
      <c r="Z204" s="38">
        <v>45747</v>
      </c>
      <c r="AF204" t="s">
        <v>440</v>
      </c>
    </row>
    <row r="205" spans="1:33" x14ac:dyDescent="0.25">
      <c r="A205" t="s">
        <v>318</v>
      </c>
      <c r="B205" t="s">
        <v>618</v>
      </c>
      <c r="C205" t="s">
        <v>167</v>
      </c>
      <c r="D205" t="s">
        <v>168</v>
      </c>
      <c r="E205" t="s">
        <v>424</v>
      </c>
      <c r="F205" t="s">
        <v>425</v>
      </c>
      <c r="G205" t="s">
        <v>614</v>
      </c>
      <c r="H205" t="s">
        <v>615</v>
      </c>
      <c r="I205" t="s">
        <v>426</v>
      </c>
      <c r="J205" t="s">
        <v>439</v>
      </c>
      <c r="L205" s="38">
        <v>46191</v>
      </c>
      <c r="M205">
        <v>1</v>
      </c>
      <c r="N205" t="s">
        <v>428</v>
      </c>
      <c r="O205">
        <v>1.76</v>
      </c>
      <c r="P205">
        <v>0</v>
      </c>
      <c r="Q205">
        <v>0</v>
      </c>
      <c r="R205">
        <v>0</v>
      </c>
      <c r="S205">
        <v>1.76</v>
      </c>
      <c r="X205" t="s">
        <v>429</v>
      </c>
      <c r="Z205" s="38">
        <v>45747</v>
      </c>
      <c r="AF205" t="s">
        <v>440</v>
      </c>
    </row>
    <row r="206" spans="1:33" x14ac:dyDescent="0.25">
      <c r="A206" t="s">
        <v>318</v>
      </c>
      <c r="B206" t="s">
        <v>619</v>
      </c>
      <c r="C206" t="s">
        <v>167</v>
      </c>
      <c r="D206" t="s">
        <v>168</v>
      </c>
      <c r="E206" t="s">
        <v>424</v>
      </c>
      <c r="F206" t="s">
        <v>425</v>
      </c>
      <c r="G206" t="s">
        <v>614</v>
      </c>
      <c r="H206" t="s">
        <v>615</v>
      </c>
      <c r="I206" t="s">
        <v>426</v>
      </c>
      <c r="J206" t="s">
        <v>439</v>
      </c>
      <c r="L206" s="38">
        <v>46191</v>
      </c>
      <c r="M206">
        <v>1</v>
      </c>
      <c r="N206" t="s">
        <v>428</v>
      </c>
      <c r="O206">
        <v>0.27</v>
      </c>
      <c r="P206">
        <v>0</v>
      </c>
      <c r="Q206">
        <v>0</v>
      </c>
      <c r="R206">
        <v>0</v>
      </c>
      <c r="S206">
        <v>0.27</v>
      </c>
      <c r="X206" t="s">
        <v>429</v>
      </c>
      <c r="Z206" s="38">
        <v>45747</v>
      </c>
      <c r="AF206" t="s">
        <v>440</v>
      </c>
    </row>
    <row r="207" spans="1:33" x14ac:dyDescent="0.25">
      <c r="A207" t="s">
        <v>318</v>
      </c>
      <c r="B207" t="s">
        <v>620</v>
      </c>
      <c r="C207" t="s">
        <v>167</v>
      </c>
      <c r="D207" t="s">
        <v>168</v>
      </c>
      <c r="E207" t="s">
        <v>424</v>
      </c>
      <c r="F207" t="s">
        <v>425</v>
      </c>
      <c r="G207" t="s">
        <v>614</v>
      </c>
      <c r="H207" t="s">
        <v>615</v>
      </c>
      <c r="I207" t="s">
        <v>426</v>
      </c>
      <c r="J207" t="s">
        <v>439</v>
      </c>
      <c r="L207" s="38">
        <v>46191</v>
      </c>
      <c r="M207">
        <v>1</v>
      </c>
      <c r="N207" t="s">
        <v>428</v>
      </c>
      <c r="O207">
        <v>2.7</v>
      </c>
      <c r="P207">
        <v>0</v>
      </c>
      <c r="Q207">
        <v>0</v>
      </c>
      <c r="R207">
        <v>0</v>
      </c>
      <c r="S207">
        <v>2.7</v>
      </c>
      <c r="X207" t="s">
        <v>429</v>
      </c>
      <c r="Z207" s="38">
        <v>45747</v>
      </c>
      <c r="AF207" t="s">
        <v>440</v>
      </c>
    </row>
    <row r="208" spans="1:33" x14ac:dyDescent="0.25">
      <c r="A208" t="s">
        <v>318</v>
      </c>
      <c r="B208" t="s">
        <v>621</v>
      </c>
      <c r="C208" t="s">
        <v>167</v>
      </c>
      <c r="D208" t="s">
        <v>168</v>
      </c>
      <c r="E208" t="s">
        <v>424</v>
      </c>
      <c r="F208" t="s">
        <v>425</v>
      </c>
      <c r="G208" t="s">
        <v>614</v>
      </c>
      <c r="H208" t="s">
        <v>615</v>
      </c>
      <c r="I208" t="s">
        <v>426</v>
      </c>
      <c r="J208" t="s">
        <v>443</v>
      </c>
      <c r="L208" s="38">
        <v>46191</v>
      </c>
      <c r="M208">
        <v>1</v>
      </c>
      <c r="N208" t="s">
        <v>428</v>
      </c>
      <c r="O208">
        <v>0.45</v>
      </c>
      <c r="P208">
        <v>0</v>
      </c>
      <c r="Q208">
        <v>0</v>
      </c>
      <c r="R208">
        <v>0</v>
      </c>
      <c r="S208">
        <v>0.45</v>
      </c>
      <c r="X208" t="s">
        <v>429</v>
      </c>
      <c r="Z208" s="38">
        <v>45808</v>
      </c>
      <c r="AF208" t="s">
        <v>440</v>
      </c>
    </row>
    <row r="209" spans="1:33" x14ac:dyDescent="0.25">
      <c r="A209" t="s">
        <v>318</v>
      </c>
      <c r="B209" t="s">
        <v>622</v>
      </c>
      <c r="C209" t="s">
        <v>167</v>
      </c>
      <c r="D209" t="s">
        <v>168</v>
      </c>
      <c r="E209" t="s">
        <v>424</v>
      </c>
      <c r="F209" t="s">
        <v>425</v>
      </c>
      <c r="G209" t="s">
        <v>267</v>
      </c>
      <c r="H209" t="s">
        <v>623</v>
      </c>
      <c r="I209" t="s">
        <v>426</v>
      </c>
      <c r="J209" t="s">
        <v>519</v>
      </c>
      <c r="L209" s="38">
        <v>46191</v>
      </c>
      <c r="M209">
        <v>1</v>
      </c>
      <c r="N209" t="s">
        <v>428</v>
      </c>
      <c r="O209">
        <v>0.01</v>
      </c>
      <c r="P209">
        <v>0</v>
      </c>
      <c r="Q209">
        <v>0</v>
      </c>
      <c r="R209">
        <v>0</v>
      </c>
      <c r="S209">
        <v>0.01</v>
      </c>
      <c r="X209" t="s">
        <v>429</v>
      </c>
      <c r="Z209" s="38">
        <v>45596</v>
      </c>
      <c r="AF209" t="s">
        <v>440</v>
      </c>
    </row>
    <row r="210" spans="1:33" x14ac:dyDescent="0.25">
      <c r="A210" t="s">
        <v>318</v>
      </c>
      <c r="B210" t="s">
        <v>624</v>
      </c>
      <c r="C210" t="s">
        <v>167</v>
      </c>
      <c r="D210" t="s">
        <v>168</v>
      </c>
      <c r="E210" t="s">
        <v>424</v>
      </c>
      <c r="F210" t="s">
        <v>425</v>
      </c>
      <c r="G210" t="s">
        <v>267</v>
      </c>
      <c r="H210" t="s">
        <v>623</v>
      </c>
      <c r="I210" t="s">
        <v>426</v>
      </c>
      <c r="J210" t="s">
        <v>519</v>
      </c>
      <c r="L210" s="38">
        <v>46191</v>
      </c>
      <c r="M210">
        <v>1</v>
      </c>
      <c r="N210" t="s">
        <v>428</v>
      </c>
      <c r="O210">
        <v>0.03</v>
      </c>
      <c r="P210">
        <v>0</v>
      </c>
      <c r="Q210">
        <v>0</v>
      </c>
      <c r="R210">
        <v>0</v>
      </c>
      <c r="S210">
        <v>0.03</v>
      </c>
      <c r="X210" t="s">
        <v>429</v>
      </c>
      <c r="Z210" s="38">
        <v>45596</v>
      </c>
      <c r="AF210" t="s">
        <v>440</v>
      </c>
    </row>
    <row r="211" spans="1:33" x14ac:dyDescent="0.25">
      <c r="A211" t="s">
        <v>318</v>
      </c>
      <c r="B211" t="s">
        <v>625</v>
      </c>
      <c r="C211" t="s">
        <v>167</v>
      </c>
      <c r="D211" t="s">
        <v>168</v>
      </c>
      <c r="E211" t="s">
        <v>424</v>
      </c>
      <c r="F211" t="s">
        <v>425</v>
      </c>
      <c r="G211" t="s">
        <v>267</v>
      </c>
      <c r="H211" t="s">
        <v>623</v>
      </c>
      <c r="I211" t="s">
        <v>426</v>
      </c>
      <c r="J211" t="s">
        <v>455</v>
      </c>
      <c r="L211" s="38">
        <v>46191</v>
      </c>
      <c r="M211">
        <v>1</v>
      </c>
      <c r="N211" t="s">
        <v>428</v>
      </c>
      <c r="O211">
        <v>0.23</v>
      </c>
      <c r="P211">
        <v>0</v>
      </c>
      <c r="Q211">
        <v>0</v>
      </c>
      <c r="R211">
        <v>0</v>
      </c>
      <c r="S211">
        <v>0.23</v>
      </c>
      <c r="U211" t="s">
        <v>432</v>
      </c>
      <c r="X211" t="s">
        <v>429</v>
      </c>
      <c r="Z211" s="38">
        <v>44614</v>
      </c>
      <c r="AF211" t="s">
        <v>433</v>
      </c>
    </row>
    <row r="212" spans="1:33" x14ac:dyDescent="0.25">
      <c r="A212" t="s">
        <v>318</v>
      </c>
      <c r="B212" t="s">
        <v>626</v>
      </c>
      <c r="C212" t="s">
        <v>167</v>
      </c>
      <c r="D212" t="s">
        <v>168</v>
      </c>
      <c r="E212" t="s">
        <v>424</v>
      </c>
      <c r="F212" t="s">
        <v>425</v>
      </c>
      <c r="G212" t="s">
        <v>267</v>
      </c>
      <c r="H212" t="s">
        <v>623</v>
      </c>
      <c r="I212" t="s">
        <v>426</v>
      </c>
      <c r="J212" t="s">
        <v>455</v>
      </c>
      <c r="L212" s="38">
        <v>46191</v>
      </c>
      <c r="M212">
        <v>1</v>
      </c>
      <c r="N212" t="s">
        <v>428</v>
      </c>
      <c r="O212">
        <v>2.56</v>
      </c>
      <c r="P212">
        <v>0</v>
      </c>
      <c r="Q212">
        <v>0</v>
      </c>
      <c r="R212">
        <v>0</v>
      </c>
      <c r="S212">
        <v>2.56</v>
      </c>
      <c r="T212" t="s">
        <v>228</v>
      </c>
      <c r="X212" t="s">
        <v>429</v>
      </c>
      <c r="Z212" s="38">
        <v>44757</v>
      </c>
      <c r="AF212" t="s">
        <v>627</v>
      </c>
    </row>
    <row r="213" spans="1:33" x14ac:dyDescent="0.25">
      <c r="A213" t="s">
        <v>318</v>
      </c>
      <c r="B213" t="s">
        <v>628</v>
      </c>
      <c r="C213" t="s">
        <v>167</v>
      </c>
      <c r="D213" t="s">
        <v>168</v>
      </c>
      <c r="E213" t="s">
        <v>424</v>
      </c>
      <c r="F213" t="s">
        <v>425</v>
      </c>
      <c r="G213" t="s">
        <v>267</v>
      </c>
      <c r="H213" t="s">
        <v>623</v>
      </c>
      <c r="I213" t="s">
        <v>426</v>
      </c>
      <c r="J213" t="s">
        <v>455</v>
      </c>
      <c r="L213" s="38">
        <v>46191</v>
      </c>
      <c r="M213">
        <v>1</v>
      </c>
      <c r="N213" t="s">
        <v>428</v>
      </c>
      <c r="O213">
        <v>7.29</v>
      </c>
      <c r="P213">
        <v>0</v>
      </c>
      <c r="Q213">
        <v>0</v>
      </c>
      <c r="R213">
        <v>0</v>
      </c>
      <c r="S213">
        <v>7.29</v>
      </c>
      <c r="T213" t="s">
        <v>228</v>
      </c>
      <c r="X213" t="s">
        <v>429</v>
      </c>
      <c r="Z213" s="38">
        <v>44757</v>
      </c>
      <c r="AF213" t="s">
        <v>627</v>
      </c>
    </row>
    <row r="214" spans="1:33" x14ac:dyDescent="0.25">
      <c r="A214" t="s">
        <v>318</v>
      </c>
      <c r="B214" t="s">
        <v>629</v>
      </c>
      <c r="C214" t="s">
        <v>167</v>
      </c>
      <c r="D214" t="s">
        <v>168</v>
      </c>
      <c r="E214" t="s">
        <v>424</v>
      </c>
      <c r="F214" t="s">
        <v>425</v>
      </c>
      <c r="G214" t="s">
        <v>267</v>
      </c>
      <c r="H214" t="s">
        <v>623</v>
      </c>
      <c r="I214" t="s">
        <v>426</v>
      </c>
      <c r="J214" t="s">
        <v>455</v>
      </c>
      <c r="L214" s="38">
        <v>46191</v>
      </c>
      <c r="M214">
        <v>1</v>
      </c>
      <c r="N214" t="s">
        <v>428</v>
      </c>
      <c r="O214">
        <v>0.76</v>
      </c>
      <c r="P214">
        <v>0</v>
      </c>
      <c r="Q214">
        <v>0</v>
      </c>
      <c r="R214">
        <v>0</v>
      </c>
      <c r="S214">
        <v>0.76</v>
      </c>
      <c r="W214" t="s">
        <v>178</v>
      </c>
      <c r="X214" t="s">
        <v>429</v>
      </c>
      <c r="Z214" s="38">
        <v>45199</v>
      </c>
      <c r="AF214" t="s">
        <v>458</v>
      </c>
    </row>
    <row r="215" spans="1:33" x14ac:dyDescent="0.25">
      <c r="A215" t="s">
        <v>318</v>
      </c>
      <c r="B215" t="s">
        <v>630</v>
      </c>
      <c r="C215" t="s">
        <v>167</v>
      </c>
      <c r="D215" t="s">
        <v>168</v>
      </c>
      <c r="E215" t="s">
        <v>631</v>
      </c>
      <c r="F215" t="s">
        <v>425</v>
      </c>
      <c r="G215" t="s">
        <v>267</v>
      </c>
      <c r="H215" t="s">
        <v>623</v>
      </c>
      <c r="I215" t="s">
        <v>426</v>
      </c>
      <c r="J215" t="s">
        <v>632</v>
      </c>
      <c r="L215" s="38">
        <v>46191</v>
      </c>
      <c r="M215">
        <v>1</v>
      </c>
      <c r="N215" t="s">
        <v>428</v>
      </c>
      <c r="O215">
        <v>21.6</v>
      </c>
      <c r="P215">
        <v>0</v>
      </c>
      <c r="Q215">
        <v>0</v>
      </c>
      <c r="R215">
        <v>-17</v>
      </c>
      <c r="S215">
        <v>4.5999999999999996</v>
      </c>
      <c r="X215" t="s">
        <v>429</v>
      </c>
      <c r="Z215" s="38">
        <v>46081</v>
      </c>
      <c r="AF215" t="s">
        <v>440</v>
      </c>
    </row>
    <row r="216" spans="1:33" x14ac:dyDescent="0.25">
      <c r="A216" t="s">
        <v>318</v>
      </c>
      <c r="B216" t="s">
        <v>633</v>
      </c>
      <c r="C216" t="s">
        <v>167</v>
      </c>
      <c r="D216" t="s">
        <v>168</v>
      </c>
      <c r="E216" t="s">
        <v>445</v>
      </c>
      <c r="F216" t="s">
        <v>425</v>
      </c>
      <c r="G216" t="s">
        <v>267</v>
      </c>
      <c r="H216" t="s">
        <v>623</v>
      </c>
      <c r="I216" t="s">
        <v>426</v>
      </c>
      <c r="J216" t="s">
        <v>464</v>
      </c>
      <c r="L216" s="38">
        <v>46191</v>
      </c>
      <c r="M216">
        <v>1</v>
      </c>
      <c r="N216" t="s">
        <v>428</v>
      </c>
      <c r="O216">
        <v>0</v>
      </c>
      <c r="P216">
        <v>0</v>
      </c>
      <c r="Q216">
        <v>0</v>
      </c>
      <c r="R216">
        <v>-153</v>
      </c>
      <c r="S216">
        <v>-153</v>
      </c>
      <c r="X216" t="s">
        <v>429</v>
      </c>
      <c r="Z216" s="38">
        <v>46173</v>
      </c>
      <c r="AF216" t="s">
        <v>447</v>
      </c>
    </row>
    <row r="217" spans="1:33" x14ac:dyDescent="0.25">
      <c r="A217" t="s">
        <v>318</v>
      </c>
      <c r="B217" t="s">
        <v>634</v>
      </c>
      <c r="C217" t="s">
        <v>167</v>
      </c>
      <c r="D217" t="s">
        <v>168</v>
      </c>
      <c r="E217" t="s">
        <v>463</v>
      </c>
      <c r="F217" t="s">
        <v>425</v>
      </c>
      <c r="G217" t="s">
        <v>267</v>
      </c>
      <c r="H217" t="s">
        <v>623</v>
      </c>
      <c r="I217" t="s">
        <v>426</v>
      </c>
      <c r="J217" t="s">
        <v>464</v>
      </c>
      <c r="L217" s="38">
        <v>46191</v>
      </c>
      <c r="M217">
        <v>1</v>
      </c>
      <c r="N217" t="s">
        <v>428</v>
      </c>
      <c r="O217">
        <v>107.16</v>
      </c>
      <c r="P217">
        <v>0</v>
      </c>
      <c r="Q217">
        <v>0</v>
      </c>
      <c r="R217">
        <v>-102</v>
      </c>
      <c r="S217">
        <v>5.16</v>
      </c>
      <c r="U217" t="s">
        <v>517</v>
      </c>
      <c r="X217" t="s">
        <v>429</v>
      </c>
      <c r="Z217" s="38">
        <v>46173</v>
      </c>
      <c r="AF217" t="s">
        <v>447</v>
      </c>
    </row>
    <row r="218" spans="1:33" x14ac:dyDescent="0.25">
      <c r="A218" t="s">
        <v>318</v>
      </c>
      <c r="B218" t="s">
        <v>635</v>
      </c>
      <c r="C218" t="s">
        <v>167</v>
      </c>
      <c r="D218" t="s">
        <v>168</v>
      </c>
      <c r="E218" t="s">
        <v>424</v>
      </c>
      <c r="F218" t="s">
        <v>425</v>
      </c>
      <c r="G218" t="s">
        <v>267</v>
      </c>
      <c r="H218" t="s">
        <v>623</v>
      </c>
      <c r="I218" t="s">
        <v>426</v>
      </c>
      <c r="J218" t="s">
        <v>455</v>
      </c>
      <c r="L218" s="38">
        <v>46191</v>
      </c>
      <c r="M218">
        <v>1</v>
      </c>
      <c r="N218" t="s">
        <v>428</v>
      </c>
      <c r="O218">
        <v>0.84</v>
      </c>
      <c r="P218">
        <v>0</v>
      </c>
      <c r="Q218">
        <v>0</v>
      </c>
      <c r="R218">
        <v>0</v>
      </c>
      <c r="S218">
        <v>0.84</v>
      </c>
      <c r="U218" t="s">
        <v>517</v>
      </c>
      <c r="X218" t="s">
        <v>429</v>
      </c>
      <c r="Z218" s="38">
        <v>46173</v>
      </c>
      <c r="AF218" t="s">
        <v>447</v>
      </c>
    </row>
    <row r="219" spans="1:33" x14ac:dyDescent="0.25">
      <c r="A219" t="s">
        <v>318</v>
      </c>
      <c r="B219" t="s">
        <v>636</v>
      </c>
      <c r="C219" t="s">
        <v>167</v>
      </c>
      <c r="D219" t="s">
        <v>168</v>
      </c>
      <c r="E219" t="s">
        <v>463</v>
      </c>
      <c r="F219" t="s">
        <v>425</v>
      </c>
      <c r="G219" t="s">
        <v>267</v>
      </c>
      <c r="H219" t="s">
        <v>623</v>
      </c>
      <c r="I219" t="s">
        <v>426</v>
      </c>
      <c r="J219" t="s">
        <v>494</v>
      </c>
      <c r="L219" s="38">
        <v>46191</v>
      </c>
      <c r="M219">
        <v>1</v>
      </c>
      <c r="N219" t="s">
        <v>428</v>
      </c>
      <c r="O219">
        <v>21.49</v>
      </c>
      <c r="P219">
        <v>0</v>
      </c>
      <c r="Q219">
        <v>-17</v>
      </c>
      <c r="R219">
        <v>0</v>
      </c>
      <c r="S219">
        <v>4.49</v>
      </c>
      <c r="U219" t="s">
        <v>471</v>
      </c>
      <c r="W219" t="s">
        <v>495</v>
      </c>
      <c r="X219" t="s">
        <v>429</v>
      </c>
      <c r="Z219" s="38">
        <v>46252</v>
      </c>
      <c r="AF219" t="s">
        <v>447</v>
      </c>
    </row>
    <row r="220" spans="1:33" x14ac:dyDescent="0.25">
      <c r="A220" t="s">
        <v>318</v>
      </c>
      <c r="B220" t="s">
        <v>637</v>
      </c>
      <c r="C220" t="s">
        <v>167</v>
      </c>
      <c r="D220" t="s">
        <v>168</v>
      </c>
      <c r="E220" t="s">
        <v>445</v>
      </c>
      <c r="F220" t="s">
        <v>425</v>
      </c>
      <c r="G220" t="s">
        <v>267</v>
      </c>
      <c r="H220" t="s">
        <v>623</v>
      </c>
      <c r="I220" t="s">
        <v>426</v>
      </c>
      <c r="J220" t="s">
        <v>242</v>
      </c>
      <c r="L220" s="38">
        <v>46191</v>
      </c>
      <c r="M220">
        <v>1</v>
      </c>
      <c r="N220" t="s">
        <v>428</v>
      </c>
      <c r="O220">
        <v>0</v>
      </c>
      <c r="P220">
        <v>0</v>
      </c>
      <c r="Q220">
        <v>0</v>
      </c>
      <c r="R220">
        <v>153</v>
      </c>
      <c r="S220">
        <v>153</v>
      </c>
      <c r="X220" t="s">
        <v>429</v>
      </c>
      <c r="Z220" s="38">
        <v>46173</v>
      </c>
      <c r="AG220" t="s">
        <v>447</v>
      </c>
    </row>
    <row r="221" spans="1:33" x14ac:dyDescent="0.25">
      <c r="A221" t="s">
        <v>318</v>
      </c>
      <c r="B221" t="s">
        <v>268</v>
      </c>
      <c r="C221" t="s">
        <v>167</v>
      </c>
      <c r="D221" t="s">
        <v>168</v>
      </c>
      <c r="E221" t="s">
        <v>170</v>
      </c>
      <c r="F221" t="s">
        <v>425</v>
      </c>
      <c r="G221" t="s">
        <v>267</v>
      </c>
      <c r="H221" t="s">
        <v>623</v>
      </c>
      <c r="I221" t="s">
        <v>426</v>
      </c>
      <c r="J221" t="s">
        <v>269</v>
      </c>
      <c r="K221" t="s">
        <v>499</v>
      </c>
      <c r="L221" s="38">
        <v>46191</v>
      </c>
      <c r="M221">
        <v>1</v>
      </c>
      <c r="N221" t="s">
        <v>428</v>
      </c>
      <c r="O221">
        <v>0</v>
      </c>
      <c r="P221">
        <v>-108</v>
      </c>
      <c r="Q221">
        <v>0</v>
      </c>
      <c r="R221">
        <v>102</v>
      </c>
      <c r="S221">
        <v>-6</v>
      </c>
      <c r="U221" t="s">
        <v>517</v>
      </c>
      <c r="V221" t="s">
        <v>472</v>
      </c>
      <c r="X221" t="s">
        <v>429</v>
      </c>
      <c r="Z221" s="38">
        <v>46173</v>
      </c>
      <c r="AG221" t="s">
        <v>447</v>
      </c>
    </row>
    <row r="222" spans="1:33" x14ac:dyDescent="0.25">
      <c r="A222" t="s">
        <v>318</v>
      </c>
      <c r="B222" t="s">
        <v>288</v>
      </c>
      <c r="C222" t="s">
        <v>167</v>
      </c>
      <c r="D222" t="s">
        <v>168</v>
      </c>
      <c r="E222" t="s">
        <v>170</v>
      </c>
      <c r="F222" t="s">
        <v>425</v>
      </c>
      <c r="G222" t="s">
        <v>267</v>
      </c>
      <c r="H222" t="s">
        <v>623</v>
      </c>
      <c r="I222" t="s">
        <v>426</v>
      </c>
      <c r="J222" t="s">
        <v>188</v>
      </c>
      <c r="K222" t="s">
        <v>499</v>
      </c>
      <c r="L222" s="38">
        <v>46191</v>
      </c>
      <c r="M222">
        <v>1</v>
      </c>
      <c r="N222" t="s">
        <v>428</v>
      </c>
      <c r="O222">
        <v>0</v>
      </c>
      <c r="P222">
        <v>-151.19999999999999</v>
      </c>
      <c r="Q222">
        <v>153</v>
      </c>
      <c r="R222">
        <v>0</v>
      </c>
      <c r="S222">
        <v>1.8</v>
      </c>
      <c r="U222" t="s">
        <v>638</v>
      </c>
      <c r="V222" t="s">
        <v>472</v>
      </c>
      <c r="X222" t="s">
        <v>429</v>
      </c>
      <c r="Z222" s="38">
        <v>46295</v>
      </c>
      <c r="AG222" t="s">
        <v>447</v>
      </c>
    </row>
    <row r="223" spans="1:33" x14ac:dyDescent="0.25">
      <c r="A223" t="s">
        <v>318</v>
      </c>
      <c r="B223" t="s">
        <v>1264</v>
      </c>
      <c r="C223" t="s">
        <v>167</v>
      </c>
      <c r="D223" t="s">
        <v>168</v>
      </c>
      <c r="E223" t="s">
        <v>170</v>
      </c>
      <c r="F223" t="s">
        <v>425</v>
      </c>
      <c r="G223" t="s">
        <v>267</v>
      </c>
      <c r="H223" t="s">
        <v>623</v>
      </c>
      <c r="I223" t="s">
        <v>426</v>
      </c>
      <c r="J223" t="s">
        <v>242</v>
      </c>
      <c r="K223" t="s">
        <v>499</v>
      </c>
      <c r="L223" s="38">
        <v>46191</v>
      </c>
      <c r="M223">
        <v>1</v>
      </c>
      <c r="N223" t="s">
        <v>428</v>
      </c>
      <c r="O223">
        <v>0</v>
      </c>
      <c r="P223">
        <v>-108</v>
      </c>
      <c r="Q223">
        <v>102</v>
      </c>
      <c r="R223">
        <v>0</v>
      </c>
      <c r="S223">
        <v>-6</v>
      </c>
      <c r="V223" t="s">
        <v>612</v>
      </c>
      <c r="X223" t="s">
        <v>429</v>
      </c>
      <c r="Z223" s="38">
        <v>46295</v>
      </c>
      <c r="AG223" t="s">
        <v>507</v>
      </c>
    </row>
    <row r="224" spans="1:33" x14ac:dyDescent="0.25">
      <c r="A224" t="s">
        <v>318</v>
      </c>
      <c r="B224" t="s">
        <v>1268</v>
      </c>
      <c r="C224" t="s">
        <v>167</v>
      </c>
      <c r="D224" t="s">
        <v>168</v>
      </c>
      <c r="E224" t="s">
        <v>170</v>
      </c>
      <c r="F224" t="s">
        <v>425</v>
      </c>
      <c r="G224" t="s">
        <v>267</v>
      </c>
      <c r="H224" t="s">
        <v>623</v>
      </c>
      <c r="I224" t="s">
        <v>426</v>
      </c>
      <c r="J224" t="s">
        <v>242</v>
      </c>
      <c r="K224" t="s">
        <v>499</v>
      </c>
      <c r="L224" s="38">
        <v>46191</v>
      </c>
      <c r="M224">
        <v>1</v>
      </c>
      <c r="N224" t="s">
        <v>428</v>
      </c>
      <c r="O224">
        <v>0</v>
      </c>
      <c r="P224">
        <v>-108</v>
      </c>
      <c r="Q224">
        <v>102</v>
      </c>
      <c r="R224">
        <v>0</v>
      </c>
      <c r="S224">
        <v>-6</v>
      </c>
      <c r="V224" t="s">
        <v>612</v>
      </c>
      <c r="X224" t="s">
        <v>429</v>
      </c>
      <c r="Z224" s="38">
        <v>46326</v>
      </c>
      <c r="AG224" t="s">
        <v>507</v>
      </c>
    </row>
    <row r="225" spans="1:33" x14ac:dyDescent="0.25">
      <c r="A225" t="s">
        <v>318</v>
      </c>
      <c r="B225" t="s">
        <v>1266</v>
      </c>
      <c r="C225" t="s">
        <v>167</v>
      </c>
      <c r="D225" t="s">
        <v>168</v>
      </c>
      <c r="E225" t="s">
        <v>170</v>
      </c>
      <c r="F225" t="s">
        <v>425</v>
      </c>
      <c r="G225" t="s">
        <v>267</v>
      </c>
      <c r="H225" t="s">
        <v>623</v>
      </c>
      <c r="I225" t="s">
        <v>426</v>
      </c>
      <c r="J225" t="s">
        <v>242</v>
      </c>
      <c r="K225" t="s">
        <v>499</v>
      </c>
      <c r="L225" s="38">
        <v>46191</v>
      </c>
      <c r="M225">
        <v>1</v>
      </c>
      <c r="N225" t="s">
        <v>428</v>
      </c>
      <c r="O225">
        <v>0</v>
      </c>
      <c r="P225">
        <v>-108</v>
      </c>
      <c r="Q225">
        <v>102</v>
      </c>
      <c r="R225">
        <v>0</v>
      </c>
      <c r="S225">
        <v>-6</v>
      </c>
      <c r="V225" t="s">
        <v>612</v>
      </c>
      <c r="X225" t="s">
        <v>429</v>
      </c>
      <c r="Z225" s="38">
        <v>46295</v>
      </c>
      <c r="AG225" t="s">
        <v>507</v>
      </c>
    </row>
    <row r="226" spans="1:33" x14ac:dyDescent="0.25">
      <c r="A226" t="s">
        <v>318</v>
      </c>
      <c r="B226" t="s">
        <v>1269</v>
      </c>
      <c r="C226" t="s">
        <v>167</v>
      </c>
      <c r="D226" t="s">
        <v>168</v>
      </c>
      <c r="E226" t="s">
        <v>170</v>
      </c>
      <c r="F226" t="s">
        <v>425</v>
      </c>
      <c r="G226" t="s">
        <v>267</v>
      </c>
      <c r="H226" t="s">
        <v>623</v>
      </c>
      <c r="I226" t="s">
        <v>426</v>
      </c>
      <c r="J226" t="s">
        <v>242</v>
      </c>
      <c r="K226" t="s">
        <v>499</v>
      </c>
      <c r="L226" s="38">
        <v>46191</v>
      </c>
      <c r="M226">
        <v>1</v>
      </c>
      <c r="N226" t="s">
        <v>428</v>
      </c>
      <c r="O226">
        <v>0</v>
      </c>
      <c r="P226">
        <v>-108</v>
      </c>
      <c r="Q226">
        <v>102</v>
      </c>
      <c r="R226">
        <v>0</v>
      </c>
      <c r="S226">
        <v>-6</v>
      </c>
      <c r="V226" t="s">
        <v>612</v>
      </c>
      <c r="X226" t="s">
        <v>429</v>
      </c>
      <c r="Z226" s="38">
        <v>46326</v>
      </c>
      <c r="AG226" t="s">
        <v>507</v>
      </c>
    </row>
    <row r="227" spans="1:33" x14ac:dyDescent="0.25">
      <c r="A227" t="s">
        <v>318</v>
      </c>
      <c r="B227" t="s">
        <v>384</v>
      </c>
      <c r="C227" t="s">
        <v>167</v>
      </c>
      <c r="D227" t="s">
        <v>168</v>
      </c>
      <c r="E227" t="s">
        <v>170</v>
      </c>
      <c r="F227" t="s">
        <v>425</v>
      </c>
      <c r="G227" t="s">
        <v>267</v>
      </c>
      <c r="H227" t="s">
        <v>623</v>
      </c>
      <c r="I227" t="s">
        <v>426</v>
      </c>
      <c r="J227" t="s">
        <v>385</v>
      </c>
      <c r="K227" t="s">
        <v>499</v>
      </c>
      <c r="L227" s="38">
        <v>46191</v>
      </c>
      <c r="M227">
        <v>1</v>
      </c>
      <c r="N227" t="s">
        <v>428</v>
      </c>
      <c r="O227">
        <v>0</v>
      </c>
      <c r="P227">
        <v>-43.2</v>
      </c>
      <c r="Q227">
        <v>0</v>
      </c>
      <c r="R227">
        <v>34</v>
      </c>
      <c r="S227">
        <v>-9.1999999999999993</v>
      </c>
      <c r="U227" t="s">
        <v>517</v>
      </c>
      <c r="V227" t="s">
        <v>639</v>
      </c>
      <c r="X227" t="s">
        <v>429</v>
      </c>
      <c r="Z227" s="38">
        <v>45930</v>
      </c>
      <c r="AG227" t="s">
        <v>440</v>
      </c>
    </row>
    <row r="228" spans="1:33" x14ac:dyDescent="0.25">
      <c r="A228" t="s">
        <v>318</v>
      </c>
      <c r="B228" t="s">
        <v>640</v>
      </c>
      <c r="C228" t="s">
        <v>167</v>
      </c>
      <c r="D228" t="s">
        <v>168</v>
      </c>
      <c r="E228" t="s">
        <v>445</v>
      </c>
      <c r="F228" t="s">
        <v>425</v>
      </c>
      <c r="G228" t="s">
        <v>267</v>
      </c>
      <c r="H228" t="s">
        <v>623</v>
      </c>
      <c r="I228" t="s">
        <v>426</v>
      </c>
      <c r="J228" t="s">
        <v>494</v>
      </c>
      <c r="L228" s="38">
        <v>46191</v>
      </c>
      <c r="M228">
        <v>1</v>
      </c>
      <c r="N228" t="s">
        <v>428</v>
      </c>
      <c r="O228">
        <v>0</v>
      </c>
      <c r="P228">
        <v>0</v>
      </c>
      <c r="Q228">
        <v>0</v>
      </c>
      <c r="R228">
        <v>17</v>
      </c>
      <c r="S228">
        <v>17</v>
      </c>
      <c r="U228" t="s">
        <v>471</v>
      </c>
      <c r="W228" t="s">
        <v>495</v>
      </c>
      <c r="X228" t="s">
        <v>429</v>
      </c>
      <c r="Z228" s="38">
        <v>46170</v>
      </c>
      <c r="AG228" t="s">
        <v>447</v>
      </c>
    </row>
    <row r="229" spans="1:33" x14ac:dyDescent="0.25">
      <c r="A229" t="s">
        <v>318</v>
      </c>
      <c r="B229" t="s">
        <v>641</v>
      </c>
      <c r="C229" t="s">
        <v>167</v>
      </c>
      <c r="D229" t="s">
        <v>168</v>
      </c>
      <c r="E229" t="s">
        <v>424</v>
      </c>
      <c r="F229" t="s">
        <v>425</v>
      </c>
      <c r="G229" t="s">
        <v>642</v>
      </c>
      <c r="H229" t="s">
        <v>643</v>
      </c>
      <c r="I229" t="s">
        <v>644</v>
      </c>
      <c r="J229" t="s">
        <v>455</v>
      </c>
      <c r="L229" s="38">
        <v>46191</v>
      </c>
      <c r="M229">
        <v>1</v>
      </c>
      <c r="N229" t="s">
        <v>428</v>
      </c>
      <c r="O229">
        <v>0.06</v>
      </c>
      <c r="P229">
        <v>0</v>
      </c>
      <c r="Q229">
        <v>0</v>
      </c>
      <c r="R229">
        <v>0</v>
      </c>
      <c r="S229">
        <v>0.06</v>
      </c>
      <c r="W229" t="s">
        <v>207</v>
      </c>
      <c r="X229" t="s">
        <v>429</v>
      </c>
      <c r="Z229" s="38">
        <v>45747</v>
      </c>
      <c r="AF229" t="s">
        <v>440</v>
      </c>
    </row>
    <row r="230" spans="1:33" x14ac:dyDescent="0.25">
      <c r="A230" t="s">
        <v>318</v>
      </c>
      <c r="B230" t="s">
        <v>645</v>
      </c>
      <c r="C230" t="s">
        <v>167</v>
      </c>
      <c r="D230" t="s">
        <v>168</v>
      </c>
      <c r="E230" t="s">
        <v>424</v>
      </c>
      <c r="F230" t="s">
        <v>425</v>
      </c>
      <c r="G230" t="s">
        <v>642</v>
      </c>
      <c r="H230" t="s">
        <v>643</v>
      </c>
      <c r="I230" t="s">
        <v>644</v>
      </c>
      <c r="J230" t="s">
        <v>455</v>
      </c>
      <c r="L230" s="38">
        <v>46191</v>
      </c>
      <c r="M230">
        <v>1</v>
      </c>
      <c r="N230" t="s">
        <v>428</v>
      </c>
      <c r="O230">
        <v>0.06</v>
      </c>
      <c r="P230">
        <v>0</v>
      </c>
      <c r="Q230">
        <v>0</v>
      </c>
      <c r="R230">
        <v>0</v>
      </c>
      <c r="S230">
        <v>0.06</v>
      </c>
      <c r="W230" t="s">
        <v>207</v>
      </c>
      <c r="X230" t="s">
        <v>429</v>
      </c>
      <c r="Z230" s="38">
        <v>45747</v>
      </c>
      <c r="AF230" t="s">
        <v>440</v>
      </c>
    </row>
    <row r="231" spans="1:33" x14ac:dyDescent="0.25">
      <c r="A231" t="s">
        <v>318</v>
      </c>
      <c r="B231" t="s">
        <v>646</v>
      </c>
      <c r="C231" t="s">
        <v>167</v>
      </c>
      <c r="D231" t="s">
        <v>168</v>
      </c>
      <c r="E231" t="s">
        <v>424</v>
      </c>
      <c r="F231" t="s">
        <v>425</v>
      </c>
      <c r="G231" t="s">
        <v>642</v>
      </c>
      <c r="H231" t="s">
        <v>643</v>
      </c>
      <c r="I231" t="s">
        <v>644</v>
      </c>
      <c r="J231" t="s">
        <v>455</v>
      </c>
      <c r="L231" s="38">
        <v>46191</v>
      </c>
      <c r="M231">
        <v>1</v>
      </c>
      <c r="N231" t="s">
        <v>428</v>
      </c>
      <c r="O231">
        <v>0.06</v>
      </c>
      <c r="P231">
        <v>0</v>
      </c>
      <c r="Q231">
        <v>0</v>
      </c>
      <c r="R231">
        <v>0</v>
      </c>
      <c r="S231">
        <v>0.06</v>
      </c>
      <c r="W231" t="s">
        <v>207</v>
      </c>
      <c r="X231" t="s">
        <v>429</v>
      </c>
      <c r="Z231" s="38">
        <v>45747</v>
      </c>
      <c r="AF231" t="s">
        <v>440</v>
      </c>
    </row>
    <row r="232" spans="1:33" x14ac:dyDescent="0.25">
      <c r="A232" t="s">
        <v>318</v>
      </c>
      <c r="B232" t="s">
        <v>647</v>
      </c>
      <c r="C232" t="s">
        <v>167</v>
      </c>
      <c r="D232" t="s">
        <v>168</v>
      </c>
      <c r="E232" t="s">
        <v>424</v>
      </c>
      <c r="F232" t="s">
        <v>425</v>
      </c>
      <c r="G232" t="s">
        <v>642</v>
      </c>
      <c r="H232" t="s">
        <v>643</v>
      </c>
      <c r="I232" t="s">
        <v>644</v>
      </c>
      <c r="J232" t="s">
        <v>455</v>
      </c>
      <c r="L232" s="38">
        <v>46191</v>
      </c>
      <c r="M232">
        <v>1</v>
      </c>
      <c r="N232" t="s">
        <v>428</v>
      </c>
      <c r="O232">
        <v>0.06</v>
      </c>
      <c r="P232">
        <v>0</v>
      </c>
      <c r="Q232">
        <v>0</v>
      </c>
      <c r="R232">
        <v>0</v>
      </c>
      <c r="S232">
        <v>0.06</v>
      </c>
      <c r="X232" t="s">
        <v>429</v>
      </c>
      <c r="Z232" s="38">
        <v>45747</v>
      </c>
      <c r="AF232" t="s">
        <v>440</v>
      </c>
    </row>
    <row r="233" spans="1:33" x14ac:dyDescent="0.25">
      <c r="A233" t="s">
        <v>318</v>
      </c>
      <c r="B233" t="s">
        <v>648</v>
      </c>
      <c r="C233" t="s">
        <v>167</v>
      </c>
      <c r="D233" t="s">
        <v>168</v>
      </c>
      <c r="E233" t="s">
        <v>424</v>
      </c>
      <c r="F233" t="s">
        <v>425</v>
      </c>
      <c r="G233" t="s">
        <v>642</v>
      </c>
      <c r="H233" t="s">
        <v>643</v>
      </c>
      <c r="I233" t="s">
        <v>644</v>
      </c>
      <c r="J233" t="s">
        <v>455</v>
      </c>
      <c r="L233" s="38">
        <v>46191</v>
      </c>
      <c r="M233">
        <v>1</v>
      </c>
      <c r="N233" t="s">
        <v>428</v>
      </c>
      <c r="O233">
        <v>0.12</v>
      </c>
      <c r="P233">
        <v>0</v>
      </c>
      <c r="Q233">
        <v>0</v>
      </c>
      <c r="R233">
        <v>0</v>
      </c>
      <c r="S233">
        <v>0.12</v>
      </c>
      <c r="W233" t="s">
        <v>207</v>
      </c>
      <c r="X233" t="s">
        <v>429</v>
      </c>
      <c r="Z233" s="38">
        <v>45835</v>
      </c>
      <c r="AF233" t="s">
        <v>440</v>
      </c>
    </row>
    <row r="234" spans="1:33" x14ac:dyDescent="0.25">
      <c r="A234" t="s">
        <v>318</v>
      </c>
      <c r="B234" t="s">
        <v>649</v>
      </c>
      <c r="C234" t="s">
        <v>167</v>
      </c>
      <c r="D234" t="s">
        <v>168</v>
      </c>
      <c r="E234" t="s">
        <v>424</v>
      </c>
      <c r="F234" t="s">
        <v>425</v>
      </c>
      <c r="G234" t="s">
        <v>642</v>
      </c>
      <c r="H234" t="s">
        <v>643</v>
      </c>
      <c r="I234" t="s">
        <v>644</v>
      </c>
      <c r="J234" t="s">
        <v>455</v>
      </c>
      <c r="L234" s="38">
        <v>46191</v>
      </c>
      <c r="M234">
        <v>1</v>
      </c>
      <c r="N234" t="s">
        <v>428</v>
      </c>
      <c r="O234">
        <v>0.17</v>
      </c>
      <c r="P234">
        <v>0</v>
      </c>
      <c r="Q234">
        <v>0</v>
      </c>
      <c r="R234">
        <v>0</v>
      </c>
      <c r="S234">
        <v>0.17</v>
      </c>
      <c r="X234" t="s">
        <v>429</v>
      </c>
      <c r="Z234" s="38">
        <v>45838</v>
      </c>
      <c r="AF234" t="s">
        <v>440</v>
      </c>
    </row>
    <row r="235" spans="1:33" x14ac:dyDescent="0.25">
      <c r="A235" t="s">
        <v>318</v>
      </c>
      <c r="B235" t="s">
        <v>650</v>
      </c>
      <c r="C235" t="s">
        <v>167</v>
      </c>
      <c r="D235" t="s">
        <v>168</v>
      </c>
      <c r="E235" t="s">
        <v>424</v>
      </c>
      <c r="F235" t="s">
        <v>425</v>
      </c>
      <c r="G235" t="s">
        <v>642</v>
      </c>
      <c r="H235" t="s">
        <v>643</v>
      </c>
      <c r="I235" t="s">
        <v>644</v>
      </c>
      <c r="J235" t="s">
        <v>455</v>
      </c>
      <c r="L235" s="38">
        <v>46191</v>
      </c>
      <c r="M235">
        <v>1</v>
      </c>
      <c r="N235" t="s">
        <v>428</v>
      </c>
      <c r="O235">
        <v>0.01</v>
      </c>
      <c r="P235">
        <v>0</v>
      </c>
      <c r="Q235">
        <v>0</v>
      </c>
      <c r="R235">
        <v>0</v>
      </c>
      <c r="S235">
        <v>0.01</v>
      </c>
      <c r="X235" t="s">
        <v>429</v>
      </c>
      <c r="Z235" s="38">
        <v>45838</v>
      </c>
      <c r="AF235" t="s">
        <v>440</v>
      </c>
    </row>
    <row r="236" spans="1:33" x14ac:dyDescent="0.25">
      <c r="A236" t="s">
        <v>318</v>
      </c>
      <c r="B236" t="s">
        <v>651</v>
      </c>
      <c r="C236" t="s">
        <v>167</v>
      </c>
      <c r="D236" t="s">
        <v>168</v>
      </c>
      <c r="E236" t="s">
        <v>424</v>
      </c>
      <c r="F236" t="s">
        <v>425</v>
      </c>
      <c r="G236" t="s">
        <v>642</v>
      </c>
      <c r="H236" t="s">
        <v>643</v>
      </c>
      <c r="I236" t="s">
        <v>644</v>
      </c>
      <c r="J236" t="s">
        <v>455</v>
      </c>
      <c r="L236" s="38">
        <v>46191</v>
      </c>
      <c r="M236">
        <v>1</v>
      </c>
      <c r="N236" t="s">
        <v>428</v>
      </c>
      <c r="O236">
        <v>0.04</v>
      </c>
      <c r="P236">
        <v>0</v>
      </c>
      <c r="Q236">
        <v>0</v>
      </c>
      <c r="R236">
        <v>0</v>
      </c>
      <c r="S236">
        <v>0.04</v>
      </c>
      <c r="X236" t="s">
        <v>429</v>
      </c>
      <c r="Z236" s="38">
        <v>45838</v>
      </c>
      <c r="AF236" t="s">
        <v>440</v>
      </c>
    </row>
    <row r="237" spans="1:33" x14ac:dyDescent="0.25">
      <c r="A237" t="s">
        <v>318</v>
      </c>
      <c r="B237" t="s">
        <v>652</v>
      </c>
      <c r="C237" t="s">
        <v>167</v>
      </c>
      <c r="D237" t="s">
        <v>168</v>
      </c>
      <c r="E237" t="s">
        <v>424</v>
      </c>
      <c r="F237" t="s">
        <v>425</v>
      </c>
      <c r="G237" t="s">
        <v>642</v>
      </c>
      <c r="H237" t="s">
        <v>643</v>
      </c>
      <c r="I237" t="s">
        <v>644</v>
      </c>
      <c r="J237" t="s">
        <v>455</v>
      </c>
      <c r="L237" s="38">
        <v>46191</v>
      </c>
      <c r="M237">
        <v>1</v>
      </c>
      <c r="N237" t="s">
        <v>428</v>
      </c>
      <c r="O237">
        <v>0.01</v>
      </c>
      <c r="P237">
        <v>0</v>
      </c>
      <c r="Q237">
        <v>0</v>
      </c>
      <c r="R237">
        <v>0</v>
      </c>
      <c r="S237">
        <v>0.01</v>
      </c>
      <c r="X237" t="s">
        <v>429</v>
      </c>
      <c r="Z237" s="38">
        <v>45838</v>
      </c>
      <c r="AF237" t="s">
        <v>440</v>
      </c>
    </row>
    <row r="238" spans="1:33" x14ac:dyDescent="0.25">
      <c r="A238" t="s">
        <v>318</v>
      </c>
      <c r="B238" t="s">
        <v>653</v>
      </c>
      <c r="C238" t="s">
        <v>167</v>
      </c>
      <c r="D238" t="s">
        <v>168</v>
      </c>
      <c r="E238" t="s">
        <v>424</v>
      </c>
      <c r="F238" t="s">
        <v>425</v>
      </c>
      <c r="G238" t="s">
        <v>642</v>
      </c>
      <c r="H238" t="s">
        <v>643</v>
      </c>
      <c r="I238" t="s">
        <v>644</v>
      </c>
      <c r="J238" t="s">
        <v>455</v>
      </c>
      <c r="L238" s="38">
        <v>46191</v>
      </c>
      <c r="M238">
        <v>1</v>
      </c>
      <c r="N238" t="s">
        <v>428</v>
      </c>
      <c r="O238">
        <v>0.33</v>
      </c>
      <c r="P238">
        <v>0</v>
      </c>
      <c r="Q238">
        <v>0</v>
      </c>
      <c r="R238">
        <v>0</v>
      </c>
      <c r="S238">
        <v>0.33</v>
      </c>
      <c r="T238" t="s">
        <v>234</v>
      </c>
      <c r="U238" t="s">
        <v>46</v>
      </c>
      <c r="W238" t="s">
        <v>503</v>
      </c>
      <c r="X238" t="s">
        <v>429</v>
      </c>
      <c r="Z238" s="38">
        <v>45110</v>
      </c>
      <c r="AF238" t="s">
        <v>458</v>
      </c>
    </row>
    <row r="239" spans="1:33" x14ac:dyDescent="0.25">
      <c r="A239" t="s">
        <v>318</v>
      </c>
      <c r="B239" t="s">
        <v>654</v>
      </c>
      <c r="C239" t="s">
        <v>167</v>
      </c>
      <c r="D239" t="s">
        <v>168</v>
      </c>
      <c r="E239" t="s">
        <v>424</v>
      </c>
      <c r="F239" t="s">
        <v>425</v>
      </c>
      <c r="G239" t="s">
        <v>642</v>
      </c>
      <c r="H239" t="s">
        <v>643</v>
      </c>
      <c r="I239" t="s">
        <v>644</v>
      </c>
      <c r="J239" t="s">
        <v>455</v>
      </c>
      <c r="L239" s="38">
        <v>46191</v>
      </c>
      <c r="M239">
        <v>1</v>
      </c>
      <c r="N239" t="s">
        <v>428</v>
      </c>
      <c r="O239">
        <v>0.02</v>
      </c>
      <c r="P239">
        <v>0</v>
      </c>
      <c r="Q239">
        <v>0</v>
      </c>
      <c r="R239">
        <v>0</v>
      </c>
      <c r="S239">
        <v>0.02</v>
      </c>
      <c r="T239" t="s">
        <v>234</v>
      </c>
      <c r="U239" t="s">
        <v>432</v>
      </c>
      <c r="X239" t="s">
        <v>429</v>
      </c>
      <c r="Z239" s="38">
        <v>45126</v>
      </c>
      <c r="AF239" t="s">
        <v>458</v>
      </c>
    </row>
    <row r="240" spans="1:33" x14ac:dyDescent="0.25">
      <c r="A240" t="s">
        <v>318</v>
      </c>
      <c r="B240" t="s">
        <v>655</v>
      </c>
      <c r="C240" t="s">
        <v>167</v>
      </c>
      <c r="D240" t="s">
        <v>168</v>
      </c>
      <c r="E240" t="s">
        <v>424</v>
      </c>
      <c r="F240" t="s">
        <v>425</v>
      </c>
      <c r="G240" t="s">
        <v>642</v>
      </c>
      <c r="H240" t="s">
        <v>643</v>
      </c>
      <c r="I240" t="s">
        <v>644</v>
      </c>
      <c r="J240" t="s">
        <v>455</v>
      </c>
      <c r="L240" s="38">
        <v>46191</v>
      </c>
      <c r="M240">
        <v>1</v>
      </c>
      <c r="N240" t="s">
        <v>428</v>
      </c>
      <c r="O240">
        <v>0.34</v>
      </c>
      <c r="P240">
        <v>0</v>
      </c>
      <c r="Q240">
        <v>0</v>
      </c>
      <c r="R240">
        <v>0</v>
      </c>
      <c r="S240">
        <v>0.34</v>
      </c>
      <c r="T240" t="s">
        <v>234</v>
      </c>
      <c r="U240" t="s">
        <v>432</v>
      </c>
      <c r="X240" t="s">
        <v>429</v>
      </c>
      <c r="Z240" s="38">
        <v>45126</v>
      </c>
      <c r="AF240" t="s">
        <v>458</v>
      </c>
    </row>
    <row r="241" spans="1:32" x14ac:dyDescent="0.25">
      <c r="A241" t="s">
        <v>318</v>
      </c>
      <c r="B241" t="s">
        <v>656</v>
      </c>
      <c r="C241" t="s">
        <v>167</v>
      </c>
      <c r="D241" t="s">
        <v>168</v>
      </c>
      <c r="E241" t="s">
        <v>424</v>
      </c>
      <c r="F241" t="s">
        <v>425</v>
      </c>
      <c r="G241" t="s">
        <v>642</v>
      </c>
      <c r="H241" t="s">
        <v>643</v>
      </c>
      <c r="I241" t="s">
        <v>644</v>
      </c>
      <c r="J241" t="s">
        <v>455</v>
      </c>
      <c r="L241" s="38">
        <v>46191</v>
      </c>
      <c r="M241">
        <v>1</v>
      </c>
      <c r="N241" t="s">
        <v>428</v>
      </c>
      <c r="O241">
        <v>0.65</v>
      </c>
      <c r="P241">
        <v>0</v>
      </c>
      <c r="Q241">
        <v>0</v>
      </c>
      <c r="R241">
        <v>0</v>
      </c>
      <c r="S241">
        <v>0.65</v>
      </c>
      <c r="T241" t="s">
        <v>234</v>
      </c>
      <c r="W241" t="s">
        <v>178</v>
      </c>
      <c r="X241" t="s">
        <v>429</v>
      </c>
      <c r="Z241" s="38">
        <v>45126</v>
      </c>
      <c r="AF241" t="s">
        <v>458</v>
      </c>
    </row>
    <row r="242" spans="1:32" x14ac:dyDescent="0.25">
      <c r="A242" t="s">
        <v>318</v>
      </c>
      <c r="B242" t="s">
        <v>657</v>
      </c>
      <c r="C242" t="s">
        <v>167</v>
      </c>
      <c r="D242" t="s">
        <v>168</v>
      </c>
      <c r="E242" t="s">
        <v>424</v>
      </c>
      <c r="F242" t="s">
        <v>425</v>
      </c>
      <c r="G242" t="s">
        <v>642</v>
      </c>
      <c r="H242" t="s">
        <v>643</v>
      </c>
      <c r="I242" t="s">
        <v>644</v>
      </c>
      <c r="J242" t="s">
        <v>455</v>
      </c>
      <c r="L242" s="38">
        <v>46191</v>
      </c>
      <c r="M242">
        <v>1</v>
      </c>
      <c r="N242" t="s">
        <v>428</v>
      </c>
      <c r="O242">
        <v>0.37</v>
      </c>
      <c r="P242">
        <v>0</v>
      </c>
      <c r="Q242">
        <v>0</v>
      </c>
      <c r="R242">
        <v>0</v>
      </c>
      <c r="S242">
        <v>0.37</v>
      </c>
      <c r="T242" t="s">
        <v>234</v>
      </c>
      <c r="U242" t="s">
        <v>432</v>
      </c>
      <c r="W242" t="s">
        <v>503</v>
      </c>
      <c r="X242" t="s">
        <v>429</v>
      </c>
      <c r="Z242" s="38">
        <v>45126</v>
      </c>
      <c r="AF242" t="s">
        <v>458</v>
      </c>
    </row>
    <row r="243" spans="1:32" x14ac:dyDescent="0.25">
      <c r="A243" t="s">
        <v>318</v>
      </c>
      <c r="B243" t="s">
        <v>658</v>
      </c>
      <c r="C243" t="s">
        <v>167</v>
      </c>
      <c r="D243" t="s">
        <v>168</v>
      </c>
      <c r="E243" t="s">
        <v>424</v>
      </c>
      <c r="F243" t="s">
        <v>425</v>
      </c>
      <c r="G243" t="s">
        <v>642</v>
      </c>
      <c r="H243" t="s">
        <v>643</v>
      </c>
      <c r="I243" t="s">
        <v>644</v>
      </c>
      <c r="J243" t="s">
        <v>455</v>
      </c>
      <c r="L243" s="38">
        <v>46191</v>
      </c>
      <c r="M243">
        <v>1</v>
      </c>
      <c r="N243" t="s">
        <v>428</v>
      </c>
      <c r="O243">
        <v>0.13</v>
      </c>
      <c r="P243">
        <v>0</v>
      </c>
      <c r="Q243">
        <v>0</v>
      </c>
      <c r="R243">
        <v>0</v>
      </c>
      <c r="S243">
        <v>0.13</v>
      </c>
      <c r="T243" t="s">
        <v>234</v>
      </c>
      <c r="U243" t="s">
        <v>517</v>
      </c>
      <c r="X243" t="s">
        <v>429</v>
      </c>
      <c r="Z243" s="38">
        <v>45127</v>
      </c>
      <c r="AF243" t="s">
        <v>458</v>
      </c>
    </row>
    <row r="244" spans="1:32" x14ac:dyDescent="0.25">
      <c r="A244" t="s">
        <v>318</v>
      </c>
      <c r="B244" t="s">
        <v>659</v>
      </c>
      <c r="C244" t="s">
        <v>167</v>
      </c>
      <c r="D244" t="s">
        <v>168</v>
      </c>
      <c r="E244" t="s">
        <v>424</v>
      </c>
      <c r="F244" t="s">
        <v>425</v>
      </c>
      <c r="G244" t="s">
        <v>642</v>
      </c>
      <c r="H244" t="s">
        <v>643</v>
      </c>
      <c r="I244" t="s">
        <v>644</v>
      </c>
      <c r="J244" t="s">
        <v>455</v>
      </c>
      <c r="L244" s="38">
        <v>46191</v>
      </c>
      <c r="M244">
        <v>1</v>
      </c>
      <c r="N244" t="s">
        <v>428</v>
      </c>
      <c r="O244">
        <v>0.11</v>
      </c>
      <c r="P244">
        <v>0</v>
      </c>
      <c r="Q244">
        <v>0</v>
      </c>
      <c r="R244">
        <v>0</v>
      </c>
      <c r="S244">
        <v>0.11</v>
      </c>
      <c r="T244" t="s">
        <v>234</v>
      </c>
      <c r="W244" t="s">
        <v>178</v>
      </c>
      <c r="X244" t="s">
        <v>429</v>
      </c>
      <c r="Z244" s="38">
        <v>45131</v>
      </c>
      <c r="AF244" t="s">
        <v>458</v>
      </c>
    </row>
    <row r="245" spans="1:32" x14ac:dyDescent="0.25">
      <c r="A245" t="s">
        <v>318</v>
      </c>
      <c r="B245" t="s">
        <v>660</v>
      </c>
      <c r="C245" t="s">
        <v>167</v>
      </c>
      <c r="D245" t="s">
        <v>168</v>
      </c>
      <c r="E245" t="s">
        <v>424</v>
      </c>
      <c r="F245" t="s">
        <v>425</v>
      </c>
      <c r="G245" t="s">
        <v>642</v>
      </c>
      <c r="H245" t="s">
        <v>643</v>
      </c>
      <c r="I245" t="s">
        <v>644</v>
      </c>
      <c r="J245" t="s">
        <v>455</v>
      </c>
      <c r="L245" s="38">
        <v>46191</v>
      </c>
      <c r="M245">
        <v>1</v>
      </c>
      <c r="N245" t="s">
        <v>428</v>
      </c>
      <c r="O245">
        <v>0.56000000000000005</v>
      </c>
      <c r="P245">
        <v>0</v>
      </c>
      <c r="Q245">
        <v>0</v>
      </c>
      <c r="R245">
        <v>0</v>
      </c>
      <c r="S245">
        <v>0.56000000000000005</v>
      </c>
      <c r="T245" t="s">
        <v>234</v>
      </c>
      <c r="U245" t="s">
        <v>432</v>
      </c>
      <c r="X245" t="s">
        <v>429</v>
      </c>
      <c r="Z245" s="38">
        <v>45131</v>
      </c>
      <c r="AF245" t="s">
        <v>458</v>
      </c>
    </row>
    <row r="246" spans="1:32" x14ac:dyDescent="0.25">
      <c r="A246" t="s">
        <v>318</v>
      </c>
      <c r="B246" t="s">
        <v>661</v>
      </c>
      <c r="C246" t="s">
        <v>167</v>
      </c>
      <c r="D246" t="s">
        <v>168</v>
      </c>
      <c r="E246" t="s">
        <v>424</v>
      </c>
      <c r="F246" t="s">
        <v>425</v>
      </c>
      <c r="G246" t="s">
        <v>642</v>
      </c>
      <c r="H246" t="s">
        <v>643</v>
      </c>
      <c r="I246" t="s">
        <v>644</v>
      </c>
      <c r="J246" t="s">
        <v>455</v>
      </c>
      <c r="L246" s="38">
        <v>46191</v>
      </c>
      <c r="M246">
        <v>1</v>
      </c>
      <c r="N246" t="s">
        <v>428</v>
      </c>
      <c r="O246">
        <v>0.95</v>
      </c>
      <c r="P246">
        <v>0</v>
      </c>
      <c r="Q246">
        <v>0</v>
      </c>
      <c r="R246">
        <v>0</v>
      </c>
      <c r="S246">
        <v>0.95</v>
      </c>
      <c r="X246" t="s">
        <v>429</v>
      </c>
      <c r="Z246" s="38">
        <v>45132</v>
      </c>
      <c r="AF246" t="s">
        <v>458</v>
      </c>
    </row>
    <row r="247" spans="1:32" x14ac:dyDescent="0.25">
      <c r="A247" t="s">
        <v>318</v>
      </c>
      <c r="B247" t="s">
        <v>662</v>
      </c>
      <c r="C247" t="s">
        <v>167</v>
      </c>
      <c r="D247" t="s">
        <v>168</v>
      </c>
      <c r="E247" t="s">
        <v>424</v>
      </c>
      <c r="F247" t="s">
        <v>425</v>
      </c>
      <c r="G247" t="s">
        <v>642</v>
      </c>
      <c r="H247" t="s">
        <v>643</v>
      </c>
      <c r="I247" t="s">
        <v>644</v>
      </c>
      <c r="J247" t="s">
        <v>455</v>
      </c>
      <c r="L247" s="38">
        <v>46191</v>
      </c>
      <c r="M247">
        <v>1</v>
      </c>
      <c r="N247" t="s">
        <v>428</v>
      </c>
      <c r="O247">
        <v>0.33</v>
      </c>
      <c r="P247">
        <v>0</v>
      </c>
      <c r="Q247">
        <v>0</v>
      </c>
      <c r="R247">
        <v>0</v>
      </c>
      <c r="S247">
        <v>0.33</v>
      </c>
      <c r="U247" t="s">
        <v>432</v>
      </c>
      <c r="W247" t="s">
        <v>178</v>
      </c>
      <c r="X247" t="s">
        <v>429</v>
      </c>
      <c r="Z247" s="38">
        <v>45135</v>
      </c>
      <c r="AF247" t="s">
        <v>433</v>
      </c>
    </row>
    <row r="248" spans="1:32" x14ac:dyDescent="0.25">
      <c r="A248" t="s">
        <v>318</v>
      </c>
      <c r="B248" t="s">
        <v>663</v>
      </c>
      <c r="C248" t="s">
        <v>167</v>
      </c>
      <c r="D248" t="s">
        <v>168</v>
      </c>
      <c r="E248" t="s">
        <v>424</v>
      </c>
      <c r="F248" t="s">
        <v>425</v>
      </c>
      <c r="G248" t="s">
        <v>642</v>
      </c>
      <c r="H248" t="s">
        <v>643</v>
      </c>
      <c r="I248" t="s">
        <v>644</v>
      </c>
      <c r="J248" t="s">
        <v>455</v>
      </c>
      <c r="L248" s="38">
        <v>46191</v>
      </c>
      <c r="M248">
        <v>1</v>
      </c>
      <c r="N248" t="s">
        <v>428</v>
      </c>
      <c r="O248">
        <v>0.55000000000000004</v>
      </c>
      <c r="P248">
        <v>0</v>
      </c>
      <c r="Q248">
        <v>0</v>
      </c>
      <c r="R248">
        <v>0</v>
      </c>
      <c r="S248">
        <v>0.55000000000000004</v>
      </c>
      <c r="T248" t="s">
        <v>228</v>
      </c>
      <c r="W248" t="s">
        <v>178</v>
      </c>
      <c r="X248" t="s">
        <v>429</v>
      </c>
      <c r="Z248" s="38">
        <v>45138</v>
      </c>
      <c r="AF248" t="s">
        <v>664</v>
      </c>
    </row>
    <row r="249" spans="1:32" x14ac:dyDescent="0.25">
      <c r="A249" t="s">
        <v>318</v>
      </c>
      <c r="B249" t="s">
        <v>665</v>
      </c>
      <c r="C249" t="s">
        <v>167</v>
      </c>
      <c r="D249" t="s">
        <v>168</v>
      </c>
      <c r="E249" t="s">
        <v>424</v>
      </c>
      <c r="F249" t="s">
        <v>425</v>
      </c>
      <c r="G249" t="s">
        <v>642</v>
      </c>
      <c r="H249" t="s">
        <v>643</v>
      </c>
      <c r="I249" t="s">
        <v>644</v>
      </c>
      <c r="J249" t="s">
        <v>455</v>
      </c>
      <c r="L249" s="38">
        <v>46191</v>
      </c>
      <c r="M249">
        <v>1</v>
      </c>
      <c r="N249" t="s">
        <v>428</v>
      </c>
      <c r="O249">
        <v>0.46</v>
      </c>
      <c r="P249">
        <v>0</v>
      </c>
      <c r="Q249">
        <v>0</v>
      </c>
      <c r="R249">
        <v>0</v>
      </c>
      <c r="S249">
        <v>0.46</v>
      </c>
      <c r="T249" t="s">
        <v>228</v>
      </c>
      <c r="W249" t="s">
        <v>178</v>
      </c>
      <c r="X249" t="s">
        <v>429</v>
      </c>
      <c r="Z249" s="38">
        <v>45139</v>
      </c>
      <c r="AF249" t="s">
        <v>664</v>
      </c>
    </row>
    <row r="250" spans="1:32" x14ac:dyDescent="0.25">
      <c r="A250" t="s">
        <v>318</v>
      </c>
      <c r="B250" t="s">
        <v>666</v>
      </c>
      <c r="C250" t="s">
        <v>167</v>
      </c>
      <c r="D250" t="s">
        <v>168</v>
      </c>
      <c r="E250" t="s">
        <v>424</v>
      </c>
      <c r="F250" t="s">
        <v>425</v>
      </c>
      <c r="G250" t="s">
        <v>642</v>
      </c>
      <c r="H250" t="s">
        <v>643</v>
      </c>
      <c r="I250" t="s">
        <v>644</v>
      </c>
      <c r="J250" t="s">
        <v>455</v>
      </c>
      <c r="L250" s="38">
        <v>46191</v>
      </c>
      <c r="M250">
        <v>1</v>
      </c>
      <c r="N250" t="s">
        <v>428</v>
      </c>
      <c r="O250">
        <v>0.56000000000000005</v>
      </c>
      <c r="P250">
        <v>0</v>
      </c>
      <c r="Q250">
        <v>0</v>
      </c>
      <c r="R250">
        <v>0</v>
      </c>
      <c r="S250">
        <v>0.56000000000000005</v>
      </c>
      <c r="T250" t="s">
        <v>234</v>
      </c>
      <c r="U250" t="s">
        <v>432</v>
      </c>
      <c r="X250" t="s">
        <v>429</v>
      </c>
      <c r="Z250" s="38">
        <v>45139</v>
      </c>
      <c r="AF250" t="s">
        <v>458</v>
      </c>
    </row>
    <row r="251" spans="1:32" x14ac:dyDescent="0.25">
      <c r="A251" t="s">
        <v>318</v>
      </c>
      <c r="B251" t="s">
        <v>667</v>
      </c>
      <c r="C251" t="s">
        <v>167</v>
      </c>
      <c r="D251" t="s">
        <v>168</v>
      </c>
      <c r="E251" t="s">
        <v>424</v>
      </c>
      <c r="F251" t="s">
        <v>425</v>
      </c>
      <c r="G251" t="s">
        <v>642</v>
      </c>
      <c r="H251" t="s">
        <v>643</v>
      </c>
      <c r="I251" t="s">
        <v>644</v>
      </c>
      <c r="J251" t="s">
        <v>455</v>
      </c>
      <c r="L251" s="38">
        <v>46191</v>
      </c>
      <c r="M251">
        <v>1</v>
      </c>
      <c r="N251" t="s">
        <v>428</v>
      </c>
      <c r="O251">
        <v>0.7</v>
      </c>
      <c r="P251">
        <v>0</v>
      </c>
      <c r="Q251">
        <v>0</v>
      </c>
      <c r="R251">
        <v>0</v>
      </c>
      <c r="S251">
        <v>0.7</v>
      </c>
      <c r="T251" t="s">
        <v>234</v>
      </c>
      <c r="U251" t="s">
        <v>432</v>
      </c>
      <c r="W251" t="s">
        <v>178</v>
      </c>
      <c r="X251" t="s">
        <v>429</v>
      </c>
      <c r="Z251" s="38">
        <v>45140</v>
      </c>
      <c r="AF251" t="s">
        <v>458</v>
      </c>
    </row>
    <row r="252" spans="1:32" x14ac:dyDescent="0.25">
      <c r="A252" t="s">
        <v>318</v>
      </c>
      <c r="B252" t="s">
        <v>668</v>
      </c>
      <c r="C252" t="s">
        <v>167</v>
      </c>
      <c r="D252" t="s">
        <v>168</v>
      </c>
      <c r="E252" t="s">
        <v>424</v>
      </c>
      <c r="F252" t="s">
        <v>425</v>
      </c>
      <c r="G252" t="s">
        <v>642</v>
      </c>
      <c r="H252" t="s">
        <v>643</v>
      </c>
      <c r="I252" t="s">
        <v>644</v>
      </c>
      <c r="J252" t="s">
        <v>455</v>
      </c>
      <c r="L252" s="38">
        <v>46191</v>
      </c>
      <c r="M252">
        <v>1</v>
      </c>
      <c r="N252" t="s">
        <v>428</v>
      </c>
      <c r="O252">
        <v>0.79</v>
      </c>
      <c r="P252">
        <v>0</v>
      </c>
      <c r="Q252">
        <v>0</v>
      </c>
      <c r="R252">
        <v>0</v>
      </c>
      <c r="S252">
        <v>0.79</v>
      </c>
      <c r="T252" t="s">
        <v>234</v>
      </c>
      <c r="U252" t="s">
        <v>432</v>
      </c>
      <c r="X252" t="s">
        <v>429</v>
      </c>
      <c r="Z252" s="38">
        <v>45141</v>
      </c>
      <c r="AF252" t="s">
        <v>433</v>
      </c>
    </row>
    <row r="253" spans="1:32" x14ac:dyDescent="0.25">
      <c r="A253" t="s">
        <v>318</v>
      </c>
      <c r="B253" t="s">
        <v>669</v>
      </c>
      <c r="C253" t="s">
        <v>167</v>
      </c>
      <c r="D253" t="s">
        <v>168</v>
      </c>
      <c r="E253" t="s">
        <v>424</v>
      </c>
      <c r="F253" t="s">
        <v>425</v>
      </c>
      <c r="G253" t="s">
        <v>642</v>
      </c>
      <c r="H253" t="s">
        <v>643</v>
      </c>
      <c r="I253" t="s">
        <v>644</v>
      </c>
      <c r="J253" t="s">
        <v>455</v>
      </c>
      <c r="L253" s="38">
        <v>46191</v>
      </c>
      <c r="M253">
        <v>1</v>
      </c>
      <c r="N253" t="s">
        <v>428</v>
      </c>
      <c r="O253">
        <v>0.3</v>
      </c>
      <c r="P253">
        <v>0</v>
      </c>
      <c r="Q253">
        <v>0</v>
      </c>
      <c r="R253">
        <v>0</v>
      </c>
      <c r="S253">
        <v>0.3</v>
      </c>
      <c r="X253" t="s">
        <v>429</v>
      </c>
      <c r="Z253" s="38">
        <v>45147</v>
      </c>
      <c r="AF253" t="s">
        <v>433</v>
      </c>
    </row>
    <row r="254" spans="1:32" x14ac:dyDescent="0.25">
      <c r="A254" t="s">
        <v>318</v>
      </c>
      <c r="B254" t="s">
        <v>670</v>
      </c>
      <c r="C254" t="s">
        <v>167</v>
      </c>
      <c r="D254" t="s">
        <v>168</v>
      </c>
      <c r="E254" t="s">
        <v>424</v>
      </c>
      <c r="F254" t="s">
        <v>425</v>
      </c>
      <c r="G254" t="s">
        <v>642</v>
      </c>
      <c r="H254" t="s">
        <v>643</v>
      </c>
      <c r="I254" t="s">
        <v>644</v>
      </c>
      <c r="J254" t="s">
        <v>455</v>
      </c>
      <c r="L254" s="38">
        <v>46191</v>
      </c>
      <c r="M254">
        <v>1</v>
      </c>
      <c r="N254" t="s">
        <v>428</v>
      </c>
      <c r="O254">
        <v>4.7699999999999996</v>
      </c>
      <c r="P254">
        <v>0</v>
      </c>
      <c r="Q254">
        <v>0</v>
      </c>
      <c r="R254">
        <v>0</v>
      </c>
      <c r="S254">
        <v>4.7699999999999996</v>
      </c>
      <c r="U254" t="s">
        <v>517</v>
      </c>
      <c r="X254" t="s">
        <v>429</v>
      </c>
      <c r="Z254" s="38">
        <v>45147</v>
      </c>
      <c r="AF254" t="s">
        <v>458</v>
      </c>
    </row>
    <row r="255" spans="1:32" x14ac:dyDescent="0.25">
      <c r="A255" t="s">
        <v>318</v>
      </c>
      <c r="B255" t="s">
        <v>671</v>
      </c>
      <c r="C255" t="s">
        <v>167</v>
      </c>
      <c r="D255" t="s">
        <v>168</v>
      </c>
      <c r="E255" t="s">
        <v>424</v>
      </c>
      <c r="F255" t="s">
        <v>425</v>
      </c>
      <c r="G255" t="s">
        <v>642</v>
      </c>
      <c r="H255" t="s">
        <v>643</v>
      </c>
      <c r="I255" t="s">
        <v>644</v>
      </c>
      <c r="J255" t="s">
        <v>455</v>
      </c>
      <c r="L255" s="38">
        <v>46191</v>
      </c>
      <c r="M255">
        <v>1</v>
      </c>
      <c r="N255" t="s">
        <v>428</v>
      </c>
      <c r="O255">
        <v>0.41</v>
      </c>
      <c r="P255">
        <v>0</v>
      </c>
      <c r="Q255">
        <v>0</v>
      </c>
      <c r="R255">
        <v>0</v>
      </c>
      <c r="S255">
        <v>0.41</v>
      </c>
      <c r="T255" t="s">
        <v>234</v>
      </c>
      <c r="X255" t="s">
        <v>429</v>
      </c>
      <c r="Z255" s="38">
        <v>45147</v>
      </c>
      <c r="AF255" t="s">
        <v>458</v>
      </c>
    </row>
    <row r="256" spans="1:32" x14ac:dyDescent="0.25">
      <c r="A256" t="s">
        <v>318</v>
      </c>
      <c r="B256" t="s">
        <v>672</v>
      </c>
      <c r="C256" t="s">
        <v>167</v>
      </c>
      <c r="D256" t="s">
        <v>168</v>
      </c>
      <c r="E256" t="s">
        <v>424</v>
      </c>
      <c r="F256" t="s">
        <v>425</v>
      </c>
      <c r="G256" t="s">
        <v>642</v>
      </c>
      <c r="H256" t="s">
        <v>643</v>
      </c>
      <c r="I256" t="s">
        <v>644</v>
      </c>
      <c r="J256" t="s">
        <v>455</v>
      </c>
      <c r="L256" s="38">
        <v>46191</v>
      </c>
      <c r="M256">
        <v>1</v>
      </c>
      <c r="N256" t="s">
        <v>428</v>
      </c>
      <c r="O256">
        <v>1</v>
      </c>
      <c r="P256">
        <v>0</v>
      </c>
      <c r="Q256">
        <v>0</v>
      </c>
      <c r="R256">
        <v>0</v>
      </c>
      <c r="S256">
        <v>1</v>
      </c>
      <c r="U256" t="s">
        <v>517</v>
      </c>
      <c r="X256" t="s">
        <v>429</v>
      </c>
      <c r="Z256" s="38">
        <v>45149</v>
      </c>
      <c r="AF256" t="s">
        <v>458</v>
      </c>
    </row>
    <row r="257" spans="1:32" x14ac:dyDescent="0.25">
      <c r="A257" t="s">
        <v>318</v>
      </c>
      <c r="B257" t="s">
        <v>673</v>
      </c>
      <c r="C257" t="s">
        <v>167</v>
      </c>
      <c r="D257" t="s">
        <v>168</v>
      </c>
      <c r="E257" t="s">
        <v>424</v>
      </c>
      <c r="F257" t="s">
        <v>425</v>
      </c>
      <c r="G257" t="s">
        <v>642</v>
      </c>
      <c r="H257" t="s">
        <v>643</v>
      </c>
      <c r="I257" t="s">
        <v>644</v>
      </c>
      <c r="J257" t="s">
        <v>455</v>
      </c>
      <c r="L257" s="38">
        <v>46191</v>
      </c>
      <c r="M257">
        <v>1</v>
      </c>
      <c r="N257" t="s">
        <v>428</v>
      </c>
      <c r="O257">
        <v>0.03</v>
      </c>
      <c r="P257">
        <v>0</v>
      </c>
      <c r="Q257">
        <v>0</v>
      </c>
      <c r="R257">
        <v>0</v>
      </c>
      <c r="S257">
        <v>0.03</v>
      </c>
      <c r="U257" t="s">
        <v>432</v>
      </c>
      <c r="W257" t="s">
        <v>178</v>
      </c>
      <c r="X257" t="s">
        <v>429</v>
      </c>
      <c r="Z257" s="38">
        <v>45149</v>
      </c>
      <c r="AF257" t="s">
        <v>433</v>
      </c>
    </row>
    <row r="258" spans="1:32" x14ac:dyDescent="0.25">
      <c r="A258" t="s">
        <v>318</v>
      </c>
      <c r="B258" t="s">
        <v>674</v>
      </c>
      <c r="C258" t="s">
        <v>167</v>
      </c>
      <c r="D258" t="s">
        <v>168</v>
      </c>
      <c r="E258" t="s">
        <v>424</v>
      </c>
      <c r="F258" t="s">
        <v>425</v>
      </c>
      <c r="G258" t="s">
        <v>642</v>
      </c>
      <c r="H258" t="s">
        <v>643</v>
      </c>
      <c r="I258" t="s">
        <v>644</v>
      </c>
      <c r="J258" t="s">
        <v>455</v>
      </c>
      <c r="L258" s="38">
        <v>46191</v>
      </c>
      <c r="M258">
        <v>1</v>
      </c>
      <c r="N258" t="s">
        <v>428</v>
      </c>
      <c r="O258">
        <v>0.32</v>
      </c>
      <c r="P258">
        <v>0</v>
      </c>
      <c r="Q258">
        <v>0</v>
      </c>
      <c r="R258">
        <v>0</v>
      </c>
      <c r="S258">
        <v>0.32</v>
      </c>
      <c r="X258" t="s">
        <v>429</v>
      </c>
      <c r="Z258" s="38">
        <v>45176</v>
      </c>
      <c r="AF258" t="s">
        <v>433</v>
      </c>
    </row>
    <row r="259" spans="1:32" x14ac:dyDescent="0.25">
      <c r="A259" t="s">
        <v>318</v>
      </c>
      <c r="B259" t="s">
        <v>675</v>
      </c>
      <c r="C259" t="s">
        <v>167</v>
      </c>
      <c r="D259" t="s">
        <v>168</v>
      </c>
      <c r="E259" t="s">
        <v>424</v>
      </c>
      <c r="F259" t="s">
        <v>425</v>
      </c>
      <c r="G259" t="s">
        <v>642</v>
      </c>
      <c r="H259" t="s">
        <v>643</v>
      </c>
      <c r="I259" t="s">
        <v>644</v>
      </c>
      <c r="J259" t="s">
        <v>455</v>
      </c>
      <c r="L259" s="38">
        <v>46191</v>
      </c>
      <c r="M259">
        <v>1</v>
      </c>
      <c r="N259" t="s">
        <v>428</v>
      </c>
      <c r="O259">
        <v>1.4</v>
      </c>
      <c r="P259">
        <v>0</v>
      </c>
      <c r="Q259">
        <v>0</v>
      </c>
      <c r="R259">
        <v>0</v>
      </c>
      <c r="S259">
        <v>1.4</v>
      </c>
      <c r="T259" t="s">
        <v>228</v>
      </c>
      <c r="X259" t="s">
        <v>429</v>
      </c>
      <c r="Z259" s="38">
        <v>45177</v>
      </c>
      <c r="AF259" t="s">
        <v>627</v>
      </c>
    </row>
    <row r="260" spans="1:32" x14ac:dyDescent="0.25">
      <c r="A260" t="s">
        <v>318</v>
      </c>
      <c r="B260" t="s">
        <v>676</v>
      </c>
      <c r="C260" t="s">
        <v>167</v>
      </c>
      <c r="D260" t="s">
        <v>168</v>
      </c>
      <c r="E260" t="s">
        <v>424</v>
      </c>
      <c r="F260" t="s">
        <v>425</v>
      </c>
      <c r="G260" t="s">
        <v>642</v>
      </c>
      <c r="H260" t="s">
        <v>643</v>
      </c>
      <c r="I260" t="s">
        <v>644</v>
      </c>
      <c r="J260" t="s">
        <v>455</v>
      </c>
      <c r="L260" s="38">
        <v>46191</v>
      </c>
      <c r="M260">
        <v>1</v>
      </c>
      <c r="N260" t="s">
        <v>428</v>
      </c>
      <c r="O260">
        <v>0.73</v>
      </c>
      <c r="P260">
        <v>0</v>
      </c>
      <c r="Q260">
        <v>0</v>
      </c>
      <c r="R260">
        <v>0</v>
      </c>
      <c r="S260">
        <v>0.73</v>
      </c>
      <c r="W260" t="s">
        <v>178</v>
      </c>
      <c r="X260" t="s">
        <v>429</v>
      </c>
      <c r="Z260" s="38">
        <v>45199</v>
      </c>
      <c r="AF260" t="s">
        <v>458</v>
      </c>
    </row>
    <row r="261" spans="1:32" x14ac:dyDescent="0.25">
      <c r="A261" t="s">
        <v>318</v>
      </c>
      <c r="B261" t="s">
        <v>677</v>
      </c>
      <c r="C261" t="s">
        <v>167</v>
      </c>
      <c r="D261" t="s">
        <v>168</v>
      </c>
      <c r="E261" t="s">
        <v>424</v>
      </c>
      <c r="F261" t="s">
        <v>425</v>
      </c>
      <c r="G261" t="s">
        <v>642</v>
      </c>
      <c r="H261" t="s">
        <v>643</v>
      </c>
      <c r="I261" t="s">
        <v>644</v>
      </c>
      <c r="J261" t="s">
        <v>455</v>
      </c>
      <c r="L261" s="38">
        <v>46191</v>
      </c>
      <c r="M261">
        <v>1</v>
      </c>
      <c r="N261" t="s">
        <v>428</v>
      </c>
      <c r="O261">
        <v>0.17</v>
      </c>
      <c r="P261">
        <v>0</v>
      </c>
      <c r="Q261">
        <v>0</v>
      </c>
      <c r="R261">
        <v>0</v>
      </c>
      <c r="S261">
        <v>0.17</v>
      </c>
      <c r="X261" t="s">
        <v>429</v>
      </c>
      <c r="Z261" s="38">
        <v>45229</v>
      </c>
      <c r="AF261" t="s">
        <v>458</v>
      </c>
    </row>
    <row r="262" spans="1:32" x14ac:dyDescent="0.25">
      <c r="A262" t="s">
        <v>318</v>
      </c>
      <c r="B262" t="s">
        <v>678</v>
      </c>
      <c r="C262" t="s">
        <v>167</v>
      </c>
      <c r="D262" t="s">
        <v>168</v>
      </c>
      <c r="E262" t="s">
        <v>424</v>
      </c>
      <c r="F262" t="s">
        <v>425</v>
      </c>
      <c r="G262" t="s">
        <v>642</v>
      </c>
      <c r="H262" t="s">
        <v>643</v>
      </c>
      <c r="I262" t="s">
        <v>644</v>
      </c>
      <c r="J262" t="s">
        <v>455</v>
      </c>
      <c r="L262" s="38">
        <v>46191</v>
      </c>
      <c r="M262">
        <v>1</v>
      </c>
      <c r="N262" t="s">
        <v>428</v>
      </c>
      <c r="O262">
        <v>1.51</v>
      </c>
      <c r="P262">
        <v>0</v>
      </c>
      <c r="Q262">
        <v>0</v>
      </c>
      <c r="R262">
        <v>0</v>
      </c>
      <c r="S262">
        <v>1.51</v>
      </c>
      <c r="X262" t="s">
        <v>429</v>
      </c>
      <c r="Z262" s="38">
        <v>45260</v>
      </c>
      <c r="AF262" t="s">
        <v>458</v>
      </c>
    </row>
    <row r="263" spans="1:32" x14ac:dyDescent="0.25">
      <c r="A263" t="s">
        <v>318</v>
      </c>
      <c r="B263" t="s">
        <v>679</v>
      </c>
      <c r="C263" t="s">
        <v>167</v>
      </c>
      <c r="D263" t="s">
        <v>168</v>
      </c>
      <c r="E263" t="s">
        <v>424</v>
      </c>
      <c r="F263" t="s">
        <v>425</v>
      </c>
      <c r="G263" t="s">
        <v>642</v>
      </c>
      <c r="H263" t="s">
        <v>643</v>
      </c>
      <c r="I263" t="s">
        <v>644</v>
      </c>
      <c r="J263" t="s">
        <v>455</v>
      </c>
      <c r="L263" s="38">
        <v>46191</v>
      </c>
      <c r="M263">
        <v>1</v>
      </c>
      <c r="N263" t="s">
        <v>428</v>
      </c>
      <c r="O263">
        <v>0.13</v>
      </c>
      <c r="P263">
        <v>0</v>
      </c>
      <c r="Q263">
        <v>0</v>
      </c>
      <c r="R263">
        <v>0</v>
      </c>
      <c r="S263">
        <v>0.13</v>
      </c>
      <c r="T263" t="s">
        <v>234</v>
      </c>
      <c r="X263" t="s">
        <v>429</v>
      </c>
      <c r="Z263" s="38">
        <v>45291</v>
      </c>
      <c r="AF263" t="s">
        <v>437</v>
      </c>
    </row>
    <row r="264" spans="1:32" x14ac:dyDescent="0.25">
      <c r="A264" t="s">
        <v>318</v>
      </c>
      <c r="B264" t="s">
        <v>680</v>
      </c>
      <c r="C264" t="s">
        <v>167</v>
      </c>
      <c r="D264" t="s">
        <v>168</v>
      </c>
      <c r="E264" t="s">
        <v>424</v>
      </c>
      <c r="F264" t="s">
        <v>425</v>
      </c>
      <c r="G264" t="s">
        <v>642</v>
      </c>
      <c r="H264" t="s">
        <v>643</v>
      </c>
      <c r="I264" t="s">
        <v>644</v>
      </c>
      <c r="J264" t="s">
        <v>455</v>
      </c>
      <c r="L264" s="38">
        <v>46191</v>
      </c>
      <c r="M264">
        <v>1</v>
      </c>
      <c r="N264" t="s">
        <v>428</v>
      </c>
      <c r="O264">
        <v>0.16</v>
      </c>
      <c r="P264">
        <v>0</v>
      </c>
      <c r="Q264">
        <v>0</v>
      </c>
      <c r="R264">
        <v>0</v>
      </c>
      <c r="S264">
        <v>0.16</v>
      </c>
      <c r="W264" t="s">
        <v>503</v>
      </c>
      <c r="X264" t="s">
        <v>429</v>
      </c>
      <c r="Z264" s="38">
        <v>45382</v>
      </c>
      <c r="AF264" t="s">
        <v>437</v>
      </c>
    </row>
    <row r="265" spans="1:32" x14ac:dyDescent="0.25">
      <c r="A265" t="s">
        <v>318</v>
      </c>
      <c r="B265" t="s">
        <v>681</v>
      </c>
      <c r="C265" t="s">
        <v>167</v>
      </c>
      <c r="D265" t="s">
        <v>168</v>
      </c>
      <c r="E265" t="s">
        <v>424</v>
      </c>
      <c r="F265" t="s">
        <v>425</v>
      </c>
      <c r="G265" t="s">
        <v>642</v>
      </c>
      <c r="H265" t="s">
        <v>643</v>
      </c>
      <c r="I265" t="s">
        <v>644</v>
      </c>
      <c r="J265" t="s">
        <v>455</v>
      </c>
      <c r="L265" s="38">
        <v>46191</v>
      </c>
      <c r="M265">
        <v>1</v>
      </c>
      <c r="N265" t="s">
        <v>428</v>
      </c>
      <c r="O265">
        <v>0.04</v>
      </c>
      <c r="P265">
        <v>0</v>
      </c>
      <c r="Q265">
        <v>0</v>
      </c>
      <c r="R265">
        <v>0</v>
      </c>
      <c r="S265">
        <v>0.04</v>
      </c>
      <c r="W265" t="s">
        <v>682</v>
      </c>
      <c r="X265" t="s">
        <v>429</v>
      </c>
      <c r="Z265" s="38">
        <v>45443</v>
      </c>
      <c r="AF265" t="s">
        <v>433</v>
      </c>
    </row>
    <row r="266" spans="1:32" x14ac:dyDescent="0.25">
      <c r="A266" t="s">
        <v>318</v>
      </c>
      <c r="B266" t="s">
        <v>683</v>
      </c>
      <c r="C266" t="s">
        <v>167</v>
      </c>
      <c r="D266" t="s">
        <v>168</v>
      </c>
      <c r="E266" t="s">
        <v>424</v>
      </c>
      <c r="F266" t="s">
        <v>425</v>
      </c>
      <c r="G266" t="s">
        <v>642</v>
      </c>
      <c r="H266" t="s">
        <v>643</v>
      </c>
      <c r="I266" t="s">
        <v>644</v>
      </c>
      <c r="J266" t="s">
        <v>455</v>
      </c>
      <c r="L266" s="38">
        <v>46191</v>
      </c>
      <c r="M266">
        <v>1</v>
      </c>
      <c r="N266" t="s">
        <v>428</v>
      </c>
      <c r="O266">
        <v>0.13</v>
      </c>
      <c r="P266">
        <v>0</v>
      </c>
      <c r="Q266">
        <v>0</v>
      </c>
      <c r="R266">
        <v>0</v>
      </c>
      <c r="S266">
        <v>0.13</v>
      </c>
      <c r="W266" t="s">
        <v>178</v>
      </c>
      <c r="X266" t="s">
        <v>429</v>
      </c>
      <c r="Z266" s="38">
        <v>45443</v>
      </c>
      <c r="AF266" t="s">
        <v>437</v>
      </c>
    </row>
    <row r="267" spans="1:32" x14ac:dyDescent="0.25">
      <c r="A267" t="s">
        <v>318</v>
      </c>
      <c r="B267" t="s">
        <v>684</v>
      </c>
      <c r="C267" t="s">
        <v>167</v>
      </c>
      <c r="D267" t="s">
        <v>168</v>
      </c>
      <c r="E267" t="s">
        <v>424</v>
      </c>
      <c r="F267" t="s">
        <v>425</v>
      </c>
      <c r="G267" t="s">
        <v>642</v>
      </c>
      <c r="H267" t="s">
        <v>643</v>
      </c>
      <c r="I267" t="s">
        <v>644</v>
      </c>
      <c r="J267" t="s">
        <v>455</v>
      </c>
      <c r="L267" s="38">
        <v>46191</v>
      </c>
      <c r="M267">
        <v>1</v>
      </c>
      <c r="N267" t="s">
        <v>428</v>
      </c>
      <c r="O267">
        <v>0.16</v>
      </c>
      <c r="P267">
        <v>0</v>
      </c>
      <c r="Q267">
        <v>0</v>
      </c>
      <c r="R267">
        <v>0</v>
      </c>
      <c r="S267">
        <v>0.16</v>
      </c>
      <c r="W267" t="s">
        <v>178</v>
      </c>
      <c r="X267" t="s">
        <v>429</v>
      </c>
      <c r="Z267" s="38">
        <v>45443</v>
      </c>
      <c r="AF267" t="s">
        <v>437</v>
      </c>
    </row>
    <row r="268" spans="1:32" x14ac:dyDescent="0.25">
      <c r="A268" t="s">
        <v>318</v>
      </c>
      <c r="B268" t="s">
        <v>685</v>
      </c>
      <c r="C268" t="s">
        <v>167</v>
      </c>
      <c r="D268" t="s">
        <v>168</v>
      </c>
      <c r="E268" t="s">
        <v>424</v>
      </c>
      <c r="F268" t="s">
        <v>425</v>
      </c>
      <c r="G268" t="s">
        <v>642</v>
      </c>
      <c r="H268" t="s">
        <v>643</v>
      </c>
      <c r="I268" t="s">
        <v>644</v>
      </c>
      <c r="J268" t="s">
        <v>455</v>
      </c>
      <c r="L268" s="38">
        <v>46191</v>
      </c>
      <c r="M268">
        <v>1</v>
      </c>
      <c r="N268" t="s">
        <v>428</v>
      </c>
      <c r="O268">
        <v>0.13</v>
      </c>
      <c r="P268">
        <v>0</v>
      </c>
      <c r="Q268">
        <v>0</v>
      </c>
      <c r="R268">
        <v>0</v>
      </c>
      <c r="S268">
        <v>0.13</v>
      </c>
      <c r="X268" t="s">
        <v>429</v>
      </c>
      <c r="Z268" s="38">
        <v>45535</v>
      </c>
      <c r="AF268" t="s">
        <v>437</v>
      </c>
    </row>
    <row r="269" spans="1:32" x14ac:dyDescent="0.25">
      <c r="A269" t="s">
        <v>318</v>
      </c>
      <c r="B269" t="s">
        <v>686</v>
      </c>
      <c r="C269" t="s">
        <v>167</v>
      </c>
      <c r="D269" t="s">
        <v>168</v>
      </c>
      <c r="E269" t="s">
        <v>424</v>
      </c>
      <c r="F269" t="s">
        <v>425</v>
      </c>
      <c r="G269" t="s">
        <v>642</v>
      </c>
      <c r="H269" t="s">
        <v>643</v>
      </c>
      <c r="I269" t="s">
        <v>644</v>
      </c>
      <c r="J269" t="s">
        <v>455</v>
      </c>
      <c r="L269" s="38">
        <v>46191</v>
      </c>
      <c r="M269">
        <v>1</v>
      </c>
      <c r="N269" t="s">
        <v>428</v>
      </c>
      <c r="O269">
        <v>0.01</v>
      </c>
      <c r="P269">
        <v>0</v>
      </c>
      <c r="Q269">
        <v>0</v>
      </c>
      <c r="R269">
        <v>0</v>
      </c>
      <c r="S269">
        <v>0.01</v>
      </c>
      <c r="X269" t="s">
        <v>429</v>
      </c>
      <c r="Z269" s="38">
        <v>45535</v>
      </c>
      <c r="AF269" t="s">
        <v>437</v>
      </c>
    </row>
    <row r="270" spans="1:32" x14ac:dyDescent="0.25">
      <c r="A270" t="s">
        <v>318</v>
      </c>
      <c r="B270" t="s">
        <v>687</v>
      </c>
      <c r="C270" t="s">
        <v>167</v>
      </c>
      <c r="D270" t="s">
        <v>168</v>
      </c>
      <c r="E270" t="s">
        <v>424</v>
      </c>
      <c r="F270" t="s">
        <v>425</v>
      </c>
      <c r="G270" t="s">
        <v>642</v>
      </c>
      <c r="H270" t="s">
        <v>643</v>
      </c>
      <c r="I270" t="s">
        <v>644</v>
      </c>
      <c r="J270" t="s">
        <v>455</v>
      </c>
      <c r="L270" s="38">
        <v>46191</v>
      </c>
      <c r="M270">
        <v>1</v>
      </c>
      <c r="N270" t="s">
        <v>428</v>
      </c>
      <c r="O270">
        <v>0.1</v>
      </c>
      <c r="P270">
        <v>0</v>
      </c>
      <c r="Q270">
        <v>0</v>
      </c>
      <c r="R270">
        <v>0</v>
      </c>
      <c r="S270">
        <v>0.1</v>
      </c>
      <c r="X270" t="s">
        <v>429</v>
      </c>
      <c r="Z270" s="38">
        <v>45535</v>
      </c>
      <c r="AF270" t="s">
        <v>437</v>
      </c>
    </row>
    <row r="271" spans="1:32" x14ac:dyDescent="0.25">
      <c r="A271" t="s">
        <v>318</v>
      </c>
      <c r="B271" t="s">
        <v>688</v>
      </c>
      <c r="C271" t="s">
        <v>167</v>
      </c>
      <c r="D271" t="s">
        <v>168</v>
      </c>
      <c r="E271" t="s">
        <v>424</v>
      </c>
      <c r="F271" t="s">
        <v>425</v>
      </c>
      <c r="G271" t="s">
        <v>642</v>
      </c>
      <c r="H271" t="s">
        <v>643</v>
      </c>
      <c r="I271" t="s">
        <v>644</v>
      </c>
      <c r="J271" t="s">
        <v>455</v>
      </c>
      <c r="L271" s="38">
        <v>46191</v>
      </c>
      <c r="M271">
        <v>1</v>
      </c>
      <c r="N271" t="s">
        <v>428</v>
      </c>
      <c r="O271">
        <v>0.04</v>
      </c>
      <c r="P271">
        <v>0</v>
      </c>
      <c r="Q271">
        <v>0</v>
      </c>
      <c r="R271">
        <v>0</v>
      </c>
      <c r="S271">
        <v>0.04</v>
      </c>
      <c r="X271" t="s">
        <v>429</v>
      </c>
      <c r="Z271" s="38">
        <v>45596</v>
      </c>
      <c r="AF271" t="s">
        <v>440</v>
      </c>
    </row>
    <row r="272" spans="1:32" x14ac:dyDescent="0.25">
      <c r="A272" t="s">
        <v>318</v>
      </c>
      <c r="B272" t="s">
        <v>689</v>
      </c>
      <c r="C272" t="s">
        <v>167</v>
      </c>
      <c r="D272" t="s">
        <v>168</v>
      </c>
      <c r="E272" t="s">
        <v>424</v>
      </c>
      <c r="F272" t="s">
        <v>425</v>
      </c>
      <c r="G272" t="s">
        <v>642</v>
      </c>
      <c r="H272" t="s">
        <v>643</v>
      </c>
      <c r="I272" t="s">
        <v>644</v>
      </c>
      <c r="J272" t="s">
        <v>455</v>
      </c>
      <c r="L272" s="38">
        <v>46191</v>
      </c>
      <c r="M272">
        <v>1</v>
      </c>
      <c r="N272" t="s">
        <v>428</v>
      </c>
      <c r="O272">
        <v>0.01</v>
      </c>
      <c r="P272">
        <v>0</v>
      </c>
      <c r="Q272">
        <v>0</v>
      </c>
      <c r="R272">
        <v>0</v>
      </c>
      <c r="S272">
        <v>0.01</v>
      </c>
      <c r="X272" t="s">
        <v>429</v>
      </c>
      <c r="Z272" s="38">
        <v>45596</v>
      </c>
      <c r="AF272" t="s">
        <v>440</v>
      </c>
    </row>
    <row r="273" spans="1:33" x14ac:dyDescent="0.25">
      <c r="A273" t="s">
        <v>318</v>
      </c>
      <c r="B273" t="s">
        <v>690</v>
      </c>
      <c r="C273" t="s">
        <v>167</v>
      </c>
      <c r="D273" t="s">
        <v>168</v>
      </c>
      <c r="E273" t="s">
        <v>424</v>
      </c>
      <c r="F273" t="s">
        <v>425</v>
      </c>
      <c r="G273" t="s">
        <v>642</v>
      </c>
      <c r="H273" t="s">
        <v>643</v>
      </c>
      <c r="I273" t="s">
        <v>644</v>
      </c>
      <c r="J273" t="s">
        <v>455</v>
      </c>
      <c r="L273" s="38">
        <v>46191</v>
      </c>
      <c r="M273">
        <v>1</v>
      </c>
      <c r="N273" t="s">
        <v>428</v>
      </c>
      <c r="O273">
        <v>0.04</v>
      </c>
      <c r="P273">
        <v>0</v>
      </c>
      <c r="Q273">
        <v>0</v>
      </c>
      <c r="R273">
        <v>0</v>
      </c>
      <c r="S273">
        <v>0.04</v>
      </c>
      <c r="X273" t="s">
        <v>429</v>
      </c>
      <c r="Z273" s="38">
        <v>45657</v>
      </c>
      <c r="AF273" t="s">
        <v>440</v>
      </c>
    </row>
    <row r="274" spans="1:33" x14ac:dyDescent="0.25">
      <c r="A274" t="s">
        <v>318</v>
      </c>
      <c r="B274" t="s">
        <v>691</v>
      </c>
      <c r="C274" t="s">
        <v>167</v>
      </c>
      <c r="D274" t="s">
        <v>168</v>
      </c>
      <c r="E274" t="s">
        <v>424</v>
      </c>
      <c r="F274" t="s">
        <v>425</v>
      </c>
      <c r="G274" t="s">
        <v>642</v>
      </c>
      <c r="H274" t="s">
        <v>643</v>
      </c>
      <c r="I274" t="s">
        <v>644</v>
      </c>
      <c r="J274" t="s">
        <v>455</v>
      </c>
      <c r="L274" s="38">
        <v>46191</v>
      </c>
      <c r="M274">
        <v>1</v>
      </c>
      <c r="N274" t="s">
        <v>428</v>
      </c>
      <c r="O274">
        <v>0.45</v>
      </c>
      <c r="P274">
        <v>0</v>
      </c>
      <c r="Q274">
        <v>0</v>
      </c>
      <c r="R274">
        <v>0</v>
      </c>
      <c r="S274">
        <v>0.45</v>
      </c>
      <c r="X274" t="s">
        <v>429</v>
      </c>
      <c r="Z274" s="38">
        <v>45657</v>
      </c>
      <c r="AF274" t="s">
        <v>440</v>
      </c>
    </row>
    <row r="275" spans="1:33" x14ac:dyDescent="0.25">
      <c r="A275" t="s">
        <v>318</v>
      </c>
      <c r="B275" t="s">
        <v>692</v>
      </c>
      <c r="C275" t="s">
        <v>167</v>
      </c>
      <c r="D275" t="s">
        <v>168</v>
      </c>
      <c r="E275" t="s">
        <v>424</v>
      </c>
      <c r="F275" t="s">
        <v>425</v>
      </c>
      <c r="G275" t="s">
        <v>642</v>
      </c>
      <c r="H275" t="s">
        <v>643</v>
      </c>
      <c r="I275" t="s">
        <v>644</v>
      </c>
      <c r="J275" t="s">
        <v>455</v>
      </c>
      <c r="L275" s="38">
        <v>46191</v>
      </c>
      <c r="M275">
        <v>1</v>
      </c>
      <c r="N275" t="s">
        <v>428</v>
      </c>
      <c r="O275">
        <v>0.14000000000000001</v>
      </c>
      <c r="P275">
        <v>0</v>
      </c>
      <c r="Q275">
        <v>0</v>
      </c>
      <c r="R275">
        <v>0</v>
      </c>
      <c r="S275">
        <v>0.14000000000000001</v>
      </c>
      <c r="X275" t="s">
        <v>429</v>
      </c>
      <c r="Z275" s="38">
        <v>45869</v>
      </c>
      <c r="AF275" t="s">
        <v>440</v>
      </c>
    </row>
    <row r="276" spans="1:33" x14ac:dyDescent="0.25">
      <c r="A276" t="s">
        <v>318</v>
      </c>
      <c r="B276" t="s">
        <v>693</v>
      </c>
      <c r="C276" t="s">
        <v>167</v>
      </c>
      <c r="D276" t="s">
        <v>168</v>
      </c>
      <c r="E276" t="s">
        <v>424</v>
      </c>
      <c r="F276" t="s">
        <v>425</v>
      </c>
      <c r="G276" t="s">
        <v>258</v>
      </c>
      <c r="H276" t="s">
        <v>694</v>
      </c>
      <c r="I276" t="s">
        <v>426</v>
      </c>
      <c r="J276" t="s">
        <v>427</v>
      </c>
      <c r="L276" s="38">
        <v>46191</v>
      </c>
      <c r="M276">
        <v>1</v>
      </c>
      <c r="N276" t="s">
        <v>428</v>
      </c>
      <c r="O276">
        <v>0.08</v>
      </c>
      <c r="P276">
        <v>0</v>
      </c>
      <c r="Q276">
        <v>0</v>
      </c>
      <c r="R276">
        <v>0</v>
      </c>
      <c r="S276">
        <v>0.08</v>
      </c>
      <c r="W276" t="s">
        <v>178</v>
      </c>
      <c r="X276" t="s">
        <v>429</v>
      </c>
      <c r="Z276" s="38">
        <v>44196</v>
      </c>
      <c r="AF276" t="s">
        <v>695</v>
      </c>
    </row>
    <row r="277" spans="1:33" x14ac:dyDescent="0.25">
      <c r="A277" t="s">
        <v>318</v>
      </c>
      <c r="B277" t="s">
        <v>696</v>
      </c>
      <c r="C277" t="s">
        <v>167</v>
      </c>
      <c r="D277" t="s">
        <v>168</v>
      </c>
      <c r="E277" t="s">
        <v>424</v>
      </c>
      <c r="F277" t="s">
        <v>425</v>
      </c>
      <c r="G277" t="s">
        <v>258</v>
      </c>
      <c r="H277" t="s">
        <v>694</v>
      </c>
      <c r="I277" t="s">
        <v>426</v>
      </c>
      <c r="J277" t="s">
        <v>427</v>
      </c>
      <c r="L277" s="38">
        <v>46191</v>
      </c>
      <c r="M277">
        <v>1</v>
      </c>
      <c r="N277" t="s">
        <v>428</v>
      </c>
      <c r="O277">
        <v>0.03</v>
      </c>
      <c r="P277">
        <v>0</v>
      </c>
      <c r="Q277">
        <v>0</v>
      </c>
      <c r="R277">
        <v>0</v>
      </c>
      <c r="S277">
        <v>0.03</v>
      </c>
      <c r="U277" t="s">
        <v>432</v>
      </c>
      <c r="W277" t="s">
        <v>178</v>
      </c>
      <c r="X277" t="s">
        <v>429</v>
      </c>
      <c r="Z277" s="38">
        <v>44985</v>
      </c>
      <c r="AF277" t="s">
        <v>697</v>
      </c>
    </row>
    <row r="278" spans="1:33" x14ac:dyDescent="0.25">
      <c r="A278" t="s">
        <v>318</v>
      </c>
      <c r="B278" t="s">
        <v>698</v>
      </c>
      <c r="C278" t="s">
        <v>167</v>
      </c>
      <c r="D278" t="s">
        <v>168</v>
      </c>
      <c r="E278" t="s">
        <v>424</v>
      </c>
      <c r="F278" t="s">
        <v>425</v>
      </c>
      <c r="G278" t="s">
        <v>258</v>
      </c>
      <c r="H278" t="s">
        <v>694</v>
      </c>
      <c r="I278" t="s">
        <v>426</v>
      </c>
      <c r="J278" t="s">
        <v>519</v>
      </c>
      <c r="L278" s="38">
        <v>46191</v>
      </c>
      <c r="M278">
        <v>1</v>
      </c>
      <c r="N278" t="s">
        <v>428</v>
      </c>
      <c r="O278">
        <v>0.17</v>
      </c>
      <c r="P278">
        <v>0</v>
      </c>
      <c r="Q278">
        <v>0</v>
      </c>
      <c r="R278">
        <v>0</v>
      </c>
      <c r="S278">
        <v>0.17</v>
      </c>
      <c r="X278" t="s">
        <v>429</v>
      </c>
      <c r="Z278" s="38">
        <v>45596</v>
      </c>
      <c r="AF278" t="s">
        <v>440</v>
      </c>
    </row>
    <row r="279" spans="1:33" x14ac:dyDescent="0.25">
      <c r="A279" t="s">
        <v>318</v>
      </c>
      <c r="B279" t="s">
        <v>699</v>
      </c>
      <c r="C279" t="s">
        <v>167</v>
      </c>
      <c r="D279" t="s">
        <v>168</v>
      </c>
      <c r="E279" t="s">
        <v>424</v>
      </c>
      <c r="F279" t="s">
        <v>425</v>
      </c>
      <c r="G279" t="s">
        <v>258</v>
      </c>
      <c r="H279" t="s">
        <v>694</v>
      </c>
      <c r="I279" t="s">
        <v>426</v>
      </c>
      <c r="J279" t="s">
        <v>439</v>
      </c>
      <c r="L279" s="38">
        <v>46191</v>
      </c>
      <c r="M279">
        <v>1</v>
      </c>
      <c r="N279" t="s">
        <v>428</v>
      </c>
      <c r="O279">
        <v>0.01</v>
      </c>
      <c r="P279">
        <v>0</v>
      </c>
      <c r="Q279">
        <v>0</v>
      </c>
      <c r="R279">
        <v>0</v>
      </c>
      <c r="S279">
        <v>0.01</v>
      </c>
      <c r="W279" t="s">
        <v>207</v>
      </c>
      <c r="X279" t="s">
        <v>429</v>
      </c>
      <c r="Z279" s="38">
        <v>45747</v>
      </c>
      <c r="AF279" t="s">
        <v>440</v>
      </c>
    </row>
    <row r="280" spans="1:33" x14ac:dyDescent="0.25">
      <c r="A280" t="s">
        <v>318</v>
      </c>
      <c r="B280" t="s">
        <v>700</v>
      </c>
      <c r="C280" t="s">
        <v>167</v>
      </c>
      <c r="D280" t="s">
        <v>168</v>
      </c>
      <c r="E280" t="s">
        <v>424</v>
      </c>
      <c r="F280" t="s">
        <v>425</v>
      </c>
      <c r="G280" t="s">
        <v>258</v>
      </c>
      <c r="H280" t="s">
        <v>694</v>
      </c>
      <c r="I280" t="s">
        <v>426</v>
      </c>
      <c r="J280" t="s">
        <v>439</v>
      </c>
      <c r="L280" s="38">
        <v>46191</v>
      </c>
      <c r="M280">
        <v>1</v>
      </c>
      <c r="N280" t="s">
        <v>428</v>
      </c>
      <c r="O280">
        <v>0.17</v>
      </c>
      <c r="P280">
        <v>0</v>
      </c>
      <c r="Q280">
        <v>0</v>
      </c>
      <c r="R280">
        <v>0</v>
      </c>
      <c r="S280">
        <v>0.17</v>
      </c>
      <c r="W280" t="s">
        <v>207</v>
      </c>
      <c r="X280" t="s">
        <v>429</v>
      </c>
      <c r="Z280" s="38">
        <v>45747</v>
      </c>
      <c r="AF280" t="s">
        <v>440</v>
      </c>
    </row>
    <row r="281" spans="1:33" x14ac:dyDescent="0.25">
      <c r="A281" t="s">
        <v>318</v>
      </c>
      <c r="B281" t="s">
        <v>701</v>
      </c>
      <c r="C281" t="s">
        <v>167</v>
      </c>
      <c r="D281" t="s">
        <v>168</v>
      </c>
      <c r="E281" t="s">
        <v>424</v>
      </c>
      <c r="F281" t="s">
        <v>425</v>
      </c>
      <c r="G281" t="s">
        <v>258</v>
      </c>
      <c r="H281" t="s">
        <v>694</v>
      </c>
      <c r="I281" t="s">
        <v>426</v>
      </c>
      <c r="J281" t="s">
        <v>443</v>
      </c>
      <c r="L281" s="38">
        <v>46191</v>
      </c>
      <c r="M281">
        <v>1</v>
      </c>
      <c r="N281" t="s">
        <v>428</v>
      </c>
      <c r="O281">
        <v>0.1</v>
      </c>
      <c r="P281">
        <v>0</v>
      </c>
      <c r="Q281">
        <v>0</v>
      </c>
      <c r="R281">
        <v>0</v>
      </c>
      <c r="S281">
        <v>0.1</v>
      </c>
      <c r="X281" t="s">
        <v>429</v>
      </c>
      <c r="Z281" s="38">
        <v>45808</v>
      </c>
      <c r="AF281" t="s">
        <v>440</v>
      </c>
    </row>
    <row r="282" spans="1:33" x14ac:dyDescent="0.25">
      <c r="A282" t="s">
        <v>318</v>
      </c>
      <c r="B282" t="s">
        <v>702</v>
      </c>
      <c r="C282" t="s">
        <v>167</v>
      </c>
      <c r="D282" t="s">
        <v>168</v>
      </c>
      <c r="E282" t="s">
        <v>424</v>
      </c>
      <c r="F282" t="s">
        <v>425</v>
      </c>
      <c r="G282" t="s">
        <v>258</v>
      </c>
      <c r="H282" t="s">
        <v>694</v>
      </c>
      <c r="I282" t="s">
        <v>426</v>
      </c>
      <c r="J282" t="s">
        <v>455</v>
      </c>
      <c r="L282" s="38">
        <v>46191</v>
      </c>
      <c r="M282">
        <v>1</v>
      </c>
      <c r="N282" t="s">
        <v>428</v>
      </c>
      <c r="O282">
        <v>0.02</v>
      </c>
      <c r="P282">
        <v>0</v>
      </c>
      <c r="Q282">
        <v>0</v>
      </c>
      <c r="R282">
        <v>0</v>
      </c>
      <c r="S282">
        <v>0.02</v>
      </c>
      <c r="W282" t="s">
        <v>503</v>
      </c>
      <c r="X282" t="s">
        <v>429</v>
      </c>
      <c r="Z282" s="38">
        <v>45056</v>
      </c>
      <c r="AF282" t="s">
        <v>458</v>
      </c>
    </row>
    <row r="283" spans="1:33" x14ac:dyDescent="0.25">
      <c r="A283" t="s">
        <v>318</v>
      </c>
      <c r="B283" t="s">
        <v>703</v>
      </c>
      <c r="C283" t="s">
        <v>167</v>
      </c>
      <c r="D283" t="s">
        <v>168</v>
      </c>
      <c r="E283" t="s">
        <v>445</v>
      </c>
      <c r="F283" t="s">
        <v>425</v>
      </c>
      <c r="G283" t="s">
        <v>704</v>
      </c>
      <c r="H283" t="s">
        <v>705</v>
      </c>
      <c r="I283" t="s">
        <v>704</v>
      </c>
      <c r="J283" t="s">
        <v>455</v>
      </c>
      <c r="L283" s="38">
        <v>46191</v>
      </c>
      <c r="M283">
        <v>1</v>
      </c>
      <c r="N283" t="s">
        <v>428</v>
      </c>
      <c r="O283">
        <v>0</v>
      </c>
      <c r="P283">
        <v>0</v>
      </c>
      <c r="Q283">
        <v>0</v>
      </c>
      <c r="R283">
        <v>-119</v>
      </c>
      <c r="S283">
        <v>-119</v>
      </c>
      <c r="X283" t="s">
        <v>429</v>
      </c>
      <c r="Z283" s="38">
        <v>45873</v>
      </c>
      <c r="AF283" t="s">
        <v>706</v>
      </c>
    </row>
    <row r="284" spans="1:33" x14ac:dyDescent="0.25">
      <c r="A284" t="s">
        <v>318</v>
      </c>
      <c r="B284" t="s">
        <v>707</v>
      </c>
      <c r="C284" t="s">
        <v>167</v>
      </c>
      <c r="D284" t="s">
        <v>168</v>
      </c>
      <c r="E284" t="s">
        <v>463</v>
      </c>
      <c r="F284" t="s">
        <v>425</v>
      </c>
      <c r="G284" t="s">
        <v>272</v>
      </c>
      <c r="H284" t="s">
        <v>279</v>
      </c>
      <c r="I284" t="s">
        <v>708</v>
      </c>
      <c r="J284" t="s">
        <v>464</v>
      </c>
      <c r="L284" s="38">
        <v>46191</v>
      </c>
      <c r="M284">
        <v>1</v>
      </c>
      <c r="N284" t="s">
        <v>709</v>
      </c>
      <c r="O284">
        <v>31.02</v>
      </c>
      <c r="P284">
        <v>0</v>
      </c>
      <c r="Q284">
        <v>0</v>
      </c>
      <c r="R284">
        <v>-34</v>
      </c>
      <c r="S284">
        <v>-2.98</v>
      </c>
      <c r="X284" t="s">
        <v>710</v>
      </c>
      <c r="Z284" s="38">
        <v>46265</v>
      </c>
      <c r="AF284" t="s">
        <v>447</v>
      </c>
    </row>
    <row r="285" spans="1:33" x14ac:dyDescent="0.25">
      <c r="A285" t="s">
        <v>318</v>
      </c>
      <c r="B285" t="s">
        <v>273</v>
      </c>
      <c r="C285" t="s">
        <v>167</v>
      </c>
      <c r="D285" t="s">
        <v>168</v>
      </c>
      <c r="E285" t="s">
        <v>170</v>
      </c>
      <c r="F285" t="s">
        <v>425</v>
      </c>
      <c r="G285" t="s">
        <v>272</v>
      </c>
      <c r="H285" t="s">
        <v>279</v>
      </c>
      <c r="I285" t="s">
        <v>708</v>
      </c>
      <c r="J285" t="s">
        <v>274</v>
      </c>
      <c r="K285" t="s">
        <v>499</v>
      </c>
      <c r="L285" s="38">
        <v>46191</v>
      </c>
      <c r="M285">
        <v>1</v>
      </c>
      <c r="N285" t="s">
        <v>709</v>
      </c>
      <c r="O285">
        <v>0</v>
      </c>
      <c r="P285">
        <v>-38.4</v>
      </c>
      <c r="Q285">
        <v>34</v>
      </c>
      <c r="R285">
        <v>0</v>
      </c>
      <c r="S285">
        <v>-4.4000000000000004</v>
      </c>
      <c r="V285" t="s">
        <v>472</v>
      </c>
      <c r="X285" t="s">
        <v>710</v>
      </c>
      <c r="Z285" s="38">
        <v>46265</v>
      </c>
      <c r="AG285" t="s">
        <v>447</v>
      </c>
    </row>
    <row r="286" spans="1:33" x14ac:dyDescent="0.25">
      <c r="A286" t="s">
        <v>318</v>
      </c>
      <c r="B286" t="s">
        <v>711</v>
      </c>
      <c r="C286" t="s">
        <v>167</v>
      </c>
      <c r="D286" t="s">
        <v>168</v>
      </c>
      <c r="E286" t="s">
        <v>424</v>
      </c>
      <c r="F286" t="s">
        <v>425</v>
      </c>
      <c r="G286" t="s">
        <v>169</v>
      </c>
      <c r="H286" t="s">
        <v>712</v>
      </c>
      <c r="I286" t="s">
        <v>708</v>
      </c>
      <c r="J286" t="s">
        <v>455</v>
      </c>
      <c r="L286" s="38">
        <v>46191</v>
      </c>
      <c r="M286">
        <v>1</v>
      </c>
      <c r="N286" t="s">
        <v>428</v>
      </c>
      <c r="O286">
        <v>0.06</v>
      </c>
      <c r="P286">
        <v>0</v>
      </c>
      <c r="Q286">
        <v>0</v>
      </c>
      <c r="R286">
        <v>0</v>
      </c>
      <c r="S286">
        <v>0.06</v>
      </c>
      <c r="W286" t="s">
        <v>178</v>
      </c>
      <c r="X286" t="s">
        <v>710</v>
      </c>
      <c r="Z286" s="38">
        <v>44782</v>
      </c>
      <c r="AF286" t="s">
        <v>433</v>
      </c>
    </row>
    <row r="287" spans="1:33" x14ac:dyDescent="0.25">
      <c r="A287" t="s">
        <v>318</v>
      </c>
      <c r="B287" t="s">
        <v>713</v>
      </c>
      <c r="C287" t="s">
        <v>167</v>
      </c>
      <c r="D287" t="s">
        <v>168</v>
      </c>
      <c r="E287" t="s">
        <v>424</v>
      </c>
      <c r="F287" t="s">
        <v>425</v>
      </c>
      <c r="G287" t="s">
        <v>169</v>
      </c>
      <c r="H287" t="s">
        <v>712</v>
      </c>
      <c r="I287" t="s">
        <v>708</v>
      </c>
      <c r="J287" t="s">
        <v>455</v>
      </c>
      <c r="L287" s="38">
        <v>46191</v>
      </c>
      <c r="M287">
        <v>1</v>
      </c>
      <c r="N287" t="s">
        <v>428</v>
      </c>
      <c r="O287">
        <v>0.04</v>
      </c>
      <c r="P287">
        <v>0</v>
      </c>
      <c r="Q287">
        <v>0</v>
      </c>
      <c r="R287">
        <v>0</v>
      </c>
      <c r="S287">
        <v>0.04</v>
      </c>
      <c r="T287" t="s">
        <v>234</v>
      </c>
      <c r="W287" t="s">
        <v>178</v>
      </c>
      <c r="X287" t="s">
        <v>710</v>
      </c>
      <c r="Z287" s="38">
        <v>45131</v>
      </c>
      <c r="AF287" t="s">
        <v>458</v>
      </c>
    </row>
    <row r="288" spans="1:33" x14ac:dyDescent="0.25">
      <c r="A288" t="s">
        <v>318</v>
      </c>
      <c r="B288" t="s">
        <v>714</v>
      </c>
      <c r="C288" t="s">
        <v>167</v>
      </c>
      <c r="D288" t="s">
        <v>168</v>
      </c>
      <c r="E288" t="s">
        <v>424</v>
      </c>
      <c r="F288" t="s">
        <v>425</v>
      </c>
      <c r="G288" t="s">
        <v>169</v>
      </c>
      <c r="H288" t="s">
        <v>712</v>
      </c>
      <c r="I288" t="s">
        <v>708</v>
      </c>
      <c r="J288" t="s">
        <v>455</v>
      </c>
      <c r="L288" s="38">
        <v>46191</v>
      </c>
      <c r="M288">
        <v>1</v>
      </c>
      <c r="N288" t="s">
        <v>428</v>
      </c>
      <c r="O288">
        <v>0.08</v>
      </c>
      <c r="P288">
        <v>0</v>
      </c>
      <c r="Q288">
        <v>0</v>
      </c>
      <c r="R288">
        <v>0</v>
      </c>
      <c r="S288">
        <v>0.08</v>
      </c>
      <c r="X288" t="s">
        <v>710</v>
      </c>
      <c r="Z288" s="38">
        <v>45132</v>
      </c>
      <c r="AF288" t="s">
        <v>458</v>
      </c>
    </row>
    <row r="289" spans="1:33" x14ac:dyDescent="0.25">
      <c r="A289" t="s">
        <v>318</v>
      </c>
      <c r="B289" t="s">
        <v>715</v>
      </c>
      <c r="C289" t="s">
        <v>167</v>
      </c>
      <c r="D289" t="s">
        <v>168</v>
      </c>
      <c r="E289" t="s">
        <v>424</v>
      </c>
      <c r="F289" t="s">
        <v>425</v>
      </c>
      <c r="G289" t="s">
        <v>716</v>
      </c>
      <c r="H289" t="s">
        <v>716</v>
      </c>
      <c r="I289" t="s">
        <v>426</v>
      </c>
      <c r="J289" t="s">
        <v>519</v>
      </c>
      <c r="L289" s="38">
        <v>46191</v>
      </c>
      <c r="M289">
        <v>1</v>
      </c>
      <c r="N289" t="s">
        <v>428</v>
      </c>
      <c r="O289">
        <v>0.04</v>
      </c>
      <c r="P289">
        <v>0</v>
      </c>
      <c r="Q289">
        <v>0</v>
      </c>
      <c r="R289">
        <v>0</v>
      </c>
      <c r="S289">
        <v>0.04</v>
      </c>
      <c r="X289" t="s">
        <v>429</v>
      </c>
      <c r="Z289" s="38">
        <v>45596</v>
      </c>
      <c r="AF289" t="s">
        <v>440</v>
      </c>
    </row>
    <row r="290" spans="1:33" x14ac:dyDescent="0.25">
      <c r="A290" t="s">
        <v>717</v>
      </c>
      <c r="B290" t="s">
        <v>718</v>
      </c>
      <c r="C290" t="s">
        <v>167</v>
      </c>
      <c r="D290" t="s">
        <v>168</v>
      </c>
      <c r="E290" t="s">
        <v>424</v>
      </c>
      <c r="F290" t="s">
        <v>425</v>
      </c>
      <c r="G290" t="s">
        <v>179</v>
      </c>
      <c r="H290" t="s">
        <v>220</v>
      </c>
      <c r="I290" t="s">
        <v>426</v>
      </c>
      <c r="J290" t="s">
        <v>719</v>
      </c>
      <c r="L290" s="38">
        <v>46191</v>
      </c>
      <c r="M290">
        <v>1</v>
      </c>
      <c r="N290" t="s">
        <v>428</v>
      </c>
      <c r="O290">
        <v>0.06</v>
      </c>
      <c r="P290">
        <v>0</v>
      </c>
      <c r="Q290">
        <v>0</v>
      </c>
      <c r="R290">
        <v>0</v>
      </c>
      <c r="S290">
        <v>0.06</v>
      </c>
      <c r="W290" t="s">
        <v>207</v>
      </c>
      <c r="X290" t="s">
        <v>429</v>
      </c>
      <c r="Z290" s="38">
        <v>45626</v>
      </c>
      <c r="AF290" t="s">
        <v>440</v>
      </c>
    </row>
    <row r="291" spans="1:33" x14ac:dyDescent="0.25">
      <c r="A291" t="s">
        <v>717</v>
      </c>
      <c r="B291" t="s">
        <v>720</v>
      </c>
      <c r="C291" t="s">
        <v>167</v>
      </c>
      <c r="D291" t="s">
        <v>168</v>
      </c>
      <c r="E291" t="s">
        <v>424</v>
      </c>
      <c r="F291" t="s">
        <v>425</v>
      </c>
      <c r="G291" t="s">
        <v>179</v>
      </c>
      <c r="H291" t="s">
        <v>220</v>
      </c>
      <c r="I291" t="s">
        <v>426</v>
      </c>
      <c r="J291" t="s">
        <v>719</v>
      </c>
      <c r="L291" s="38">
        <v>46191</v>
      </c>
      <c r="M291">
        <v>1</v>
      </c>
      <c r="N291" t="s">
        <v>428</v>
      </c>
      <c r="O291">
        <v>0.13</v>
      </c>
      <c r="P291">
        <v>0</v>
      </c>
      <c r="Q291">
        <v>0</v>
      </c>
      <c r="R291">
        <v>0</v>
      </c>
      <c r="S291">
        <v>0.13</v>
      </c>
      <c r="W291" t="s">
        <v>207</v>
      </c>
      <c r="X291" t="s">
        <v>429</v>
      </c>
      <c r="Z291" s="38">
        <v>46081</v>
      </c>
      <c r="AF291" t="s">
        <v>447</v>
      </c>
    </row>
    <row r="292" spans="1:33" x14ac:dyDescent="0.25">
      <c r="A292" t="s">
        <v>717</v>
      </c>
      <c r="B292" t="s">
        <v>721</v>
      </c>
      <c r="C292" t="s">
        <v>167</v>
      </c>
      <c r="D292" t="s">
        <v>168</v>
      </c>
      <c r="E292" t="s">
        <v>424</v>
      </c>
      <c r="F292" t="s">
        <v>425</v>
      </c>
      <c r="G292" t="s">
        <v>179</v>
      </c>
      <c r="H292" t="s">
        <v>220</v>
      </c>
      <c r="I292" t="s">
        <v>426</v>
      </c>
      <c r="J292" t="s">
        <v>722</v>
      </c>
      <c r="L292" s="38">
        <v>46191</v>
      </c>
      <c r="M292">
        <v>1</v>
      </c>
      <c r="N292" t="s">
        <v>428</v>
      </c>
      <c r="O292">
        <v>0.26</v>
      </c>
      <c r="P292">
        <v>0</v>
      </c>
      <c r="Q292">
        <v>0</v>
      </c>
      <c r="R292">
        <v>0</v>
      </c>
      <c r="S292">
        <v>0.26</v>
      </c>
      <c r="X292" t="s">
        <v>429</v>
      </c>
      <c r="Z292" s="38">
        <v>46081</v>
      </c>
      <c r="AF292" t="s">
        <v>447</v>
      </c>
    </row>
    <row r="293" spans="1:33" x14ac:dyDescent="0.25">
      <c r="A293" t="s">
        <v>717</v>
      </c>
      <c r="B293" t="s">
        <v>723</v>
      </c>
      <c r="C293" t="s">
        <v>167</v>
      </c>
      <c r="D293" t="s">
        <v>168</v>
      </c>
      <c r="E293" t="s">
        <v>424</v>
      </c>
      <c r="F293" t="s">
        <v>425</v>
      </c>
      <c r="G293" t="s">
        <v>179</v>
      </c>
      <c r="H293" t="s">
        <v>220</v>
      </c>
      <c r="I293" t="s">
        <v>426</v>
      </c>
      <c r="J293" t="s">
        <v>722</v>
      </c>
      <c r="L293" s="38">
        <v>46191</v>
      </c>
      <c r="M293">
        <v>1</v>
      </c>
      <c r="N293" t="s">
        <v>428</v>
      </c>
      <c r="O293">
        <v>0.72</v>
      </c>
      <c r="P293">
        <v>0</v>
      </c>
      <c r="Q293">
        <v>0</v>
      </c>
      <c r="R293">
        <v>0</v>
      </c>
      <c r="S293">
        <v>0.72</v>
      </c>
      <c r="X293" t="s">
        <v>429</v>
      </c>
      <c r="Z293" s="38">
        <v>46081</v>
      </c>
      <c r="AF293" t="s">
        <v>447</v>
      </c>
    </row>
    <row r="294" spans="1:33" x14ac:dyDescent="0.25">
      <c r="A294" t="s">
        <v>717</v>
      </c>
      <c r="B294" t="s">
        <v>724</v>
      </c>
      <c r="C294" t="s">
        <v>167</v>
      </c>
      <c r="D294" t="s">
        <v>168</v>
      </c>
      <c r="E294" t="s">
        <v>469</v>
      </c>
      <c r="F294" t="s">
        <v>425</v>
      </c>
      <c r="G294" t="s">
        <v>179</v>
      </c>
      <c r="H294" t="s">
        <v>220</v>
      </c>
      <c r="I294" t="s">
        <v>426</v>
      </c>
      <c r="J294" t="s">
        <v>464</v>
      </c>
      <c r="K294" t="s">
        <v>725</v>
      </c>
      <c r="L294" s="38">
        <v>46191</v>
      </c>
      <c r="M294">
        <v>1</v>
      </c>
      <c r="N294" t="s">
        <v>428</v>
      </c>
      <c r="O294">
        <v>1.74</v>
      </c>
      <c r="P294">
        <v>0</v>
      </c>
      <c r="Q294">
        <v>0</v>
      </c>
      <c r="R294">
        <v>0</v>
      </c>
      <c r="S294">
        <v>1.74</v>
      </c>
      <c r="V294" t="s">
        <v>472</v>
      </c>
      <c r="X294" t="s">
        <v>429</v>
      </c>
      <c r="Z294" s="38">
        <v>46123</v>
      </c>
      <c r="AF294" t="s">
        <v>447</v>
      </c>
      <c r="AG294" t="s">
        <v>447</v>
      </c>
    </row>
    <row r="295" spans="1:33" x14ac:dyDescent="0.25">
      <c r="A295" t="s">
        <v>717</v>
      </c>
      <c r="B295" t="s">
        <v>726</v>
      </c>
      <c r="C295" t="s">
        <v>167</v>
      </c>
      <c r="D295" t="s">
        <v>168</v>
      </c>
      <c r="E295" t="s">
        <v>424</v>
      </c>
      <c r="F295" t="s">
        <v>425</v>
      </c>
      <c r="G295" t="s">
        <v>179</v>
      </c>
      <c r="H295" t="s">
        <v>220</v>
      </c>
      <c r="I295" t="s">
        <v>426</v>
      </c>
      <c r="J295" t="s">
        <v>727</v>
      </c>
      <c r="L295" s="38">
        <v>46191</v>
      </c>
      <c r="M295">
        <v>1</v>
      </c>
      <c r="N295" t="s">
        <v>428</v>
      </c>
      <c r="O295">
        <v>1.2</v>
      </c>
      <c r="P295">
        <v>0</v>
      </c>
      <c r="Q295">
        <v>0</v>
      </c>
      <c r="R295">
        <v>0</v>
      </c>
      <c r="S295">
        <v>1.2</v>
      </c>
      <c r="X295" t="s">
        <v>429</v>
      </c>
      <c r="Z295" s="38">
        <v>46142</v>
      </c>
      <c r="AF295" t="s">
        <v>447</v>
      </c>
    </row>
    <row r="296" spans="1:33" x14ac:dyDescent="0.25">
      <c r="A296" t="s">
        <v>717</v>
      </c>
      <c r="B296" t="s">
        <v>728</v>
      </c>
      <c r="C296" t="s">
        <v>167</v>
      </c>
      <c r="D296" t="s">
        <v>168</v>
      </c>
      <c r="E296" t="s">
        <v>424</v>
      </c>
      <c r="F296" t="s">
        <v>425</v>
      </c>
      <c r="G296" t="s">
        <v>179</v>
      </c>
      <c r="H296" t="s">
        <v>220</v>
      </c>
      <c r="I296" t="s">
        <v>426</v>
      </c>
      <c r="J296" t="s">
        <v>727</v>
      </c>
      <c r="L296" s="38">
        <v>46191</v>
      </c>
      <c r="M296">
        <v>1</v>
      </c>
      <c r="N296" t="s">
        <v>428</v>
      </c>
      <c r="O296">
        <v>0.42</v>
      </c>
      <c r="P296">
        <v>0</v>
      </c>
      <c r="Q296">
        <v>0</v>
      </c>
      <c r="R296">
        <v>0</v>
      </c>
      <c r="S296">
        <v>0.42</v>
      </c>
      <c r="X296" t="s">
        <v>429</v>
      </c>
      <c r="Z296" s="38">
        <v>46142</v>
      </c>
      <c r="AF296" t="s">
        <v>447</v>
      </c>
    </row>
    <row r="297" spans="1:33" x14ac:dyDescent="0.25">
      <c r="A297" t="s">
        <v>717</v>
      </c>
      <c r="B297" t="s">
        <v>729</v>
      </c>
      <c r="C297" t="s">
        <v>167</v>
      </c>
      <c r="D297" t="s">
        <v>168</v>
      </c>
      <c r="E297" t="s">
        <v>424</v>
      </c>
      <c r="F297" t="s">
        <v>425</v>
      </c>
      <c r="G297" t="s">
        <v>179</v>
      </c>
      <c r="H297" t="s">
        <v>220</v>
      </c>
      <c r="I297" t="s">
        <v>426</v>
      </c>
      <c r="J297" t="s">
        <v>730</v>
      </c>
      <c r="L297" s="38">
        <v>46191</v>
      </c>
      <c r="M297">
        <v>1</v>
      </c>
      <c r="N297" t="s">
        <v>428</v>
      </c>
      <c r="O297">
        <v>0.54</v>
      </c>
      <c r="P297">
        <v>0</v>
      </c>
      <c r="Q297">
        <v>0</v>
      </c>
      <c r="R297">
        <v>0</v>
      </c>
      <c r="S297">
        <v>0.54</v>
      </c>
      <c r="X297" t="s">
        <v>429</v>
      </c>
      <c r="Z297" s="38">
        <v>46142</v>
      </c>
      <c r="AF297" t="s">
        <v>447</v>
      </c>
    </row>
    <row r="298" spans="1:33" x14ac:dyDescent="0.25">
      <c r="A298" t="s">
        <v>717</v>
      </c>
      <c r="B298" t="s">
        <v>731</v>
      </c>
      <c r="C298" t="s">
        <v>167</v>
      </c>
      <c r="D298" t="s">
        <v>168</v>
      </c>
      <c r="E298" t="s">
        <v>478</v>
      </c>
      <c r="F298" t="s">
        <v>425</v>
      </c>
      <c r="G298" t="s">
        <v>179</v>
      </c>
      <c r="H298" t="s">
        <v>220</v>
      </c>
      <c r="I298" t="s">
        <v>426</v>
      </c>
      <c r="J298" t="s">
        <v>464</v>
      </c>
      <c r="K298" t="s">
        <v>732</v>
      </c>
      <c r="L298" s="38">
        <v>46191</v>
      </c>
      <c r="M298">
        <v>1</v>
      </c>
      <c r="N298" t="s">
        <v>428</v>
      </c>
      <c r="O298">
        <v>3.6</v>
      </c>
      <c r="P298">
        <v>0</v>
      </c>
      <c r="Q298">
        <v>0</v>
      </c>
      <c r="R298">
        <v>0</v>
      </c>
      <c r="S298">
        <v>3.6</v>
      </c>
      <c r="V298" t="s">
        <v>472</v>
      </c>
      <c r="X298" t="s">
        <v>429</v>
      </c>
      <c r="Z298" s="38">
        <v>46203</v>
      </c>
      <c r="AF298" t="s">
        <v>447</v>
      </c>
      <c r="AG298" t="s">
        <v>447</v>
      </c>
    </row>
    <row r="299" spans="1:33" x14ac:dyDescent="0.25">
      <c r="A299" t="s">
        <v>717</v>
      </c>
      <c r="B299" t="s">
        <v>733</v>
      </c>
      <c r="C299" t="s">
        <v>167</v>
      </c>
      <c r="D299" t="s">
        <v>168</v>
      </c>
      <c r="E299" t="s">
        <v>478</v>
      </c>
      <c r="F299" t="s">
        <v>425</v>
      </c>
      <c r="G299" t="s">
        <v>179</v>
      </c>
      <c r="H299" t="s">
        <v>220</v>
      </c>
      <c r="I299" t="s">
        <v>426</v>
      </c>
      <c r="J299" t="s">
        <v>464</v>
      </c>
      <c r="K299" t="s">
        <v>734</v>
      </c>
      <c r="L299" s="38">
        <v>46191</v>
      </c>
      <c r="M299">
        <v>1</v>
      </c>
      <c r="N299" t="s">
        <v>428</v>
      </c>
      <c r="O299">
        <v>1.56</v>
      </c>
      <c r="P299">
        <v>0</v>
      </c>
      <c r="Q299">
        <v>0</v>
      </c>
      <c r="R299">
        <v>0</v>
      </c>
      <c r="S299">
        <v>1.56</v>
      </c>
      <c r="V299" t="s">
        <v>472</v>
      </c>
      <c r="X299" t="s">
        <v>429</v>
      </c>
      <c r="Z299" s="38">
        <v>46203</v>
      </c>
      <c r="AF299" t="s">
        <v>447</v>
      </c>
      <c r="AG299" t="s">
        <v>447</v>
      </c>
    </row>
    <row r="300" spans="1:33" x14ac:dyDescent="0.25">
      <c r="A300" t="s">
        <v>717</v>
      </c>
      <c r="B300" t="s">
        <v>735</v>
      </c>
      <c r="C300" t="s">
        <v>167</v>
      </c>
      <c r="D300" t="s">
        <v>168</v>
      </c>
      <c r="E300" t="s">
        <v>478</v>
      </c>
      <c r="F300" t="s">
        <v>425</v>
      </c>
      <c r="G300" t="s">
        <v>179</v>
      </c>
      <c r="H300" t="s">
        <v>220</v>
      </c>
      <c r="I300" t="s">
        <v>426</v>
      </c>
      <c r="J300" t="s">
        <v>464</v>
      </c>
      <c r="K300" t="s">
        <v>736</v>
      </c>
      <c r="L300" s="38">
        <v>46191</v>
      </c>
      <c r="M300">
        <v>1</v>
      </c>
      <c r="N300" t="s">
        <v>428</v>
      </c>
      <c r="O300">
        <v>0.6</v>
      </c>
      <c r="P300">
        <v>0</v>
      </c>
      <c r="Q300">
        <v>0</v>
      </c>
      <c r="R300">
        <v>0</v>
      </c>
      <c r="S300">
        <v>0.6</v>
      </c>
      <c r="V300" t="s">
        <v>472</v>
      </c>
      <c r="X300" t="s">
        <v>429</v>
      </c>
      <c r="Z300" s="38">
        <v>46203</v>
      </c>
      <c r="AF300" t="s">
        <v>447</v>
      </c>
      <c r="AG300" t="s">
        <v>447</v>
      </c>
    </row>
    <row r="301" spans="1:33" x14ac:dyDescent="0.25">
      <c r="A301" t="s">
        <v>717</v>
      </c>
      <c r="B301" t="s">
        <v>737</v>
      </c>
      <c r="C301" t="s">
        <v>167</v>
      </c>
      <c r="D301" t="s">
        <v>168</v>
      </c>
      <c r="E301" t="s">
        <v>469</v>
      </c>
      <c r="F301" t="s">
        <v>425</v>
      </c>
      <c r="G301" t="s">
        <v>179</v>
      </c>
      <c r="H301" t="s">
        <v>220</v>
      </c>
      <c r="I301" t="s">
        <v>426</v>
      </c>
      <c r="J301" t="s">
        <v>464</v>
      </c>
      <c r="K301" t="s">
        <v>738</v>
      </c>
      <c r="L301" s="38">
        <v>46191</v>
      </c>
      <c r="M301">
        <v>1</v>
      </c>
      <c r="N301" t="s">
        <v>428</v>
      </c>
      <c r="O301">
        <v>1.2</v>
      </c>
      <c r="P301">
        <v>0</v>
      </c>
      <c r="Q301">
        <v>0</v>
      </c>
      <c r="R301">
        <v>0</v>
      </c>
      <c r="S301">
        <v>1.2</v>
      </c>
      <c r="V301" t="s">
        <v>472</v>
      </c>
      <c r="X301" t="s">
        <v>429</v>
      </c>
      <c r="Z301" s="38">
        <v>46203</v>
      </c>
      <c r="AF301" t="s">
        <v>447</v>
      </c>
      <c r="AG301" t="s">
        <v>447</v>
      </c>
    </row>
    <row r="302" spans="1:33" x14ac:dyDescent="0.25">
      <c r="A302" t="s">
        <v>717</v>
      </c>
      <c r="B302" t="s">
        <v>739</v>
      </c>
      <c r="C302" t="s">
        <v>167</v>
      </c>
      <c r="D302" t="s">
        <v>168</v>
      </c>
      <c r="E302" t="s">
        <v>469</v>
      </c>
      <c r="F302" t="s">
        <v>425</v>
      </c>
      <c r="G302" t="s">
        <v>179</v>
      </c>
      <c r="H302" t="s">
        <v>220</v>
      </c>
      <c r="I302" t="s">
        <v>426</v>
      </c>
      <c r="J302" t="s">
        <v>464</v>
      </c>
      <c r="K302" t="s">
        <v>740</v>
      </c>
      <c r="L302" s="38">
        <v>46191</v>
      </c>
      <c r="M302">
        <v>1</v>
      </c>
      <c r="N302" t="s">
        <v>428</v>
      </c>
      <c r="O302">
        <v>0.48</v>
      </c>
      <c r="P302">
        <v>0</v>
      </c>
      <c r="Q302">
        <v>0</v>
      </c>
      <c r="R302">
        <v>0</v>
      </c>
      <c r="S302">
        <v>0.48</v>
      </c>
      <c r="V302" t="s">
        <v>472</v>
      </c>
      <c r="X302" t="s">
        <v>429</v>
      </c>
      <c r="Z302" s="38">
        <v>46203</v>
      </c>
      <c r="AF302" t="s">
        <v>447</v>
      </c>
      <c r="AG302" t="s">
        <v>447</v>
      </c>
    </row>
    <row r="303" spans="1:33" x14ac:dyDescent="0.25">
      <c r="A303" t="s">
        <v>717</v>
      </c>
      <c r="B303" t="s">
        <v>741</v>
      </c>
      <c r="C303" t="s">
        <v>167</v>
      </c>
      <c r="D303" t="s">
        <v>168</v>
      </c>
      <c r="E303" t="s">
        <v>469</v>
      </c>
      <c r="F303" t="s">
        <v>425</v>
      </c>
      <c r="G303" t="s">
        <v>179</v>
      </c>
      <c r="H303" t="s">
        <v>220</v>
      </c>
      <c r="I303" t="s">
        <v>426</v>
      </c>
      <c r="J303" t="s">
        <v>464</v>
      </c>
      <c r="K303" t="s">
        <v>742</v>
      </c>
      <c r="L303" s="38">
        <v>46191</v>
      </c>
      <c r="M303">
        <v>1</v>
      </c>
      <c r="N303" t="s">
        <v>428</v>
      </c>
      <c r="O303">
        <v>1.2</v>
      </c>
      <c r="P303">
        <v>0</v>
      </c>
      <c r="Q303">
        <v>0</v>
      </c>
      <c r="R303">
        <v>0</v>
      </c>
      <c r="S303">
        <v>1.2</v>
      </c>
      <c r="V303" t="s">
        <v>472</v>
      </c>
      <c r="X303" t="s">
        <v>429</v>
      </c>
      <c r="Z303" s="38">
        <v>46203</v>
      </c>
      <c r="AF303" t="s">
        <v>447</v>
      </c>
      <c r="AG303" t="s">
        <v>447</v>
      </c>
    </row>
    <row r="304" spans="1:33" x14ac:dyDescent="0.25">
      <c r="A304" t="s">
        <v>717</v>
      </c>
      <c r="B304" t="s">
        <v>743</v>
      </c>
      <c r="C304" t="s">
        <v>167</v>
      </c>
      <c r="D304" t="s">
        <v>168</v>
      </c>
      <c r="E304" t="s">
        <v>478</v>
      </c>
      <c r="F304" t="s">
        <v>425</v>
      </c>
      <c r="G304" t="s">
        <v>179</v>
      </c>
      <c r="H304" t="s">
        <v>220</v>
      </c>
      <c r="I304" t="s">
        <v>426</v>
      </c>
      <c r="J304" t="s">
        <v>464</v>
      </c>
      <c r="K304" t="s">
        <v>744</v>
      </c>
      <c r="L304" s="38">
        <v>46191</v>
      </c>
      <c r="M304">
        <v>1</v>
      </c>
      <c r="N304" t="s">
        <v>428</v>
      </c>
      <c r="O304">
        <v>0.3</v>
      </c>
      <c r="P304">
        <v>0</v>
      </c>
      <c r="Q304">
        <v>0</v>
      </c>
      <c r="R304">
        <v>0</v>
      </c>
      <c r="S304">
        <v>0.3</v>
      </c>
      <c r="V304" t="s">
        <v>472</v>
      </c>
      <c r="X304" t="s">
        <v>429</v>
      </c>
      <c r="Z304" s="38">
        <v>46203</v>
      </c>
      <c r="AF304" t="s">
        <v>447</v>
      </c>
      <c r="AG304" t="s">
        <v>447</v>
      </c>
    </row>
    <row r="305" spans="1:33" x14ac:dyDescent="0.25">
      <c r="A305" t="s">
        <v>717</v>
      </c>
      <c r="B305" t="s">
        <v>745</v>
      </c>
      <c r="C305" t="s">
        <v>167</v>
      </c>
      <c r="D305" t="s">
        <v>168</v>
      </c>
      <c r="E305" t="s">
        <v>478</v>
      </c>
      <c r="F305" t="s">
        <v>425</v>
      </c>
      <c r="G305" t="s">
        <v>179</v>
      </c>
      <c r="H305" t="s">
        <v>220</v>
      </c>
      <c r="I305" t="s">
        <v>426</v>
      </c>
      <c r="J305" t="s">
        <v>464</v>
      </c>
      <c r="K305" t="s">
        <v>746</v>
      </c>
      <c r="L305" s="38">
        <v>46191</v>
      </c>
      <c r="M305">
        <v>1</v>
      </c>
      <c r="N305" t="s">
        <v>428</v>
      </c>
      <c r="O305">
        <v>1.62</v>
      </c>
      <c r="P305">
        <v>0</v>
      </c>
      <c r="Q305">
        <v>0</v>
      </c>
      <c r="R305">
        <v>0</v>
      </c>
      <c r="S305">
        <v>1.62</v>
      </c>
      <c r="V305" t="s">
        <v>472</v>
      </c>
      <c r="X305" t="s">
        <v>429</v>
      </c>
      <c r="Z305" s="38">
        <v>46203</v>
      </c>
      <c r="AF305" t="s">
        <v>447</v>
      </c>
      <c r="AG305" t="s">
        <v>447</v>
      </c>
    </row>
    <row r="306" spans="1:33" x14ac:dyDescent="0.25">
      <c r="A306" t="s">
        <v>717</v>
      </c>
      <c r="B306" t="s">
        <v>747</v>
      </c>
      <c r="C306" t="s">
        <v>167</v>
      </c>
      <c r="D306" t="s">
        <v>168</v>
      </c>
      <c r="E306" t="s">
        <v>478</v>
      </c>
      <c r="F306" t="s">
        <v>425</v>
      </c>
      <c r="G306" t="s">
        <v>179</v>
      </c>
      <c r="H306" t="s">
        <v>220</v>
      </c>
      <c r="I306" t="s">
        <v>426</v>
      </c>
      <c r="J306" t="s">
        <v>464</v>
      </c>
      <c r="K306" t="s">
        <v>748</v>
      </c>
      <c r="L306" s="38">
        <v>46191</v>
      </c>
      <c r="M306">
        <v>1</v>
      </c>
      <c r="N306" t="s">
        <v>428</v>
      </c>
      <c r="O306">
        <v>0.3</v>
      </c>
      <c r="P306">
        <v>0</v>
      </c>
      <c r="Q306">
        <v>0</v>
      </c>
      <c r="R306">
        <v>0</v>
      </c>
      <c r="S306">
        <v>0.3</v>
      </c>
      <c r="V306" t="s">
        <v>472</v>
      </c>
      <c r="X306" t="s">
        <v>429</v>
      </c>
      <c r="Z306" s="38">
        <v>46203</v>
      </c>
      <c r="AF306" t="s">
        <v>447</v>
      </c>
      <c r="AG306" t="s">
        <v>447</v>
      </c>
    </row>
    <row r="307" spans="1:33" x14ac:dyDescent="0.25">
      <c r="A307" t="s">
        <v>717</v>
      </c>
      <c r="B307" t="s">
        <v>749</v>
      </c>
      <c r="C307" t="s">
        <v>167</v>
      </c>
      <c r="D307" t="s">
        <v>168</v>
      </c>
      <c r="E307" t="s">
        <v>478</v>
      </c>
      <c r="F307" t="s">
        <v>425</v>
      </c>
      <c r="G307" t="s">
        <v>179</v>
      </c>
      <c r="H307" t="s">
        <v>220</v>
      </c>
      <c r="I307" t="s">
        <v>426</v>
      </c>
      <c r="J307" t="s">
        <v>464</v>
      </c>
      <c r="K307" t="s">
        <v>750</v>
      </c>
      <c r="L307" s="38">
        <v>46191</v>
      </c>
      <c r="M307">
        <v>1</v>
      </c>
      <c r="N307" t="s">
        <v>428</v>
      </c>
      <c r="O307">
        <v>3</v>
      </c>
      <c r="P307">
        <v>0</v>
      </c>
      <c r="Q307">
        <v>0</v>
      </c>
      <c r="R307">
        <v>0</v>
      </c>
      <c r="S307">
        <v>3</v>
      </c>
      <c r="V307" t="s">
        <v>472</v>
      </c>
      <c r="X307" t="s">
        <v>429</v>
      </c>
      <c r="Z307" s="38">
        <v>46203</v>
      </c>
      <c r="AF307" t="s">
        <v>447</v>
      </c>
      <c r="AG307" t="s">
        <v>447</v>
      </c>
    </row>
    <row r="308" spans="1:33" x14ac:dyDescent="0.25">
      <c r="A308" t="s">
        <v>717</v>
      </c>
      <c r="B308" t="s">
        <v>751</v>
      </c>
      <c r="C308" t="s">
        <v>167</v>
      </c>
      <c r="D308" t="s">
        <v>168</v>
      </c>
      <c r="E308" t="s">
        <v>463</v>
      </c>
      <c r="F308" t="s">
        <v>425</v>
      </c>
      <c r="G308" t="s">
        <v>179</v>
      </c>
      <c r="H308" t="s">
        <v>220</v>
      </c>
      <c r="I308" t="s">
        <v>426</v>
      </c>
      <c r="J308" t="s">
        <v>464</v>
      </c>
      <c r="L308" s="38">
        <v>46191</v>
      </c>
      <c r="M308">
        <v>2</v>
      </c>
      <c r="N308" t="s">
        <v>428</v>
      </c>
      <c r="O308">
        <v>0.06</v>
      </c>
      <c r="P308">
        <v>0</v>
      </c>
      <c r="Q308">
        <v>0</v>
      </c>
      <c r="R308">
        <v>0</v>
      </c>
      <c r="S308">
        <v>0</v>
      </c>
      <c r="X308" t="s">
        <v>429</v>
      </c>
      <c r="Z308" s="38">
        <v>46203</v>
      </c>
      <c r="AF308" t="s">
        <v>447</v>
      </c>
    </row>
    <row r="309" spans="1:33" x14ac:dyDescent="0.25">
      <c r="A309" t="s">
        <v>717</v>
      </c>
      <c r="B309" t="s">
        <v>751</v>
      </c>
      <c r="C309" t="s">
        <v>167</v>
      </c>
      <c r="D309" t="s">
        <v>168</v>
      </c>
      <c r="E309" t="s">
        <v>478</v>
      </c>
      <c r="F309" t="s">
        <v>425</v>
      </c>
      <c r="G309" t="s">
        <v>179</v>
      </c>
      <c r="H309" t="s">
        <v>220</v>
      </c>
      <c r="I309" t="s">
        <v>426</v>
      </c>
      <c r="J309" t="s">
        <v>464</v>
      </c>
      <c r="K309" t="s">
        <v>203</v>
      </c>
      <c r="L309" s="38">
        <v>46191</v>
      </c>
      <c r="M309">
        <v>2</v>
      </c>
      <c r="N309" t="s">
        <v>428</v>
      </c>
      <c r="O309">
        <v>0.9</v>
      </c>
      <c r="P309">
        <v>0</v>
      </c>
      <c r="Q309">
        <v>0</v>
      </c>
      <c r="R309">
        <v>0</v>
      </c>
      <c r="S309">
        <v>0.96</v>
      </c>
      <c r="V309" t="s">
        <v>472</v>
      </c>
      <c r="X309" t="s">
        <v>429</v>
      </c>
      <c r="Z309" s="38">
        <v>46203</v>
      </c>
      <c r="AF309" t="s">
        <v>447</v>
      </c>
      <c r="AG309" t="s">
        <v>447</v>
      </c>
    </row>
    <row r="310" spans="1:33" x14ac:dyDescent="0.25">
      <c r="A310" t="s">
        <v>717</v>
      </c>
      <c r="B310" t="s">
        <v>1272</v>
      </c>
      <c r="C310" t="s">
        <v>167</v>
      </c>
      <c r="D310" t="s">
        <v>168</v>
      </c>
      <c r="E310" t="s">
        <v>463</v>
      </c>
      <c r="F310" t="s">
        <v>425</v>
      </c>
      <c r="G310" t="s">
        <v>179</v>
      </c>
      <c r="H310" t="s">
        <v>220</v>
      </c>
      <c r="I310" t="s">
        <v>426</v>
      </c>
      <c r="J310" t="s">
        <v>464</v>
      </c>
      <c r="L310" s="38">
        <v>46191</v>
      </c>
      <c r="M310">
        <v>1</v>
      </c>
      <c r="N310" t="s">
        <v>428</v>
      </c>
      <c r="O310">
        <v>1.92</v>
      </c>
      <c r="P310">
        <v>0</v>
      </c>
      <c r="Q310">
        <v>0</v>
      </c>
      <c r="R310">
        <v>0</v>
      </c>
      <c r="S310">
        <v>1.92</v>
      </c>
      <c r="X310" t="s">
        <v>429</v>
      </c>
      <c r="Z310" s="38">
        <v>46203</v>
      </c>
      <c r="AF310" t="s">
        <v>447</v>
      </c>
    </row>
    <row r="311" spans="1:33" x14ac:dyDescent="0.25">
      <c r="A311" t="s">
        <v>717</v>
      </c>
      <c r="B311" t="s">
        <v>1273</v>
      </c>
      <c r="C311" t="s">
        <v>167</v>
      </c>
      <c r="D311" t="s">
        <v>168</v>
      </c>
      <c r="E311" t="s">
        <v>463</v>
      </c>
      <c r="F311" t="s">
        <v>425</v>
      </c>
      <c r="G311" t="s">
        <v>179</v>
      </c>
      <c r="H311" t="s">
        <v>220</v>
      </c>
      <c r="I311" t="s">
        <v>426</v>
      </c>
      <c r="J311" t="s">
        <v>464</v>
      </c>
      <c r="L311" s="38">
        <v>46191</v>
      </c>
      <c r="M311">
        <v>1</v>
      </c>
      <c r="N311" t="s">
        <v>428</v>
      </c>
      <c r="O311">
        <v>1.92</v>
      </c>
      <c r="P311">
        <v>0</v>
      </c>
      <c r="Q311">
        <v>0</v>
      </c>
      <c r="R311">
        <v>0</v>
      </c>
      <c r="S311">
        <v>1.92</v>
      </c>
      <c r="X311" t="s">
        <v>429</v>
      </c>
      <c r="Z311" s="38">
        <v>46203</v>
      </c>
      <c r="AF311" t="s">
        <v>447</v>
      </c>
    </row>
    <row r="312" spans="1:33" x14ac:dyDescent="0.25">
      <c r="A312" t="s">
        <v>717</v>
      </c>
      <c r="B312" t="s">
        <v>1274</v>
      </c>
      <c r="C312" t="s">
        <v>167</v>
      </c>
      <c r="D312" t="s">
        <v>168</v>
      </c>
      <c r="E312" t="s">
        <v>463</v>
      </c>
      <c r="F312" t="s">
        <v>425</v>
      </c>
      <c r="G312" t="s">
        <v>179</v>
      </c>
      <c r="H312" t="s">
        <v>220</v>
      </c>
      <c r="I312" t="s">
        <v>426</v>
      </c>
      <c r="J312" t="s">
        <v>464</v>
      </c>
      <c r="L312" s="38">
        <v>46191</v>
      </c>
      <c r="M312">
        <v>1</v>
      </c>
      <c r="N312" t="s">
        <v>428</v>
      </c>
      <c r="O312">
        <v>3.6</v>
      </c>
      <c r="P312">
        <v>0</v>
      </c>
      <c r="Q312">
        <v>0</v>
      </c>
      <c r="R312">
        <v>0</v>
      </c>
      <c r="S312">
        <v>3.6</v>
      </c>
      <c r="X312" t="s">
        <v>429</v>
      </c>
      <c r="Z312" s="38">
        <v>46203</v>
      </c>
      <c r="AF312" t="s">
        <v>447</v>
      </c>
    </row>
    <row r="313" spans="1:33" x14ac:dyDescent="0.25">
      <c r="A313" t="s">
        <v>717</v>
      </c>
      <c r="B313" t="s">
        <v>752</v>
      </c>
      <c r="C313" t="s">
        <v>167</v>
      </c>
      <c r="D313" t="s">
        <v>168</v>
      </c>
      <c r="E313" t="s">
        <v>424</v>
      </c>
      <c r="F313" t="s">
        <v>425</v>
      </c>
      <c r="G313" t="s">
        <v>179</v>
      </c>
      <c r="H313" t="s">
        <v>220</v>
      </c>
      <c r="I313" t="s">
        <v>426</v>
      </c>
      <c r="J313" t="s">
        <v>455</v>
      </c>
      <c r="L313" s="38">
        <v>46191</v>
      </c>
      <c r="M313">
        <v>1</v>
      </c>
      <c r="N313" t="s">
        <v>428</v>
      </c>
      <c r="O313">
        <v>0.06</v>
      </c>
      <c r="P313">
        <v>0</v>
      </c>
      <c r="Q313">
        <v>0</v>
      </c>
      <c r="R313">
        <v>0</v>
      </c>
      <c r="S313">
        <v>0.06</v>
      </c>
      <c r="X313" t="s">
        <v>429</v>
      </c>
      <c r="Z313" s="38">
        <v>44687</v>
      </c>
      <c r="AF313" t="s">
        <v>433</v>
      </c>
    </row>
    <row r="314" spans="1:33" x14ac:dyDescent="0.25">
      <c r="A314" t="s">
        <v>717</v>
      </c>
      <c r="B314" t="s">
        <v>753</v>
      </c>
      <c r="C314" t="s">
        <v>167</v>
      </c>
      <c r="D314" t="s">
        <v>168</v>
      </c>
      <c r="E314" t="s">
        <v>424</v>
      </c>
      <c r="F314" t="s">
        <v>425</v>
      </c>
      <c r="G314" t="s">
        <v>179</v>
      </c>
      <c r="H314" t="s">
        <v>220</v>
      </c>
      <c r="I314" t="s">
        <v>426</v>
      </c>
      <c r="J314" t="s">
        <v>455</v>
      </c>
      <c r="L314" s="38">
        <v>46191</v>
      </c>
      <c r="M314">
        <v>1</v>
      </c>
      <c r="N314" t="s">
        <v>428</v>
      </c>
      <c r="O314">
        <v>0.04</v>
      </c>
      <c r="P314">
        <v>0</v>
      </c>
      <c r="Q314">
        <v>0</v>
      </c>
      <c r="R314">
        <v>0</v>
      </c>
      <c r="S314">
        <v>0.04</v>
      </c>
      <c r="X314" t="s">
        <v>429</v>
      </c>
      <c r="Z314" s="38">
        <v>44741</v>
      </c>
      <c r="AF314" t="s">
        <v>433</v>
      </c>
    </row>
    <row r="315" spans="1:33" x14ac:dyDescent="0.25">
      <c r="A315" t="s">
        <v>717</v>
      </c>
      <c r="B315" t="s">
        <v>754</v>
      </c>
      <c r="C315" t="s">
        <v>167</v>
      </c>
      <c r="D315" t="s">
        <v>168</v>
      </c>
      <c r="E315" t="s">
        <v>424</v>
      </c>
      <c r="F315" t="s">
        <v>425</v>
      </c>
      <c r="G315" t="s">
        <v>179</v>
      </c>
      <c r="H315" t="s">
        <v>220</v>
      </c>
      <c r="I315" t="s">
        <v>426</v>
      </c>
      <c r="J315" t="s">
        <v>455</v>
      </c>
      <c r="L315" s="38">
        <v>46191</v>
      </c>
      <c r="M315">
        <v>1</v>
      </c>
      <c r="N315" t="s">
        <v>428</v>
      </c>
      <c r="O315">
        <v>0.25</v>
      </c>
      <c r="P315">
        <v>0</v>
      </c>
      <c r="Q315">
        <v>0</v>
      </c>
      <c r="R315">
        <v>0</v>
      </c>
      <c r="S315">
        <v>0.25</v>
      </c>
      <c r="W315" t="s">
        <v>178</v>
      </c>
      <c r="X315" t="s">
        <v>429</v>
      </c>
      <c r="Z315" s="38">
        <v>44756</v>
      </c>
      <c r="AF315" t="s">
        <v>535</v>
      </c>
    </row>
    <row r="316" spans="1:33" x14ac:dyDescent="0.25">
      <c r="A316" t="s">
        <v>717</v>
      </c>
      <c r="B316" t="s">
        <v>755</v>
      </c>
      <c r="C316" t="s">
        <v>167</v>
      </c>
      <c r="D316" t="s">
        <v>168</v>
      </c>
      <c r="E316" t="s">
        <v>424</v>
      </c>
      <c r="F316" t="s">
        <v>425</v>
      </c>
      <c r="G316" t="s">
        <v>179</v>
      </c>
      <c r="H316" t="s">
        <v>220</v>
      </c>
      <c r="I316" t="s">
        <v>426</v>
      </c>
      <c r="J316" t="s">
        <v>455</v>
      </c>
      <c r="L316" s="38">
        <v>46191</v>
      </c>
      <c r="M316">
        <v>1</v>
      </c>
      <c r="N316" t="s">
        <v>428</v>
      </c>
      <c r="O316">
        <v>0.02</v>
      </c>
      <c r="P316">
        <v>0</v>
      </c>
      <c r="Q316">
        <v>0</v>
      </c>
      <c r="R316">
        <v>0</v>
      </c>
      <c r="S316">
        <v>0.02</v>
      </c>
      <c r="T316" t="s">
        <v>228</v>
      </c>
      <c r="W316" t="s">
        <v>178</v>
      </c>
      <c r="X316" t="s">
        <v>429</v>
      </c>
      <c r="Z316" s="38">
        <v>44981</v>
      </c>
      <c r="AF316" t="s">
        <v>433</v>
      </c>
    </row>
    <row r="317" spans="1:33" x14ac:dyDescent="0.25">
      <c r="A317" t="s">
        <v>717</v>
      </c>
      <c r="B317" t="s">
        <v>756</v>
      </c>
      <c r="C317" t="s">
        <v>167</v>
      </c>
      <c r="D317" t="s">
        <v>168</v>
      </c>
      <c r="E317" t="s">
        <v>170</v>
      </c>
      <c r="F317" t="s">
        <v>425</v>
      </c>
      <c r="G317" t="s">
        <v>179</v>
      </c>
      <c r="H317" t="s">
        <v>220</v>
      </c>
      <c r="I317" t="s">
        <v>426</v>
      </c>
      <c r="J317" t="s">
        <v>172</v>
      </c>
      <c r="K317" t="s">
        <v>499</v>
      </c>
      <c r="L317" s="38">
        <v>46191</v>
      </c>
      <c r="M317">
        <v>1</v>
      </c>
      <c r="N317" t="s">
        <v>428</v>
      </c>
      <c r="O317">
        <v>0</v>
      </c>
      <c r="P317">
        <v>0</v>
      </c>
      <c r="Q317">
        <v>0</v>
      </c>
      <c r="R317">
        <v>0</v>
      </c>
      <c r="S317">
        <v>0</v>
      </c>
      <c r="V317" t="s">
        <v>472</v>
      </c>
      <c r="W317" t="s">
        <v>178</v>
      </c>
      <c r="X317" t="s">
        <v>429</v>
      </c>
      <c r="Z317" s="38">
        <v>46081</v>
      </c>
      <c r="AG317" t="s">
        <v>447</v>
      </c>
    </row>
    <row r="318" spans="1:33" x14ac:dyDescent="0.25">
      <c r="A318" t="s">
        <v>717</v>
      </c>
      <c r="B318" t="s">
        <v>757</v>
      </c>
      <c r="C318" t="s">
        <v>167</v>
      </c>
      <c r="D318" t="s">
        <v>168</v>
      </c>
      <c r="E318" t="s">
        <v>170</v>
      </c>
      <c r="F318" t="s">
        <v>425</v>
      </c>
      <c r="G318" t="s">
        <v>179</v>
      </c>
      <c r="H318" t="s">
        <v>220</v>
      </c>
      <c r="I318" t="s">
        <v>426</v>
      </c>
      <c r="J318" t="s">
        <v>172</v>
      </c>
      <c r="K318" t="s">
        <v>499</v>
      </c>
      <c r="L318" s="38">
        <v>46191</v>
      </c>
      <c r="M318">
        <v>1</v>
      </c>
      <c r="N318" t="s">
        <v>428</v>
      </c>
      <c r="O318">
        <v>0</v>
      </c>
      <c r="P318">
        <v>0</v>
      </c>
      <c r="Q318">
        <v>0</v>
      </c>
      <c r="R318">
        <v>0</v>
      </c>
      <c r="S318">
        <v>0</v>
      </c>
      <c r="V318" t="s">
        <v>472</v>
      </c>
      <c r="W318" t="s">
        <v>178</v>
      </c>
      <c r="X318" t="s">
        <v>429</v>
      </c>
      <c r="Z318" s="38">
        <v>46081</v>
      </c>
      <c r="AG318" t="s">
        <v>447</v>
      </c>
    </row>
    <row r="319" spans="1:33" x14ac:dyDescent="0.25">
      <c r="A319" t="s">
        <v>717</v>
      </c>
      <c r="B319" t="s">
        <v>758</v>
      </c>
      <c r="C319" t="s">
        <v>167</v>
      </c>
      <c r="D319" t="s">
        <v>168</v>
      </c>
      <c r="E319" t="s">
        <v>170</v>
      </c>
      <c r="F319" t="s">
        <v>425</v>
      </c>
      <c r="G319" t="s">
        <v>179</v>
      </c>
      <c r="H319" t="s">
        <v>220</v>
      </c>
      <c r="I319" t="s">
        <v>426</v>
      </c>
      <c r="J319" t="s">
        <v>172</v>
      </c>
      <c r="K319" t="s">
        <v>499</v>
      </c>
      <c r="L319" s="38">
        <v>46191</v>
      </c>
      <c r="M319">
        <v>1</v>
      </c>
      <c r="N319" t="s">
        <v>428</v>
      </c>
      <c r="O319">
        <v>0</v>
      </c>
      <c r="P319">
        <v>0</v>
      </c>
      <c r="Q319">
        <v>0</v>
      </c>
      <c r="R319">
        <v>0</v>
      </c>
      <c r="S319">
        <v>0</v>
      </c>
      <c r="V319" t="s">
        <v>472</v>
      </c>
      <c r="W319" t="s">
        <v>178</v>
      </c>
      <c r="X319" t="s">
        <v>429</v>
      </c>
      <c r="Z319" s="38">
        <v>46081</v>
      </c>
      <c r="AG319" t="s">
        <v>447</v>
      </c>
    </row>
    <row r="320" spans="1:33" x14ac:dyDescent="0.25">
      <c r="A320" t="s">
        <v>717</v>
      </c>
      <c r="B320" t="s">
        <v>759</v>
      </c>
      <c r="C320" t="s">
        <v>167</v>
      </c>
      <c r="D320" t="s">
        <v>168</v>
      </c>
      <c r="E320" t="s">
        <v>170</v>
      </c>
      <c r="F320" t="s">
        <v>425</v>
      </c>
      <c r="G320" t="s">
        <v>179</v>
      </c>
      <c r="H320" t="s">
        <v>220</v>
      </c>
      <c r="I320" t="s">
        <v>426</v>
      </c>
      <c r="J320" t="s">
        <v>172</v>
      </c>
      <c r="K320" t="s">
        <v>499</v>
      </c>
      <c r="L320" s="38">
        <v>46191</v>
      </c>
      <c r="M320">
        <v>1</v>
      </c>
      <c r="N320" t="s">
        <v>428</v>
      </c>
      <c r="O320">
        <v>0</v>
      </c>
      <c r="P320">
        <v>0</v>
      </c>
      <c r="Q320">
        <v>0</v>
      </c>
      <c r="R320">
        <v>0</v>
      </c>
      <c r="S320">
        <v>0</v>
      </c>
      <c r="V320" t="s">
        <v>472</v>
      </c>
      <c r="W320" t="s">
        <v>178</v>
      </c>
      <c r="X320" t="s">
        <v>429</v>
      </c>
      <c r="Z320" s="38">
        <v>46081</v>
      </c>
      <c r="AG320" t="s">
        <v>447</v>
      </c>
    </row>
    <row r="321" spans="1:33" x14ac:dyDescent="0.25">
      <c r="A321" t="s">
        <v>717</v>
      </c>
      <c r="B321" t="s">
        <v>760</v>
      </c>
      <c r="C321" t="s">
        <v>167</v>
      </c>
      <c r="D321" t="s">
        <v>168</v>
      </c>
      <c r="E321" t="s">
        <v>170</v>
      </c>
      <c r="F321" t="s">
        <v>425</v>
      </c>
      <c r="G321" t="s">
        <v>179</v>
      </c>
      <c r="H321" t="s">
        <v>220</v>
      </c>
      <c r="I321" t="s">
        <v>426</v>
      </c>
      <c r="J321" t="s">
        <v>172</v>
      </c>
      <c r="K321" t="s">
        <v>499</v>
      </c>
      <c r="L321" s="38">
        <v>46191</v>
      </c>
      <c r="M321">
        <v>1</v>
      </c>
      <c r="N321" t="s">
        <v>428</v>
      </c>
      <c r="O321">
        <v>0</v>
      </c>
      <c r="P321">
        <v>0</v>
      </c>
      <c r="Q321">
        <v>0</v>
      </c>
      <c r="R321">
        <v>0</v>
      </c>
      <c r="S321">
        <v>0</v>
      </c>
      <c r="V321" t="s">
        <v>472</v>
      </c>
      <c r="W321" t="s">
        <v>178</v>
      </c>
      <c r="X321" t="s">
        <v>429</v>
      </c>
      <c r="Z321" s="38">
        <v>46081</v>
      </c>
      <c r="AG321" t="s">
        <v>447</v>
      </c>
    </row>
    <row r="322" spans="1:33" x14ac:dyDescent="0.25">
      <c r="A322" t="s">
        <v>717</v>
      </c>
      <c r="B322" t="s">
        <v>761</v>
      </c>
      <c r="C322" t="s">
        <v>167</v>
      </c>
      <c r="D322" t="s">
        <v>168</v>
      </c>
      <c r="E322" t="s">
        <v>170</v>
      </c>
      <c r="F322" t="s">
        <v>425</v>
      </c>
      <c r="G322" t="s">
        <v>179</v>
      </c>
      <c r="H322" t="s">
        <v>220</v>
      </c>
      <c r="I322" t="s">
        <v>426</v>
      </c>
      <c r="J322" t="s">
        <v>172</v>
      </c>
      <c r="K322" t="s">
        <v>499</v>
      </c>
      <c r="L322" s="38">
        <v>46191</v>
      </c>
      <c r="M322">
        <v>1</v>
      </c>
      <c r="N322" t="s">
        <v>428</v>
      </c>
      <c r="O322">
        <v>0</v>
      </c>
      <c r="P322">
        <v>0</v>
      </c>
      <c r="Q322">
        <v>0</v>
      </c>
      <c r="R322">
        <v>0</v>
      </c>
      <c r="S322">
        <v>0</v>
      </c>
      <c r="V322" t="s">
        <v>472</v>
      </c>
      <c r="W322" t="s">
        <v>178</v>
      </c>
      <c r="X322" t="s">
        <v>429</v>
      </c>
      <c r="Z322" s="38">
        <v>46112</v>
      </c>
      <c r="AG322" t="s">
        <v>447</v>
      </c>
    </row>
    <row r="323" spans="1:33" x14ac:dyDescent="0.25">
      <c r="A323" t="s">
        <v>717</v>
      </c>
      <c r="B323" t="s">
        <v>762</v>
      </c>
      <c r="C323" t="s">
        <v>167</v>
      </c>
      <c r="D323" t="s">
        <v>168</v>
      </c>
      <c r="E323" t="s">
        <v>170</v>
      </c>
      <c r="F323" t="s">
        <v>425</v>
      </c>
      <c r="G323" t="s">
        <v>179</v>
      </c>
      <c r="H323" t="s">
        <v>220</v>
      </c>
      <c r="I323" t="s">
        <v>426</v>
      </c>
      <c r="J323" t="s">
        <v>172</v>
      </c>
      <c r="K323" t="s">
        <v>499</v>
      </c>
      <c r="L323" s="38">
        <v>46191</v>
      </c>
      <c r="M323">
        <v>1</v>
      </c>
      <c r="N323" t="s">
        <v>428</v>
      </c>
      <c r="O323">
        <v>0</v>
      </c>
      <c r="P323">
        <v>0</v>
      </c>
      <c r="Q323">
        <v>0</v>
      </c>
      <c r="R323">
        <v>0</v>
      </c>
      <c r="S323">
        <v>0</v>
      </c>
      <c r="V323" t="s">
        <v>472</v>
      </c>
      <c r="W323" t="s">
        <v>178</v>
      </c>
      <c r="X323" t="s">
        <v>429</v>
      </c>
      <c r="Z323" s="38">
        <v>46112</v>
      </c>
      <c r="AG323" t="s">
        <v>447</v>
      </c>
    </row>
    <row r="324" spans="1:33" x14ac:dyDescent="0.25">
      <c r="A324" t="s">
        <v>717</v>
      </c>
      <c r="B324" t="s">
        <v>763</v>
      </c>
      <c r="C324" t="s">
        <v>167</v>
      </c>
      <c r="D324" t="s">
        <v>168</v>
      </c>
      <c r="E324" t="s">
        <v>170</v>
      </c>
      <c r="F324" t="s">
        <v>425</v>
      </c>
      <c r="G324" t="s">
        <v>179</v>
      </c>
      <c r="H324" t="s">
        <v>220</v>
      </c>
      <c r="I324" t="s">
        <v>426</v>
      </c>
      <c r="J324" t="s">
        <v>172</v>
      </c>
      <c r="K324" t="s">
        <v>499</v>
      </c>
      <c r="L324" s="38">
        <v>46191</v>
      </c>
      <c r="M324">
        <v>1</v>
      </c>
      <c r="N324" t="s">
        <v>428</v>
      </c>
      <c r="O324">
        <v>0</v>
      </c>
      <c r="P324">
        <v>0</v>
      </c>
      <c r="Q324">
        <v>0</v>
      </c>
      <c r="R324">
        <v>0</v>
      </c>
      <c r="S324">
        <v>0</v>
      </c>
      <c r="V324" t="s">
        <v>472</v>
      </c>
      <c r="W324" t="s">
        <v>207</v>
      </c>
      <c r="X324" t="s">
        <v>429</v>
      </c>
      <c r="Z324" s="38">
        <v>46127</v>
      </c>
      <c r="AG324" t="s">
        <v>447</v>
      </c>
    </row>
    <row r="325" spans="1:33" x14ac:dyDescent="0.25">
      <c r="A325" t="s">
        <v>717</v>
      </c>
      <c r="B325" t="s">
        <v>764</v>
      </c>
      <c r="C325" t="s">
        <v>167</v>
      </c>
      <c r="D325" t="s">
        <v>168</v>
      </c>
      <c r="E325" t="s">
        <v>170</v>
      </c>
      <c r="F325" t="s">
        <v>425</v>
      </c>
      <c r="G325" t="s">
        <v>179</v>
      </c>
      <c r="H325" t="s">
        <v>220</v>
      </c>
      <c r="I325" t="s">
        <v>426</v>
      </c>
      <c r="J325" t="s">
        <v>172</v>
      </c>
      <c r="K325" t="s">
        <v>499</v>
      </c>
      <c r="L325" s="38">
        <v>46191</v>
      </c>
      <c r="M325">
        <v>1</v>
      </c>
      <c r="N325" t="s">
        <v>428</v>
      </c>
      <c r="O325">
        <v>0</v>
      </c>
      <c r="P325">
        <v>0</v>
      </c>
      <c r="Q325">
        <v>0</v>
      </c>
      <c r="R325">
        <v>0</v>
      </c>
      <c r="S325">
        <v>0</v>
      </c>
      <c r="V325" t="s">
        <v>472</v>
      </c>
      <c r="W325" t="s">
        <v>207</v>
      </c>
      <c r="X325" t="s">
        <v>429</v>
      </c>
      <c r="Z325" s="38">
        <v>46127</v>
      </c>
      <c r="AG325" t="s">
        <v>447</v>
      </c>
    </row>
    <row r="326" spans="1:33" x14ac:dyDescent="0.25">
      <c r="A326" t="s">
        <v>717</v>
      </c>
      <c r="B326" t="s">
        <v>725</v>
      </c>
      <c r="C326" t="s">
        <v>167</v>
      </c>
      <c r="D326" t="s">
        <v>168</v>
      </c>
      <c r="E326" t="s">
        <v>469</v>
      </c>
      <c r="F326" t="s">
        <v>425</v>
      </c>
      <c r="G326" t="s">
        <v>179</v>
      </c>
      <c r="H326" t="s">
        <v>220</v>
      </c>
      <c r="I326" t="s">
        <v>426</v>
      </c>
      <c r="J326" t="s">
        <v>765</v>
      </c>
      <c r="K326" t="s">
        <v>724</v>
      </c>
      <c r="L326" s="38">
        <v>46191</v>
      </c>
      <c r="M326">
        <v>1</v>
      </c>
      <c r="N326" t="s">
        <v>428</v>
      </c>
      <c r="O326">
        <v>0</v>
      </c>
      <c r="P326">
        <v>-1.74</v>
      </c>
      <c r="Q326">
        <v>0</v>
      </c>
      <c r="R326">
        <v>0</v>
      </c>
      <c r="S326">
        <v>-1.74</v>
      </c>
      <c r="V326" t="s">
        <v>472</v>
      </c>
      <c r="W326" t="s">
        <v>207</v>
      </c>
      <c r="X326" t="s">
        <v>429</v>
      </c>
      <c r="Z326" s="38">
        <v>46123</v>
      </c>
      <c r="AF326" t="s">
        <v>447</v>
      </c>
      <c r="AG326" t="s">
        <v>447</v>
      </c>
    </row>
    <row r="327" spans="1:33" x14ac:dyDescent="0.25">
      <c r="A327" t="s">
        <v>717</v>
      </c>
      <c r="B327" t="s">
        <v>766</v>
      </c>
      <c r="C327" t="s">
        <v>167</v>
      </c>
      <c r="D327" t="s">
        <v>168</v>
      </c>
      <c r="E327" t="s">
        <v>170</v>
      </c>
      <c r="F327" t="s">
        <v>425</v>
      </c>
      <c r="G327" t="s">
        <v>179</v>
      </c>
      <c r="H327" t="s">
        <v>220</v>
      </c>
      <c r="I327" t="s">
        <v>426</v>
      </c>
      <c r="J327" t="s">
        <v>172</v>
      </c>
      <c r="K327" t="s">
        <v>499</v>
      </c>
      <c r="L327" s="38">
        <v>46191</v>
      </c>
      <c r="M327">
        <v>1</v>
      </c>
      <c r="N327" t="s">
        <v>428</v>
      </c>
      <c r="O327">
        <v>0</v>
      </c>
      <c r="P327">
        <v>0</v>
      </c>
      <c r="Q327">
        <v>0</v>
      </c>
      <c r="R327">
        <v>0</v>
      </c>
      <c r="S327">
        <v>0</v>
      </c>
      <c r="V327" t="s">
        <v>472</v>
      </c>
      <c r="W327" t="s">
        <v>178</v>
      </c>
      <c r="X327" t="s">
        <v>429</v>
      </c>
      <c r="Z327" s="38">
        <v>46142</v>
      </c>
      <c r="AG327" t="s">
        <v>447</v>
      </c>
    </row>
    <row r="328" spans="1:33" x14ac:dyDescent="0.25">
      <c r="A328" t="s">
        <v>717</v>
      </c>
      <c r="B328" t="s">
        <v>767</v>
      </c>
      <c r="C328" t="s">
        <v>167</v>
      </c>
      <c r="D328" t="s">
        <v>168</v>
      </c>
      <c r="E328" t="s">
        <v>170</v>
      </c>
      <c r="F328" t="s">
        <v>425</v>
      </c>
      <c r="G328" t="s">
        <v>179</v>
      </c>
      <c r="H328" t="s">
        <v>220</v>
      </c>
      <c r="I328" t="s">
        <v>426</v>
      </c>
      <c r="J328" t="s">
        <v>172</v>
      </c>
      <c r="K328" t="s">
        <v>499</v>
      </c>
      <c r="L328" s="38">
        <v>46191</v>
      </c>
      <c r="M328">
        <v>1</v>
      </c>
      <c r="N328" t="s">
        <v>428</v>
      </c>
      <c r="O328">
        <v>0</v>
      </c>
      <c r="P328">
        <v>0</v>
      </c>
      <c r="Q328">
        <v>0</v>
      </c>
      <c r="R328">
        <v>0</v>
      </c>
      <c r="S328">
        <v>0</v>
      </c>
      <c r="V328" t="s">
        <v>472</v>
      </c>
      <c r="W328" t="s">
        <v>178</v>
      </c>
      <c r="X328" t="s">
        <v>429</v>
      </c>
      <c r="Z328" s="38">
        <v>46142</v>
      </c>
      <c r="AG328" t="s">
        <v>447</v>
      </c>
    </row>
    <row r="329" spans="1:33" x14ac:dyDescent="0.25">
      <c r="A329" t="s">
        <v>717</v>
      </c>
      <c r="B329" t="s">
        <v>768</v>
      </c>
      <c r="C329" t="s">
        <v>167</v>
      </c>
      <c r="D329" t="s">
        <v>168</v>
      </c>
      <c r="E329" t="s">
        <v>170</v>
      </c>
      <c r="F329" t="s">
        <v>425</v>
      </c>
      <c r="G329" t="s">
        <v>179</v>
      </c>
      <c r="H329" t="s">
        <v>220</v>
      </c>
      <c r="I329" t="s">
        <v>426</v>
      </c>
      <c r="J329" t="s">
        <v>172</v>
      </c>
      <c r="K329" t="s">
        <v>499</v>
      </c>
      <c r="L329" s="38">
        <v>46191</v>
      </c>
      <c r="M329">
        <v>1</v>
      </c>
      <c r="N329" t="s">
        <v>428</v>
      </c>
      <c r="O329">
        <v>0</v>
      </c>
      <c r="P329">
        <v>0</v>
      </c>
      <c r="Q329">
        <v>0</v>
      </c>
      <c r="R329">
        <v>0</v>
      </c>
      <c r="S329">
        <v>0</v>
      </c>
      <c r="V329" t="s">
        <v>472</v>
      </c>
      <c r="W329" t="s">
        <v>178</v>
      </c>
      <c r="X329" t="s">
        <v>429</v>
      </c>
      <c r="Z329" s="38">
        <v>46142</v>
      </c>
      <c r="AG329" t="s">
        <v>447</v>
      </c>
    </row>
    <row r="330" spans="1:33" x14ac:dyDescent="0.25">
      <c r="A330" t="s">
        <v>717</v>
      </c>
      <c r="B330" t="s">
        <v>769</v>
      </c>
      <c r="C330" t="s">
        <v>167</v>
      </c>
      <c r="D330" t="s">
        <v>168</v>
      </c>
      <c r="E330" t="s">
        <v>170</v>
      </c>
      <c r="F330" t="s">
        <v>425</v>
      </c>
      <c r="G330" t="s">
        <v>179</v>
      </c>
      <c r="H330" t="s">
        <v>220</v>
      </c>
      <c r="I330" t="s">
        <v>426</v>
      </c>
      <c r="J330" t="s">
        <v>770</v>
      </c>
      <c r="K330" t="s">
        <v>499</v>
      </c>
      <c r="L330" s="38">
        <v>46191</v>
      </c>
      <c r="M330">
        <v>1</v>
      </c>
      <c r="N330" t="s">
        <v>428</v>
      </c>
      <c r="O330">
        <v>0</v>
      </c>
      <c r="P330">
        <v>0</v>
      </c>
      <c r="Q330">
        <v>0</v>
      </c>
      <c r="R330">
        <v>0</v>
      </c>
      <c r="S330">
        <v>0</v>
      </c>
      <c r="V330" t="s">
        <v>472</v>
      </c>
      <c r="W330" t="s">
        <v>207</v>
      </c>
      <c r="X330" t="s">
        <v>429</v>
      </c>
      <c r="Z330" s="38">
        <v>46157</v>
      </c>
      <c r="AG330" t="s">
        <v>447</v>
      </c>
    </row>
    <row r="331" spans="1:33" x14ac:dyDescent="0.25">
      <c r="A331" t="s">
        <v>717</v>
      </c>
      <c r="B331" t="s">
        <v>771</v>
      </c>
      <c r="C331" t="s">
        <v>167</v>
      </c>
      <c r="D331" t="s">
        <v>168</v>
      </c>
      <c r="E331" t="s">
        <v>170</v>
      </c>
      <c r="F331" t="s">
        <v>425</v>
      </c>
      <c r="G331" t="s">
        <v>179</v>
      </c>
      <c r="H331" t="s">
        <v>220</v>
      </c>
      <c r="I331" t="s">
        <v>426</v>
      </c>
      <c r="J331" t="s">
        <v>770</v>
      </c>
      <c r="K331" t="s">
        <v>499</v>
      </c>
      <c r="L331" s="38">
        <v>46191</v>
      </c>
      <c r="M331">
        <v>1</v>
      </c>
      <c r="N331" t="s">
        <v>428</v>
      </c>
      <c r="O331">
        <v>0</v>
      </c>
      <c r="P331">
        <v>0</v>
      </c>
      <c r="Q331">
        <v>0</v>
      </c>
      <c r="R331">
        <v>0</v>
      </c>
      <c r="S331">
        <v>0</v>
      </c>
      <c r="V331" t="s">
        <v>472</v>
      </c>
      <c r="W331" t="s">
        <v>207</v>
      </c>
      <c r="X331" t="s">
        <v>429</v>
      </c>
      <c r="Z331" s="38">
        <v>46157</v>
      </c>
      <c r="AG331" t="s">
        <v>447</v>
      </c>
    </row>
    <row r="332" spans="1:33" x14ac:dyDescent="0.25">
      <c r="A332" t="s">
        <v>717</v>
      </c>
      <c r="B332" t="s">
        <v>750</v>
      </c>
      <c r="C332" t="s">
        <v>167</v>
      </c>
      <c r="D332" t="s">
        <v>168</v>
      </c>
      <c r="E332" t="s">
        <v>478</v>
      </c>
      <c r="F332" t="s">
        <v>425</v>
      </c>
      <c r="G332" t="s">
        <v>179</v>
      </c>
      <c r="H332" t="s">
        <v>220</v>
      </c>
      <c r="I332" t="s">
        <v>426</v>
      </c>
      <c r="J332" t="s">
        <v>204</v>
      </c>
      <c r="K332" t="s">
        <v>749</v>
      </c>
      <c r="L332" s="38">
        <v>46191</v>
      </c>
      <c r="M332">
        <v>1</v>
      </c>
      <c r="N332" t="s">
        <v>428</v>
      </c>
      <c r="O332">
        <v>0</v>
      </c>
      <c r="P332">
        <v>-3</v>
      </c>
      <c r="Q332">
        <v>0</v>
      </c>
      <c r="R332">
        <v>0</v>
      </c>
      <c r="S332">
        <v>-3</v>
      </c>
      <c r="T332" t="s">
        <v>206</v>
      </c>
      <c r="V332" t="s">
        <v>472</v>
      </c>
      <c r="W332" t="s">
        <v>207</v>
      </c>
      <c r="X332" t="s">
        <v>429</v>
      </c>
      <c r="Z332" s="38">
        <v>46203</v>
      </c>
      <c r="AF332" t="s">
        <v>447</v>
      </c>
      <c r="AG332" t="s">
        <v>447</v>
      </c>
    </row>
    <row r="333" spans="1:33" x14ac:dyDescent="0.25">
      <c r="A333" t="s">
        <v>717</v>
      </c>
      <c r="B333" t="s">
        <v>203</v>
      </c>
      <c r="C333" t="s">
        <v>167</v>
      </c>
      <c r="D333" t="s">
        <v>168</v>
      </c>
      <c r="E333" t="s">
        <v>478</v>
      </c>
      <c r="F333" t="s">
        <v>425</v>
      </c>
      <c r="G333" t="s">
        <v>179</v>
      </c>
      <c r="H333" t="s">
        <v>220</v>
      </c>
      <c r="I333" t="s">
        <v>426</v>
      </c>
      <c r="J333" t="s">
        <v>204</v>
      </c>
      <c r="K333" t="s">
        <v>751</v>
      </c>
      <c r="L333" s="38">
        <v>46191</v>
      </c>
      <c r="M333">
        <v>1</v>
      </c>
      <c r="N333" t="s">
        <v>428</v>
      </c>
      <c r="O333">
        <v>0</v>
      </c>
      <c r="P333">
        <v>-0.9</v>
      </c>
      <c r="Q333">
        <v>0</v>
      </c>
      <c r="R333">
        <v>0</v>
      </c>
      <c r="S333">
        <v>-0.9</v>
      </c>
      <c r="T333" t="s">
        <v>206</v>
      </c>
      <c r="V333" t="s">
        <v>472</v>
      </c>
      <c r="W333" t="s">
        <v>207</v>
      </c>
      <c r="X333" t="s">
        <v>429</v>
      </c>
      <c r="Z333" s="38">
        <v>46203</v>
      </c>
      <c r="AF333" t="s">
        <v>447</v>
      </c>
      <c r="AG333" t="s">
        <v>447</v>
      </c>
    </row>
    <row r="334" spans="1:33" x14ac:dyDescent="0.25">
      <c r="A334" t="s">
        <v>717</v>
      </c>
      <c r="B334" t="s">
        <v>772</v>
      </c>
      <c r="C334" t="s">
        <v>167</v>
      </c>
      <c r="D334" t="s">
        <v>168</v>
      </c>
      <c r="E334" t="s">
        <v>170</v>
      </c>
      <c r="F334" t="s">
        <v>425</v>
      </c>
      <c r="G334" t="s">
        <v>179</v>
      </c>
      <c r="H334" t="s">
        <v>220</v>
      </c>
      <c r="I334" t="s">
        <v>426</v>
      </c>
      <c r="J334" t="s">
        <v>773</v>
      </c>
      <c r="K334" t="s">
        <v>499</v>
      </c>
      <c r="L334" s="38">
        <v>46191</v>
      </c>
      <c r="M334">
        <v>1</v>
      </c>
      <c r="N334" t="s">
        <v>428</v>
      </c>
      <c r="O334">
        <v>0</v>
      </c>
      <c r="P334">
        <v>0</v>
      </c>
      <c r="Q334">
        <v>0</v>
      </c>
      <c r="R334">
        <v>0</v>
      </c>
      <c r="S334">
        <v>0</v>
      </c>
      <c r="V334" t="s">
        <v>472</v>
      </c>
      <c r="W334" t="s">
        <v>207</v>
      </c>
      <c r="X334" t="s">
        <v>429</v>
      </c>
      <c r="Z334" s="38">
        <v>46173</v>
      </c>
      <c r="AG334" t="s">
        <v>447</v>
      </c>
    </row>
    <row r="335" spans="1:33" x14ac:dyDescent="0.25">
      <c r="A335" t="s">
        <v>717</v>
      </c>
      <c r="B335" t="s">
        <v>744</v>
      </c>
      <c r="C335" t="s">
        <v>167</v>
      </c>
      <c r="D335" t="s">
        <v>168</v>
      </c>
      <c r="E335" t="s">
        <v>478</v>
      </c>
      <c r="F335" t="s">
        <v>425</v>
      </c>
      <c r="G335" t="s">
        <v>179</v>
      </c>
      <c r="H335" t="s">
        <v>220</v>
      </c>
      <c r="I335" t="s">
        <v>426</v>
      </c>
      <c r="J335" t="s">
        <v>305</v>
      </c>
      <c r="K335" t="s">
        <v>743</v>
      </c>
      <c r="L335" s="38">
        <v>46191</v>
      </c>
      <c r="M335">
        <v>1</v>
      </c>
      <c r="N335" t="s">
        <v>428</v>
      </c>
      <c r="O335">
        <v>0</v>
      </c>
      <c r="P335">
        <v>-0.3</v>
      </c>
      <c r="Q335">
        <v>0</v>
      </c>
      <c r="R335">
        <v>0</v>
      </c>
      <c r="S335">
        <v>-0.3</v>
      </c>
      <c r="V335" t="s">
        <v>472</v>
      </c>
      <c r="W335" t="s">
        <v>207</v>
      </c>
      <c r="X335" t="s">
        <v>429</v>
      </c>
      <c r="Z335" s="38">
        <v>46203</v>
      </c>
      <c r="AF335" t="s">
        <v>447</v>
      </c>
      <c r="AG335" t="s">
        <v>447</v>
      </c>
    </row>
    <row r="336" spans="1:33" x14ac:dyDescent="0.25">
      <c r="A336" t="s">
        <v>717</v>
      </c>
      <c r="B336" t="s">
        <v>746</v>
      </c>
      <c r="C336" t="s">
        <v>167</v>
      </c>
      <c r="D336" t="s">
        <v>168</v>
      </c>
      <c r="E336" t="s">
        <v>478</v>
      </c>
      <c r="F336" t="s">
        <v>425</v>
      </c>
      <c r="G336" t="s">
        <v>179</v>
      </c>
      <c r="H336" t="s">
        <v>220</v>
      </c>
      <c r="I336" t="s">
        <v>426</v>
      </c>
      <c r="J336" t="s">
        <v>305</v>
      </c>
      <c r="K336" t="s">
        <v>745</v>
      </c>
      <c r="L336" s="38">
        <v>46191</v>
      </c>
      <c r="M336">
        <v>1</v>
      </c>
      <c r="N336" t="s">
        <v>428</v>
      </c>
      <c r="O336">
        <v>0</v>
      </c>
      <c r="P336">
        <v>-1.62</v>
      </c>
      <c r="Q336">
        <v>0</v>
      </c>
      <c r="R336">
        <v>0</v>
      </c>
      <c r="S336">
        <v>-1.62</v>
      </c>
      <c r="V336" t="s">
        <v>472</v>
      </c>
      <c r="W336" t="s">
        <v>207</v>
      </c>
      <c r="X336" t="s">
        <v>429</v>
      </c>
      <c r="Z336" s="38">
        <v>46203</v>
      </c>
      <c r="AF336" t="s">
        <v>447</v>
      </c>
      <c r="AG336" t="s">
        <v>447</v>
      </c>
    </row>
    <row r="337" spans="1:33" x14ac:dyDescent="0.25">
      <c r="A337" t="s">
        <v>717</v>
      </c>
      <c r="B337" t="s">
        <v>748</v>
      </c>
      <c r="C337" t="s">
        <v>167</v>
      </c>
      <c r="D337" t="s">
        <v>168</v>
      </c>
      <c r="E337" t="s">
        <v>478</v>
      </c>
      <c r="F337" t="s">
        <v>425</v>
      </c>
      <c r="G337" t="s">
        <v>179</v>
      </c>
      <c r="H337" t="s">
        <v>220</v>
      </c>
      <c r="I337" t="s">
        <v>426</v>
      </c>
      <c r="J337" t="s">
        <v>305</v>
      </c>
      <c r="K337" t="s">
        <v>747</v>
      </c>
      <c r="L337" s="38">
        <v>46191</v>
      </c>
      <c r="M337">
        <v>1</v>
      </c>
      <c r="N337" t="s">
        <v>428</v>
      </c>
      <c r="O337">
        <v>0</v>
      </c>
      <c r="P337">
        <v>-0.3</v>
      </c>
      <c r="Q337">
        <v>0</v>
      </c>
      <c r="R337">
        <v>0</v>
      </c>
      <c r="S337">
        <v>-0.3</v>
      </c>
      <c r="V337" t="s">
        <v>472</v>
      </c>
      <c r="W337" t="s">
        <v>207</v>
      </c>
      <c r="X337" t="s">
        <v>429</v>
      </c>
      <c r="Z337" s="38">
        <v>46203</v>
      </c>
      <c r="AF337" t="s">
        <v>447</v>
      </c>
      <c r="AG337" t="s">
        <v>447</v>
      </c>
    </row>
    <row r="338" spans="1:33" x14ac:dyDescent="0.25">
      <c r="A338" t="s">
        <v>717</v>
      </c>
      <c r="B338" t="s">
        <v>734</v>
      </c>
      <c r="C338" t="s">
        <v>167</v>
      </c>
      <c r="D338" t="s">
        <v>168</v>
      </c>
      <c r="E338" t="s">
        <v>478</v>
      </c>
      <c r="F338" t="s">
        <v>425</v>
      </c>
      <c r="G338" t="s">
        <v>179</v>
      </c>
      <c r="H338" t="s">
        <v>220</v>
      </c>
      <c r="I338" t="s">
        <v>426</v>
      </c>
      <c r="J338" t="s">
        <v>305</v>
      </c>
      <c r="K338" t="s">
        <v>733</v>
      </c>
      <c r="L338" s="38">
        <v>46191</v>
      </c>
      <c r="M338">
        <v>1</v>
      </c>
      <c r="N338" t="s">
        <v>428</v>
      </c>
      <c r="O338">
        <v>0</v>
      </c>
      <c r="P338">
        <v>-1.56</v>
      </c>
      <c r="Q338">
        <v>0</v>
      </c>
      <c r="R338">
        <v>0</v>
      </c>
      <c r="S338">
        <v>-1.56</v>
      </c>
      <c r="V338" t="s">
        <v>472</v>
      </c>
      <c r="W338" t="s">
        <v>207</v>
      </c>
      <c r="X338" t="s">
        <v>429</v>
      </c>
      <c r="Z338" s="38">
        <v>46203</v>
      </c>
      <c r="AF338" t="s">
        <v>447</v>
      </c>
      <c r="AG338" t="s">
        <v>447</v>
      </c>
    </row>
    <row r="339" spans="1:33" x14ac:dyDescent="0.25">
      <c r="A339" t="s">
        <v>717</v>
      </c>
      <c r="B339" t="s">
        <v>738</v>
      </c>
      <c r="C339" t="s">
        <v>167</v>
      </c>
      <c r="D339" t="s">
        <v>168</v>
      </c>
      <c r="E339" t="s">
        <v>469</v>
      </c>
      <c r="F339" t="s">
        <v>425</v>
      </c>
      <c r="G339" t="s">
        <v>179</v>
      </c>
      <c r="H339" t="s">
        <v>220</v>
      </c>
      <c r="I339" t="s">
        <v>426</v>
      </c>
      <c r="J339" t="s">
        <v>305</v>
      </c>
      <c r="K339" t="s">
        <v>737</v>
      </c>
      <c r="L339" s="38">
        <v>46191</v>
      </c>
      <c r="M339">
        <v>1</v>
      </c>
      <c r="N339" t="s">
        <v>428</v>
      </c>
      <c r="O339">
        <v>0</v>
      </c>
      <c r="P339">
        <v>-1.2</v>
      </c>
      <c r="Q339">
        <v>0</v>
      </c>
      <c r="R339">
        <v>0</v>
      </c>
      <c r="S339">
        <v>-1.2</v>
      </c>
      <c r="V339" t="s">
        <v>472</v>
      </c>
      <c r="W339" t="s">
        <v>207</v>
      </c>
      <c r="X339" t="s">
        <v>429</v>
      </c>
      <c r="Z339" s="38">
        <v>46203</v>
      </c>
      <c r="AF339" t="s">
        <v>447</v>
      </c>
      <c r="AG339" t="s">
        <v>447</v>
      </c>
    </row>
    <row r="340" spans="1:33" x14ac:dyDescent="0.25">
      <c r="A340" t="s">
        <v>717</v>
      </c>
      <c r="B340" t="s">
        <v>742</v>
      </c>
      <c r="C340" t="s">
        <v>167</v>
      </c>
      <c r="D340" t="s">
        <v>168</v>
      </c>
      <c r="E340" t="s">
        <v>469</v>
      </c>
      <c r="F340" t="s">
        <v>425</v>
      </c>
      <c r="G340" t="s">
        <v>179</v>
      </c>
      <c r="H340" t="s">
        <v>220</v>
      </c>
      <c r="I340" t="s">
        <v>426</v>
      </c>
      <c r="J340" t="s">
        <v>305</v>
      </c>
      <c r="K340" t="s">
        <v>741</v>
      </c>
      <c r="L340" s="38">
        <v>46191</v>
      </c>
      <c r="M340">
        <v>1</v>
      </c>
      <c r="N340" t="s">
        <v>428</v>
      </c>
      <c r="O340">
        <v>0</v>
      </c>
      <c r="P340">
        <v>-1.2</v>
      </c>
      <c r="Q340">
        <v>0</v>
      </c>
      <c r="R340">
        <v>0</v>
      </c>
      <c r="S340">
        <v>-1.2</v>
      </c>
      <c r="V340" t="s">
        <v>472</v>
      </c>
      <c r="W340" t="s">
        <v>207</v>
      </c>
      <c r="X340" t="s">
        <v>429</v>
      </c>
      <c r="Z340" s="38">
        <v>46203</v>
      </c>
      <c r="AF340" t="s">
        <v>447</v>
      </c>
      <c r="AG340" t="s">
        <v>447</v>
      </c>
    </row>
    <row r="341" spans="1:33" x14ac:dyDescent="0.25">
      <c r="A341" t="s">
        <v>717</v>
      </c>
      <c r="B341" t="s">
        <v>732</v>
      </c>
      <c r="C341" t="s">
        <v>167</v>
      </c>
      <c r="D341" t="s">
        <v>168</v>
      </c>
      <c r="E341" t="s">
        <v>478</v>
      </c>
      <c r="F341" t="s">
        <v>425</v>
      </c>
      <c r="G341" t="s">
        <v>179</v>
      </c>
      <c r="H341" t="s">
        <v>220</v>
      </c>
      <c r="I341" t="s">
        <v>426</v>
      </c>
      <c r="J341" t="s">
        <v>305</v>
      </c>
      <c r="K341" t="s">
        <v>731</v>
      </c>
      <c r="L341" s="38">
        <v>46191</v>
      </c>
      <c r="M341">
        <v>1</v>
      </c>
      <c r="N341" t="s">
        <v>428</v>
      </c>
      <c r="O341">
        <v>0</v>
      </c>
      <c r="P341">
        <v>-3.6</v>
      </c>
      <c r="Q341">
        <v>0</v>
      </c>
      <c r="R341">
        <v>0</v>
      </c>
      <c r="S341">
        <v>-3.6</v>
      </c>
      <c r="V341" t="s">
        <v>472</v>
      </c>
      <c r="W341" t="s">
        <v>207</v>
      </c>
      <c r="X341" t="s">
        <v>429</v>
      </c>
      <c r="Z341" s="38">
        <v>46203</v>
      </c>
      <c r="AF341" t="s">
        <v>447</v>
      </c>
      <c r="AG341" t="s">
        <v>447</v>
      </c>
    </row>
    <row r="342" spans="1:33" x14ac:dyDescent="0.25">
      <c r="A342" t="s">
        <v>717</v>
      </c>
      <c r="B342" t="s">
        <v>247</v>
      </c>
      <c r="C342" t="s">
        <v>167</v>
      </c>
      <c r="D342" t="s">
        <v>168</v>
      </c>
      <c r="E342" t="s">
        <v>170</v>
      </c>
      <c r="F342" t="s">
        <v>425</v>
      </c>
      <c r="G342" t="s">
        <v>179</v>
      </c>
      <c r="H342" t="s">
        <v>220</v>
      </c>
      <c r="I342" t="s">
        <v>426</v>
      </c>
      <c r="J342" t="s">
        <v>248</v>
      </c>
      <c r="K342" t="s">
        <v>499</v>
      </c>
      <c r="L342" s="38">
        <v>46191</v>
      </c>
      <c r="M342">
        <v>1</v>
      </c>
      <c r="N342" t="s">
        <v>428</v>
      </c>
      <c r="O342">
        <v>0</v>
      </c>
      <c r="P342">
        <v>-1.8</v>
      </c>
      <c r="Q342">
        <v>0</v>
      </c>
      <c r="R342">
        <v>0</v>
      </c>
      <c r="S342">
        <v>-1.8</v>
      </c>
      <c r="V342" t="s">
        <v>472</v>
      </c>
      <c r="X342" t="s">
        <v>429</v>
      </c>
      <c r="Z342" s="38">
        <v>46203</v>
      </c>
      <c r="AG342" t="s">
        <v>447</v>
      </c>
    </row>
    <row r="343" spans="1:33" x14ac:dyDescent="0.25">
      <c r="A343" t="s">
        <v>717</v>
      </c>
      <c r="B343" t="s">
        <v>291</v>
      </c>
      <c r="C343" t="s">
        <v>167</v>
      </c>
      <c r="D343" t="s">
        <v>168</v>
      </c>
      <c r="E343" t="s">
        <v>170</v>
      </c>
      <c r="F343" t="s">
        <v>425</v>
      </c>
      <c r="G343" t="s">
        <v>179</v>
      </c>
      <c r="H343" t="s">
        <v>220</v>
      </c>
      <c r="I343" t="s">
        <v>426</v>
      </c>
      <c r="J343" t="s">
        <v>292</v>
      </c>
      <c r="K343" t="s">
        <v>499</v>
      </c>
      <c r="L343" s="38">
        <v>46191</v>
      </c>
      <c r="M343">
        <v>1</v>
      </c>
      <c r="N343" t="s">
        <v>428</v>
      </c>
      <c r="O343">
        <v>0</v>
      </c>
      <c r="P343">
        <v>-0.96</v>
      </c>
      <c r="Q343">
        <v>0</v>
      </c>
      <c r="R343">
        <v>0</v>
      </c>
      <c r="S343">
        <v>-0.96</v>
      </c>
      <c r="V343" t="s">
        <v>472</v>
      </c>
      <c r="W343" t="s">
        <v>207</v>
      </c>
      <c r="X343" t="s">
        <v>429</v>
      </c>
      <c r="Z343" s="38">
        <v>46203</v>
      </c>
      <c r="AG343" t="s">
        <v>447</v>
      </c>
    </row>
    <row r="344" spans="1:33" x14ac:dyDescent="0.25">
      <c r="A344" t="s">
        <v>717</v>
      </c>
      <c r="B344" t="s">
        <v>296</v>
      </c>
      <c r="C344" t="s">
        <v>167</v>
      </c>
      <c r="D344" t="s">
        <v>168</v>
      </c>
      <c r="E344" t="s">
        <v>170</v>
      </c>
      <c r="F344" t="s">
        <v>425</v>
      </c>
      <c r="G344" t="s">
        <v>179</v>
      </c>
      <c r="H344" t="s">
        <v>220</v>
      </c>
      <c r="I344" t="s">
        <v>426</v>
      </c>
      <c r="J344" t="s">
        <v>292</v>
      </c>
      <c r="K344" t="s">
        <v>499</v>
      </c>
      <c r="L344" s="38">
        <v>46191</v>
      </c>
      <c r="M344">
        <v>1</v>
      </c>
      <c r="N344" t="s">
        <v>428</v>
      </c>
      <c r="O344">
        <v>0</v>
      </c>
      <c r="P344">
        <v>-0.96</v>
      </c>
      <c r="Q344">
        <v>0</v>
      </c>
      <c r="R344">
        <v>0</v>
      </c>
      <c r="S344">
        <v>-0.96</v>
      </c>
      <c r="V344" t="s">
        <v>472</v>
      </c>
      <c r="W344" t="s">
        <v>207</v>
      </c>
      <c r="X344" t="s">
        <v>429</v>
      </c>
      <c r="Z344" s="38">
        <v>46203</v>
      </c>
      <c r="AG344" t="s">
        <v>447</v>
      </c>
    </row>
    <row r="345" spans="1:33" x14ac:dyDescent="0.25">
      <c r="A345" t="s">
        <v>717</v>
      </c>
      <c r="B345" t="s">
        <v>774</v>
      </c>
      <c r="C345" t="s">
        <v>167</v>
      </c>
      <c r="D345" t="s">
        <v>168</v>
      </c>
      <c r="E345" t="s">
        <v>170</v>
      </c>
      <c r="F345" t="s">
        <v>425</v>
      </c>
      <c r="G345" t="s">
        <v>179</v>
      </c>
      <c r="H345" t="s">
        <v>220</v>
      </c>
      <c r="I345" t="s">
        <v>426</v>
      </c>
      <c r="J345" t="s">
        <v>172</v>
      </c>
      <c r="K345" t="s">
        <v>499</v>
      </c>
      <c r="L345" s="38">
        <v>46191</v>
      </c>
      <c r="M345">
        <v>1</v>
      </c>
      <c r="N345" t="s">
        <v>428</v>
      </c>
      <c r="O345">
        <v>0</v>
      </c>
      <c r="P345">
        <v>0</v>
      </c>
      <c r="Q345">
        <v>0</v>
      </c>
      <c r="R345">
        <v>0</v>
      </c>
      <c r="S345">
        <v>0</v>
      </c>
      <c r="V345" t="s">
        <v>639</v>
      </c>
      <c r="W345" t="s">
        <v>207</v>
      </c>
      <c r="X345" t="s">
        <v>429</v>
      </c>
      <c r="Z345" s="38">
        <v>45716</v>
      </c>
      <c r="AG345" t="s">
        <v>440</v>
      </c>
    </row>
    <row r="346" spans="1:33" x14ac:dyDescent="0.25">
      <c r="A346" t="s">
        <v>717</v>
      </c>
      <c r="B346" t="s">
        <v>775</v>
      </c>
      <c r="C346" t="s">
        <v>167</v>
      </c>
      <c r="D346" t="s">
        <v>168</v>
      </c>
      <c r="E346" t="s">
        <v>170</v>
      </c>
      <c r="F346" t="s">
        <v>425</v>
      </c>
      <c r="G346" t="s">
        <v>179</v>
      </c>
      <c r="H346" t="s">
        <v>220</v>
      </c>
      <c r="I346" t="s">
        <v>426</v>
      </c>
      <c r="J346" t="s">
        <v>172</v>
      </c>
      <c r="K346" t="s">
        <v>499</v>
      </c>
      <c r="L346" s="38">
        <v>46191</v>
      </c>
      <c r="M346">
        <v>1</v>
      </c>
      <c r="N346" t="s">
        <v>428</v>
      </c>
      <c r="O346">
        <v>0</v>
      </c>
      <c r="P346">
        <v>0</v>
      </c>
      <c r="Q346">
        <v>0</v>
      </c>
      <c r="R346">
        <v>0</v>
      </c>
      <c r="S346">
        <v>0</v>
      </c>
      <c r="V346" t="s">
        <v>639</v>
      </c>
      <c r="W346" t="s">
        <v>207</v>
      </c>
      <c r="X346" t="s">
        <v>429</v>
      </c>
      <c r="Z346" s="38">
        <v>45716</v>
      </c>
      <c r="AG346" t="s">
        <v>440</v>
      </c>
    </row>
    <row r="347" spans="1:33" x14ac:dyDescent="0.25">
      <c r="A347" t="s">
        <v>717</v>
      </c>
      <c r="B347" t="s">
        <v>776</v>
      </c>
      <c r="C347" t="s">
        <v>167</v>
      </c>
      <c r="D347" t="s">
        <v>168</v>
      </c>
      <c r="E347" t="s">
        <v>170</v>
      </c>
      <c r="F347" t="s">
        <v>425</v>
      </c>
      <c r="G347" t="s">
        <v>179</v>
      </c>
      <c r="H347" t="s">
        <v>220</v>
      </c>
      <c r="I347" t="s">
        <v>426</v>
      </c>
      <c r="J347" t="s">
        <v>172</v>
      </c>
      <c r="K347" t="s">
        <v>499</v>
      </c>
      <c r="L347" s="38">
        <v>46191</v>
      </c>
      <c r="M347">
        <v>1</v>
      </c>
      <c r="N347" t="s">
        <v>428</v>
      </c>
      <c r="O347">
        <v>0</v>
      </c>
      <c r="P347">
        <v>0</v>
      </c>
      <c r="Q347">
        <v>0</v>
      </c>
      <c r="R347">
        <v>0</v>
      </c>
      <c r="S347">
        <v>0</v>
      </c>
      <c r="V347" t="s">
        <v>639</v>
      </c>
      <c r="W347" t="s">
        <v>207</v>
      </c>
      <c r="X347" t="s">
        <v>429</v>
      </c>
      <c r="Z347" s="38">
        <v>45716</v>
      </c>
      <c r="AG347" t="s">
        <v>440</v>
      </c>
    </row>
    <row r="348" spans="1:33" x14ac:dyDescent="0.25">
      <c r="A348" t="s">
        <v>717</v>
      </c>
      <c r="B348" t="s">
        <v>777</v>
      </c>
      <c r="C348" t="s">
        <v>167</v>
      </c>
      <c r="D348" t="s">
        <v>168</v>
      </c>
      <c r="E348" t="s">
        <v>170</v>
      </c>
      <c r="F348" t="s">
        <v>425</v>
      </c>
      <c r="G348" t="s">
        <v>179</v>
      </c>
      <c r="H348" t="s">
        <v>220</v>
      </c>
      <c r="I348" t="s">
        <v>426</v>
      </c>
      <c r="J348" t="s">
        <v>172</v>
      </c>
      <c r="K348" t="s">
        <v>499</v>
      </c>
      <c r="L348" s="38">
        <v>46191</v>
      </c>
      <c r="M348">
        <v>1</v>
      </c>
      <c r="N348" t="s">
        <v>428</v>
      </c>
      <c r="O348">
        <v>0</v>
      </c>
      <c r="P348">
        <v>0</v>
      </c>
      <c r="Q348">
        <v>0</v>
      </c>
      <c r="R348">
        <v>0</v>
      </c>
      <c r="S348">
        <v>0</v>
      </c>
      <c r="V348" t="s">
        <v>639</v>
      </c>
      <c r="W348" t="s">
        <v>207</v>
      </c>
      <c r="X348" t="s">
        <v>429</v>
      </c>
      <c r="Z348" s="38">
        <v>45716</v>
      </c>
      <c r="AG348" t="s">
        <v>440</v>
      </c>
    </row>
    <row r="349" spans="1:33" x14ac:dyDescent="0.25">
      <c r="A349" t="s">
        <v>717</v>
      </c>
      <c r="B349" t="s">
        <v>778</v>
      </c>
      <c r="C349" t="s">
        <v>167</v>
      </c>
      <c r="D349" t="s">
        <v>168</v>
      </c>
      <c r="E349" t="s">
        <v>170</v>
      </c>
      <c r="F349" t="s">
        <v>425</v>
      </c>
      <c r="G349" t="s">
        <v>179</v>
      </c>
      <c r="H349" t="s">
        <v>220</v>
      </c>
      <c r="I349" t="s">
        <v>426</v>
      </c>
      <c r="J349" t="s">
        <v>172</v>
      </c>
      <c r="K349" t="s">
        <v>499</v>
      </c>
      <c r="L349" s="38">
        <v>46191</v>
      </c>
      <c r="M349">
        <v>1</v>
      </c>
      <c r="N349" t="s">
        <v>428</v>
      </c>
      <c r="O349">
        <v>0</v>
      </c>
      <c r="P349">
        <v>0</v>
      </c>
      <c r="Q349">
        <v>0</v>
      </c>
      <c r="R349">
        <v>0</v>
      </c>
      <c r="S349">
        <v>0</v>
      </c>
      <c r="V349" t="s">
        <v>639</v>
      </c>
      <c r="W349" t="s">
        <v>207</v>
      </c>
      <c r="X349" t="s">
        <v>429</v>
      </c>
      <c r="Z349" s="38">
        <v>45747</v>
      </c>
      <c r="AG349" t="s">
        <v>440</v>
      </c>
    </row>
    <row r="350" spans="1:33" x14ac:dyDescent="0.25">
      <c r="A350" t="s">
        <v>717</v>
      </c>
      <c r="B350" t="s">
        <v>779</v>
      </c>
      <c r="C350" t="s">
        <v>167</v>
      </c>
      <c r="D350" t="s">
        <v>168</v>
      </c>
      <c r="E350" t="s">
        <v>170</v>
      </c>
      <c r="F350" t="s">
        <v>425</v>
      </c>
      <c r="G350" t="s">
        <v>179</v>
      </c>
      <c r="H350" t="s">
        <v>220</v>
      </c>
      <c r="I350" t="s">
        <v>426</v>
      </c>
      <c r="J350" t="s">
        <v>172</v>
      </c>
      <c r="K350" t="s">
        <v>499</v>
      </c>
      <c r="L350" s="38">
        <v>46191</v>
      </c>
      <c r="M350">
        <v>1</v>
      </c>
      <c r="N350" t="s">
        <v>428</v>
      </c>
      <c r="O350">
        <v>0</v>
      </c>
      <c r="P350">
        <v>0</v>
      </c>
      <c r="Q350">
        <v>0</v>
      </c>
      <c r="R350">
        <v>0</v>
      </c>
      <c r="S350">
        <v>0</v>
      </c>
      <c r="V350" t="s">
        <v>639</v>
      </c>
      <c r="W350" t="s">
        <v>207</v>
      </c>
      <c r="X350" t="s">
        <v>429</v>
      </c>
      <c r="Z350" s="38">
        <v>45747</v>
      </c>
      <c r="AG350" t="s">
        <v>440</v>
      </c>
    </row>
    <row r="351" spans="1:33" x14ac:dyDescent="0.25">
      <c r="A351" t="s">
        <v>717</v>
      </c>
      <c r="B351" t="s">
        <v>780</v>
      </c>
      <c r="C351" t="s">
        <v>167</v>
      </c>
      <c r="D351" t="s">
        <v>168</v>
      </c>
      <c r="E351" t="s">
        <v>170</v>
      </c>
      <c r="F351" t="s">
        <v>425</v>
      </c>
      <c r="G351" t="s">
        <v>179</v>
      </c>
      <c r="H351" t="s">
        <v>220</v>
      </c>
      <c r="I351" t="s">
        <v>426</v>
      </c>
      <c r="J351" t="s">
        <v>172</v>
      </c>
      <c r="K351" t="s">
        <v>499</v>
      </c>
      <c r="L351" s="38">
        <v>46191</v>
      </c>
      <c r="M351">
        <v>1</v>
      </c>
      <c r="N351" t="s">
        <v>428</v>
      </c>
      <c r="O351">
        <v>0</v>
      </c>
      <c r="P351">
        <v>0</v>
      </c>
      <c r="Q351">
        <v>0</v>
      </c>
      <c r="R351">
        <v>0</v>
      </c>
      <c r="S351">
        <v>0</v>
      </c>
      <c r="T351" t="s">
        <v>781</v>
      </c>
      <c r="V351" t="s">
        <v>639</v>
      </c>
      <c r="W351" t="s">
        <v>207</v>
      </c>
      <c r="X351" t="s">
        <v>429</v>
      </c>
      <c r="Z351" s="38">
        <v>45762</v>
      </c>
      <c r="AG351" t="s">
        <v>440</v>
      </c>
    </row>
    <row r="352" spans="1:33" x14ac:dyDescent="0.25">
      <c r="A352" t="s">
        <v>717</v>
      </c>
      <c r="B352" t="s">
        <v>782</v>
      </c>
      <c r="C352" t="s">
        <v>167</v>
      </c>
      <c r="D352" t="s">
        <v>168</v>
      </c>
      <c r="E352" t="s">
        <v>170</v>
      </c>
      <c r="F352" t="s">
        <v>425</v>
      </c>
      <c r="G352" t="s">
        <v>179</v>
      </c>
      <c r="H352" t="s">
        <v>220</v>
      </c>
      <c r="I352" t="s">
        <v>426</v>
      </c>
      <c r="J352" t="s">
        <v>172</v>
      </c>
      <c r="K352" t="s">
        <v>499</v>
      </c>
      <c r="L352" s="38">
        <v>46191</v>
      </c>
      <c r="M352">
        <v>1</v>
      </c>
      <c r="N352" t="s">
        <v>428</v>
      </c>
      <c r="O352">
        <v>0</v>
      </c>
      <c r="P352">
        <v>0</v>
      </c>
      <c r="Q352">
        <v>0</v>
      </c>
      <c r="R352">
        <v>0</v>
      </c>
      <c r="S352">
        <v>0</v>
      </c>
      <c r="V352" t="s">
        <v>639</v>
      </c>
      <c r="W352" t="s">
        <v>178</v>
      </c>
      <c r="X352" t="s">
        <v>429</v>
      </c>
      <c r="Z352" s="38">
        <v>45762</v>
      </c>
      <c r="AG352" t="s">
        <v>440</v>
      </c>
    </row>
    <row r="353" spans="1:33" x14ac:dyDescent="0.25">
      <c r="A353" t="s">
        <v>717</v>
      </c>
      <c r="B353" t="s">
        <v>783</v>
      </c>
      <c r="C353" t="s">
        <v>167</v>
      </c>
      <c r="D353" t="s">
        <v>168</v>
      </c>
      <c r="E353" t="s">
        <v>170</v>
      </c>
      <c r="F353" t="s">
        <v>425</v>
      </c>
      <c r="G353" t="s">
        <v>179</v>
      </c>
      <c r="H353" t="s">
        <v>220</v>
      </c>
      <c r="I353" t="s">
        <v>426</v>
      </c>
      <c r="J353" t="s">
        <v>172</v>
      </c>
      <c r="K353" t="s">
        <v>499</v>
      </c>
      <c r="L353" s="38">
        <v>46191</v>
      </c>
      <c r="M353">
        <v>1</v>
      </c>
      <c r="N353" t="s">
        <v>428</v>
      </c>
      <c r="O353">
        <v>0</v>
      </c>
      <c r="P353">
        <v>0</v>
      </c>
      <c r="Q353">
        <v>0</v>
      </c>
      <c r="R353">
        <v>0</v>
      </c>
      <c r="S353">
        <v>0</v>
      </c>
      <c r="T353" t="s">
        <v>781</v>
      </c>
      <c r="V353" t="s">
        <v>639</v>
      </c>
      <c r="W353" t="s">
        <v>207</v>
      </c>
      <c r="X353" t="s">
        <v>429</v>
      </c>
      <c r="Z353" s="38">
        <v>45762</v>
      </c>
      <c r="AG353" t="s">
        <v>440</v>
      </c>
    </row>
    <row r="354" spans="1:33" x14ac:dyDescent="0.25">
      <c r="A354" t="s">
        <v>717</v>
      </c>
      <c r="B354" t="s">
        <v>784</v>
      </c>
      <c r="C354" t="s">
        <v>167</v>
      </c>
      <c r="D354" t="s">
        <v>168</v>
      </c>
      <c r="E354" t="s">
        <v>170</v>
      </c>
      <c r="F354" t="s">
        <v>425</v>
      </c>
      <c r="G354" t="s">
        <v>179</v>
      </c>
      <c r="H354" t="s">
        <v>220</v>
      </c>
      <c r="I354" t="s">
        <v>426</v>
      </c>
      <c r="J354" t="s">
        <v>172</v>
      </c>
      <c r="K354" t="s">
        <v>499</v>
      </c>
      <c r="L354" s="38">
        <v>46191</v>
      </c>
      <c r="M354">
        <v>1</v>
      </c>
      <c r="N354" t="s">
        <v>428</v>
      </c>
      <c r="O354">
        <v>0</v>
      </c>
      <c r="P354">
        <v>0</v>
      </c>
      <c r="Q354">
        <v>0</v>
      </c>
      <c r="R354">
        <v>0</v>
      </c>
      <c r="S354">
        <v>0</v>
      </c>
      <c r="V354" t="s">
        <v>639</v>
      </c>
      <c r="W354" t="s">
        <v>178</v>
      </c>
      <c r="X354" t="s">
        <v>429</v>
      </c>
      <c r="Z354" s="38">
        <v>45762</v>
      </c>
      <c r="AG354" t="s">
        <v>440</v>
      </c>
    </row>
    <row r="355" spans="1:33" x14ac:dyDescent="0.25">
      <c r="A355" t="s">
        <v>717</v>
      </c>
      <c r="B355" t="s">
        <v>785</v>
      </c>
      <c r="C355" t="s">
        <v>167</v>
      </c>
      <c r="D355" t="s">
        <v>168</v>
      </c>
      <c r="E355" t="s">
        <v>170</v>
      </c>
      <c r="F355" t="s">
        <v>425</v>
      </c>
      <c r="G355" t="s">
        <v>179</v>
      </c>
      <c r="H355" t="s">
        <v>220</v>
      </c>
      <c r="I355" t="s">
        <v>426</v>
      </c>
      <c r="J355" t="s">
        <v>172</v>
      </c>
      <c r="K355" t="s">
        <v>499</v>
      </c>
      <c r="L355" s="38">
        <v>46191</v>
      </c>
      <c r="M355">
        <v>1</v>
      </c>
      <c r="N355" t="s">
        <v>428</v>
      </c>
      <c r="O355">
        <v>0</v>
      </c>
      <c r="P355">
        <v>0</v>
      </c>
      <c r="Q355">
        <v>0</v>
      </c>
      <c r="R355">
        <v>0</v>
      </c>
      <c r="S355">
        <v>0</v>
      </c>
      <c r="V355" t="s">
        <v>639</v>
      </c>
      <c r="W355" t="s">
        <v>178</v>
      </c>
      <c r="X355" t="s">
        <v>429</v>
      </c>
      <c r="Z355" s="38">
        <v>45762</v>
      </c>
      <c r="AG355" t="s">
        <v>440</v>
      </c>
    </row>
    <row r="356" spans="1:33" x14ac:dyDescent="0.25">
      <c r="A356" t="s">
        <v>717</v>
      </c>
      <c r="B356" t="s">
        <v>740</v>
      </c>
      <c r="C356" t="s">
        <v>167</v>
      </c>
      <c r="D356" t="s">
        <v>168</v>
      </c>
      <c r="E356" t="s">
        <v>469</v>
      </c>
      <c r="F356" t="s">
        <v>425</v>
      </c>
      <c r="G356" t="s">
        <v>179</v>
      </c>
      <c r="H356" t="s">
        <v>220</v>
      </c>
      <c r="I356" t="s">
        <v>426</v>
      </c>
      <c r="J356" t="s">
        <v>305</v>
      </c>
      <c r="K356" t="s">
        <v>739</v>
      </c>
      <c r="L356" s="38">
        <v>46191</v>
      </c>
      <c r="M356">
        <v>1</v>
      </c>
      <c r="N356" t="s">
        <v>428</v>
      </c>
      <c r="O356">
        <v>0</v>
      </c>
      <c r="P356">
        <v>-0.48</v>
      </c>
      <c r="Q356">
        <v>0</v>
      </c>
      <c r="R356">
        <v>0</v>
      </c>
      <c r="S356">
        <v>-0.48</v>
      </c>
      <c r="V356" t="s">
        <v>472</v>
      </c>
      <c r="W356" t="s">
        <v>207</v>
      </c>
      <c r="X356" t="s">
        <v>429</v>
      </c>
      <c r="Z356" s="38">
        <v>46203</v>
      </c>
      <c r="AF356" t="s">
        <v>447</v>
      </c>
      <c r="AG356" t="s">
        <v>447</v>
      </c>
    </row>
    <row r="357" spans="1:33" x14ac:dyDescent="0.25">
      <c r="A357" t="s">
        <v>717</v>
      </c>
      <c r="B357" t="s">
        <v>736</v>
      </c>
      <c r="C357" t="s">
        <v>167</v>
      </c>
      <c r="D357" t="s">
        <v>168</v>
      </c>
      <c r="E357" t="s">
        <v>478</v>
      </c>
      <c r="F357" t="s">
        <v>425</v>
      </c>
      <c r="G357" t="s">
        <v>179</v>
      </c>
      <c r="H357" t="s">
        <v>220</v>
      </c>
      <c r="I357" t="s">
        <v>426</v>
      </c>
      <c r="J357" t="s">
        <v>305</v>
      </c>
      <c r="K357" t="s">
        <v>735</v>
      </c>
      <c r="L357" s="38">
        <v>46191</v>
      </c>
      <c r="M357">
        <v>1</v>
      </c>
      <c r="N357" t="s">
        <v>428</v>
      </c>
      <c r="O357">
        <v>0</v>
      </c>
      <c r="P357">
        <v>-0.6</v>
      </c>
      <c r="Q357">
        <v>0</v>
      </c>
      <c r="R357">
        <v>0</v>
      </c>
      <c r="S357">
        <v>-0.6</v>
      </c>
      <c r="V357" t="s">
        <v>472</v>
      </c>
      <c r="W357" t="s">
        <v>207</v>
      </c>
      <c r="X357" t="s">
        <v>429</v>
      </c>
      <c r="Z357" s="38">
        <v>46203</v>
      </c>
      <c r="AF357" t="s">
        <v>447</v>
      </c>
      <c r="AG357" t="s">
        <v>447</v>
      </c>
    </row>
    <row r="358" spans="1:33" x14ac:dyDescent="0.25">
      <c r="A358" t="s">
        <v>717</v>
      </c>
      <c r="B358" t="s">
        <v>324</v>
      </c>
      <c r="C358" t="s">
        <v>167</v>
      </c>
      <c r="D358" t="s">
        <v>168</v>
      </c>
      <c r="E358" t="s">
        <v>170</v>
      </c>
      <c r="F358" t="s">
        <v>425</v>
      </c>
      <c r="G358" t="s">
        <v>179</v>
      </c>
      <c r="H358" t="s">
        <v>220</v>
      </c>
      <c r="I358" t="s">
        <v>426</v>
      </c>
      <c r="J358" t="s">
        <v>172</v>
      </c>
      <c r="K358" t="s">
        <v>499</v>
      </c>
      <c r="L358" s="38">
        <v>46191</v>
      </c>
      <c r="M358">
        <v>1</v>
      </c>
      <c r="N358" t="s">
        <v>428</v>
      </c>
      <c r="O358">
        <v>0</v>
      </c>
      <c r="P358">
        <v>-18.899999999999999</v>
      </c>
      <c r="Q358">
        <v>0</v>
      </c>
      <c r="R358">
        <v>0</v>
      </c>
      <c r="S358">
        <v>-18.899999999999999</v>
      </c>
      <c r="V358" t="s">
        <v>472</v>
      </c>
      <c r="W358" t="s">
        <v>207</v>
      </c>
      <c r="X358" t="s">
        <v>429</v>
      </c>
      <c r="Z358" s="38">
        <v>46203</v>
      </c>
      <c r="AG358" t="s">
        <v>447</v>
      </c>
    </row>
    <row r="359" spans="1:33" x14ac:dyDescent="0.25">
      <c r="A359" t="s">
        <v>717</v>
      </c>
      <c r="B359" t="s">
        <v>786</v>
      </c>
      <c r="C359" t="s">
        <v>167</v>
      </c>
      <c r="D359" t="s">
        <v>168</v>
      </c>
      <c r="E359" t="s">
        <v>424</v>
      </c>
      <c r="F359" t="s">
        <v>425</v>
      </c>
      <c r="G359" t="s">
        <v>195</v>
      </c>
      <c r="H359" t="s">
        <v>514</v>
      </c>
      <c r="I359" t="s">
        <v>426</v>
      </c>
      <c r="J359" t="s">
        <v>719</v>
      </c>
      <c r="L359" s="38">
        <v>46191</v>
      </c>
      <c r="M359">
        <v>1</v>
      </c>
      <c r="N359" t="s">
        <v>428</v>
      </c>
      <c r="O359">
        <v>0.24</v>
      </c>
      <c r="P359">
        <v>0</v>
      </c>
      <c r="Q359">
        <v>0</v>
      </c>
      <c r="R359">
        <v>0</v>
      </c>
      <c r="S359">
        <v>0.24</v>
      </c>
      <c r="W359" t="s">
        <v>207</v>
      </c>
      <c r="X359" t="s">
        <v>429</v>
      </c>
      <c r="Z359" s="38">
        <v>46081</v>
      </c>
      <c r="AF359" t="s">
        <v>447</v>
      </c>
    </row>
    <row r="360" spans="1:33" x14ac:dyDescent="0.25">
      <c r="A360" t="s">
        <v>717</v>
      </c>
      <c r="B360" t="s">
        <v>787</v>
      </c>
      <c r="C360" t="s">
        <v>167</v>
      </c>
      <c r="D360" t="s">
        <v>168</v>
      </c>
      <c r="E360" t="s">
        <v>424</v>
      </c>
      <c r="F360" t="s">
        <v>425</v>
      </c>
      <c r="G360" t="s">
        <v>195</v>
      </c>
      <c r="H360" t="s">
        <v>514</v>
      </c>
      <c r="I360" t="s">
        <v>426</v>
      </c>
      <c r="J360" t="s">
        <v>722</v>
      </c>
      <c r="L360" s="38">
        <v>46191</v>
      </c>
      <c r="M360">
        <v>1</v>
      </c>
      <c r="N360" t="s">
        <v>428</v>
      </c>
      <c r="O360">
        <v>2.87</v>
      </c>
      <c r="P360">
        <v>0</v>
      </c>
      <c r="Q360">
        <v>0</v>
      </c>
      <c r="R360">
        <v>0</v>
      </c>
      <c r="S360">
        <v>2.87</v>
      </c>
      <c r="X360" t="s">
        <v>429</v>
      </c>
      <c r="Z360" s="38">
        <v>46081</v>
      </c>
      <c r="AF360" t="s">
        <v>447</v>
      </c>
    </row>
    <row r="361" spans="1:33" x14ac:dyDescent="0.25">
      <c r="A361" t="s">
        <v>717</v>
      </c>
      <c r="B361" t="s">
        <v>788</v>
      </c>
      <c r="C361" t="s">
        <v>167</v>
      </c>
      <c r="D361" t="s">
        <v>168</v>
      </c>
      <c r="E361" t="s">
        <v>424</v>
      </c>
      <c r="F361" t="s">
        <v>425</v>
      </c>
      <c r="G361" t="s">
        <v>195</v>
      </c>
      <c r="H361" t="s">
        <v>514</v>
      </c>
      <c r="I361" t="s">
        <v>426</v>
      </c>
      <c r="J361" t="s">
        <v>722</v>
      </c>
      <c r="L361" s="38">
        <v>46191</v>
      </c>
      <c r="M361">
        <v>1</v>
      </c>
      <c r="N361" t="s">
        <v>428</v>
      </c>
      <c r="O361">
        <v>0.3</v>
      </c>
      <c r="P361">
        <v>0</v>
      </c>
      <c r="Q361">
        <v>0</v>
      </c>
      <c r="R361">
        <v>0</v>
      </c>
      <c r="S361">
        <v>0.3</v>
      </c>
      <c r="X361" t="s">
        <v>429</v>
      </c>
      <c r="Z361" s="38">
        <v>46081</v>
      </c>
      <c r="AF361" t="s">
        <v>447</v>
      </c>
    </row>
    <row r="362" spans="1:33" x14ac:dyDescent="0.25">
      <c r="A362" t="s">
        <v>717</v>
      </c>
      <c r="B362" t="s">
        <v>789</v>
      </c>
      <c r="C362" t="s">
        <v>167</v>
      </c>
      <c r="D362" t="s">
        <v>168</v>
      </c>
      <c r="E362" t="s">
        <v>463</v>
      </c>
      <c r="F362" t="s">
        <v>425</v>
      </c>
      <c r="G362" t="s">
        <v>195</v>
      </c>
      <c r="H362" t="s">
        <v>514</v>
      </c>
      <c r="I362" t="s">
        <v>426</v>
      </c>
      <c r="J362" t="s">
        <v>790</v>
      </c>
      <c r="L362" s="38">
        <v>46191</v>
      </c>
      <c r="M362">
        <v>1</v>
      </c>
      <c r="N362" t="s">
        <v>428</v>
      </c>
      <c r="O362">
        <v>0.42</v>
      </c>
      <c r="P362">
        <v>0</v>
      </c>
      <c r="Q362">
        <v>0</v>
      </c>
      <c r="R362">
        <v>0</v>
      </c>
      <c r="S362">
        <v>0.42</v>
      </c>
      <c r="X362" t="s">
        <v>429</v>
      </c>
      <c r="Z362" s="38">
        <v>46142</v>
      </c>
      <c r="AF362" t="s">
        <v>447</v>
      </c>
    </row>
    <row r="363" spans="1:33" x14ac:dyDescent="0.25">
      <c r="A363" t="s">
        <v>717</v>
      </c>
      <c r="B363" t="s">
        <v>791</v>
      </c>
      <c r="C363" t="s">
        <v>167</v>
      </c>
      <c r="D363" t="s">
        <v>168</v>
      </c>
      <c r="E363" t="s">
        <v>469</v>
      </c>
      <c r="F363" t="s">
        <v>425</v>
      </c>
      <c r="G363" t="s">
        <v>195</v>
      </c>
      <c r="H363" t="s">
        <v>514</v>
      </c>
      <c r="I363" t="s">
        <v>426</v>
      </c>
      <c r="J363" t="s">
        <v>464</v>
      </c>
      <c r="K363" t="s">
        <v>792</v>
      </c>
      <c r="L363" s="38">
        <v>46191</v>
      </c>
      <c r="M363">
        <v>1</v>
      </c>
      <c r="N363" t="s">
        <v>428</v>
      </c>
      <c r="O363">
        <v>1.2</v>
      </c>
      <c r="P363">
        <v>0</v>
      </c>
      <c r="Q363">
        <v>0</v>
      </c>
      <c r="R363">
        <v>0</v>
      </c>
      <c r="S363">
        <v>1.2</v>
      </c>
      <c r="V363" t="s">
        <v>472</v>
      </c>
      <c r="X363" t="s">
        <v>429</v>
      </c>
      <c r="Z363" s="38">
        <v>46123</v>
      </c>
      <c r="AF363" t="s">
        <v>447</v>
      </c>
      <c r="AG363" t="s">
        <v>447</v>
      </c>
    </row>
    <row r="364" spans="1:33" x14ac:dyDescent="0.25">
      <c r="A364" t="s">
        <v>717</v>
      </c>
      <c r="B364" t="s">
        <v>793</v>
      </c>
      <c r="C364" t="s">
        <v>167</v>
      </c>
      <c r="D364" t="s">
        <v>168</v>
      </c>
      <c r="E364" t="s">
        <v>424</v>
      </c>
      <c r="F364" t="s">
        <v>425</v>
      </c>
      <c r="G364" t="s">
        <v>195</v>
      </c>
      <c r="H364" t="s">
        <v>514</v>
      </c>
      <c r="I364" t="s">
        <v>426</v>
      </c>
      <c r="J364" t="s">
        <v>727</v>
      </c>
      <c r="L364" s="38">
        <v>46191</v>
      </c>
      <c r="M364">
        <v>1</v>
      </c>
      <c r="N364" t="s">
        <v>428</v>
      </c>
      <c r="O364">
        <v>0.12</v>
      </c>
      <c r="P364">
        <v>0</v>
      </c>
      <c r="Q364">
        <v>0</v>
      </c>
      <c r="R364">
        <v>0</v>
      </c>
      <c r="S364">
        <v>0.12</v>
      </c>
      <c r="X364" t="s">
        <v>429</v>
      </c>
      <c r="Z364" s="38">
        <v>46142</v>
      </c>
      <c r="AF364" t="s">
        <v>447</v>
      </c>
    </row>
    <row r="365" spans="1:33" x14ac:dyDescent="0.25">
      <c r="A365" t="s">
        <v>717</v>
      </c>
      <c r="B365" t="s">
        <v>794</v>
      </c>
      <c r="C365" t="s">
        <v>167</v>
      </c>
      <c r="D365" t="s">
        <v>168</v>
      </c>
      <c r="E365" t="s">
        <v>478</v>
      </c>
      <c r="F365" t="s">
        <v>425</v>
      </c>
      <c r="G365" t="s">
        <v>195</v>
      </c>
      <c r="H365" t="s">
        <v>514</v>
      </c>
      <c r="I365" t="s">
        <v>426</v>
      </c>
      <c r="J365" t="s">
        <v>464</v>
      </c>
      <c r="K365" t="s">
        <v>795</v>
      </c>
      <c r="L365" s="38">
        <v>46191</v>
      </c>
      <c r="M365">
        <v>1</v>
      </c>
      <c r="N365" t="s">
        <v>428</v>
      </c>
      <c r="O365">
        <v>1.2</v>
      </c>
      <c r="P365">
        <v>0</v>
      </c>
      <c r="Q365">
        <v>0</v>
      </c>
      <c r="R365">
        <v>0</v>
      </c>
      <c r="S365">
        <v>1.2</v>
      </c>
      <c r="V365" t="s">
        <v>472</v>
      </c>
      <c r="X365" t="s">
        <v>429</v>
      </c>
      <c r="Z365" s="38">
        <v>46203</v>
      </c>
      <c r="AF365" t="s">
        <v>447</v>
      </c>
      <c r="AG365" t="s">
        <v>447</v>
      </c>
    </row>
    <row r="366" spans="1:33" x14ac:dyDescent="0.25">
      <c r="A366" t="s">
        <v>717</v>
      </c>
      <c r="B366" t="s">
        <v>796</v>
      </c>
      <c r="C366" t="s">
        <v>167</v>
      </c>
      <c r="D366" t="s">
        <v>168</v>
      </c>
      <c r="E366" t="s">
        <v>478</v>
      </c>
      <c r="F366" t="s">
        <v>425</v>
      </c>
      <c r="G366" t="s">
        <v>195</v>
      </c>
      <c r="H366" t="s">
        <v>514</v>
      </c>
      <c r="I366" t="s">
        <v>426</v>
      </c>
      <c r="J366" t="s">
        <v>464</v>
      </c>
      <c r="K366" t="s">
        <v>797</v>
      </c>
      <c r="L366" s="38">
        <v>46191</v>
      </c>
      <c r="M366">
        <v>1</v>
      </c>
      <c r="N366" t="s">
        <v>428</v>
      </c>
      <c r="O366">
        <v>3</v>
      </c>
      <c r="P366">
        <v>0</v>
      </c>
      <c r="Q366">
        <v>0</v>
      </c>
      <c r="R366">
        <v>0</v>
      </c>
      <c r="S366">
        <v>3</v>
      </c>
      <c r="V366" t="s">
        <v>472</v>
      </c>
      <c r="X366" t="s">
        <v>429</v>
      </c>
      <c r="Z366" s="38">
        <v>46203</v>
      </c>
      <c r="AF366" t="s">
        <v>447</v>
      </c>
      <c r="AG366" t="s">
        <v>447</v>
      </c>
    </row>
    <row r="367" spans="1:33" x14ac:dyDescent="0.25">
      <c r="A367" t="s">
        <v>717</v>
      </c>
      <c r="B367" t="s">
        <v>1275</v>
      </c>
      <c r="C367" t="s">
        <v>167</v>
      </c>
      <c r="D367" t="s">
        <v>168</v>
      </c>
      <c r="E367" t="s">
        <v>463</v>
      </c>
      <c r="F367" t="s">
        <v>425</v>
      </c>
      <c r="G367" t="s">
        <v>195</v>
      </c>
      <c r="H367" t="s">
        <v>514</v>
      </c>
      <c r="I367" t="s">
        <v>426</v>
      </c>
      <c r="J367" t="s">
        <v>464</v>
      </c>
      <c r="L367" s="38">
        <v>46191</v>
      </c>
      <c r="M367">
        <v>1</v>
      </c>
      <c r="N367" t="s">
        <v>428</v>
      </c>
      <c r="O367">
        <v>6</v>
      </c>
      <c r="P367">
        <v>0</v>
      </c>
      <c r="Q367">
        <v>0</v>
      </c>
      <c r="R367">
        <v>0</v>
      </c>
      <c r="S367">
        <v>6</v>
      </c>
      <c r="X367" t="s">
        <v>429</v>
      </c>
      <c r="Z367" s="38">
        <v>46203</v>
      </c>
      <c r="AF367" t="s">
        <v>447</v>
      </c>
    </row>
    <row r="368" spans="1:33" x14ac:dyDescent="0.25">
      <c r="A368" t="s">
        <v>717</v>
      </c>
      <c r="B368" t="s">
        <v>1276</v>
      </c>
      <c r="C368" t="s">
        <v>167</v>
      </c>
      <c r="D368" t="s">
        <v>168</v>
      </c>
      <c r="E368" t="s">
        <v>463</v>
      </c>
      <c r="F368" t="s">
        <v>425</v>
      </c>
      <c r="G368" t="s">
        <v>195</v>
      </c>
      <c r="H368" t="s">
        <v>514</v>
      </c>
      <c r="I368" t="s">
        <v>426</v>
      </c>
      <c r="J368" t="s">
        <v>464</v>
      </c>
      <c r="L368" s="38">
        <v>46191</v>
      </c>
      <c r="M368">
        <v>1</v>
      </c>
      <c r="N368" t="s">
        <v>428</v>
      </c>
      <c r="O368">
        <v>3.12</v>
      </c>
      <c r="P368">
        <v>0</v>
      </c>
      <c r="Q368">
        <v>0</v>
      </c>
      <c r="R368">
        <v>0</v>
      </c>
      <c r="S368">
        <v>3.12</v>
      </c>
      <c r="X368" t="s">
        <v>429</v>
      </c>
      <c r="Z368" s="38">
        <v>46203</v>
      </c>
      <c r="AF368" t="s">
        <v>447</v>
      </c>
    </row>
    <row r="369" spans="1:33" x14ac:dyDescent="0.25">
      <c r="A369" t="s">
        <v>717</v>
      </c>
      <c r="B369" t="s">
        <v>798</v>
      </c>
      <c r="C369" t="s">
        <v>167</v>
      </c>
      <c r="D369" t="s">
        <v>168</v>
      </c>
      <c r="E369" t="s">
        <v>170</v>
      </c>
      <c r="F369" t="s">
        <v>425</v>
      </c>
      <c r="G369" t="s">
        <v>195</v>
      </c>
      <c r="H369" t="s">
        <v>514</v>
      </c>
      <c r="I369" t="s">
        <v>426</v>
      </c>
      <c r="J369" t="s">
        <v>172</v>
      </c>
      <c r="K369" t="s">
        <v>499</v>
      </c>
      <c r="L369" s="38">
        <v>46191</v>
      </c>
      <c r="M369">
        <v>1</v>
      </c>
      <c r="N369" t="s">
        <v>428</v>
      </c>
      <c r="O369">
        <v>0</v>
      </c>
      <c r="P369">
        <v>0</v>
      </c>
      <c r="Q369">
        <v>0</v>
      </c>
      <c r="R369">
        <v>0</v>
      </c>
      <c r="S369">
        <v>0</v>
      </c>
      <c r="V369" t="s">
        <v>472</v>
      </c>
      <c r="W369" t="s">
        <v>178</v>
      </c>
      <c r="X369" t="s">
        <v>429</v>
      </c>
      <c r="Z369" s="38">
        <v>46081</v>
      </c>
      <c r="AG369" t="s">
        <v>447</v>
      </c>
    </row>
    <row r="370" spans="1:33" x14ac:dyDescent="0.25">
      <c r="A370" t="s">
        <v>717</v>
      </c>
      <c r="B370" t="s">
        <v>799</v>
      </c>
      <c r="C370" t="s">
        <v>167</v>
      </c>
      <c r="D370" t="s">
        <v>168</v>
      </c>
      <c r="E370" t="s">
        <v>170</v>
      </c>
      <c r="F370" t="s">
        <v>425</v>
      </c>
      <c r="G370" t="s">
        <v>195</v>
      </c>
      <c r="H370" t="s">
        <v>514</v>
      </c>
      <c r="I370" t="s">
        <v>426</v>
      </c>
      <c r="J370" t="s">
        <v>172</v>
      </c>
      <c r="K370" t="s">
        <v>499</v>
      </c>
      <c r="L370" s="38">
        <v>46191</v>
      </c>
      <c r="M370">
        <v>1</v>
      </c>
      <c r="N370" t="s">
        <v>428</v>
      </c>
      <c r="O370">
        <v>0</v>
      </c>
      <c r="P370">
        <v>0</v>
      </c>
      <c r="Q370">
        <v>0</v>
      </c>
      <c r="R370">
        <v>0</v>
      </c>
      <c r="S370">
        <v>0</v>
      </c>
      <c r="T370" t="s">
        <v>781</v>
      </c>
      <c r="V370" t="s">
        <v>472</v>
      </c>
      <c r="W370" t="s">
        <v>207</v>
      </c>
      <c r="X370" t="s">
        <v>429</v>
      </c>
      <c r="Z370" s="38">
        <v>46112</v>
      </c>
      <c r="AG370" t="s">
        <v>447</v>
      </c>
    </row>
    <row r="371" spans="1:33" x14ac:dyDescent="0.25">
      <c r="A371" t="s">
        <v>717</v>
      </c>
      <c r="B371" t="s">
        <v>800</v>
      </c>
      <c r="C371" t="s">
        <v>167</v>
      </c>
      <c r="D371" t="s">
        <v>168</v>
      </c>
      <c r="E371" t="s">
        <v>170</v>
      </c>
      <c r="F371" t="s">
        <v>425</v>
      </c>
      <c r="G371" t="s">
        <v>195</v>
      </c>
      <c r="H371" t="s">
        <v>514</v>
      </c>
      <c r="I371" t="s">
        <v>426</v>
      </c>
      <c r="J371" t="s">
        <v>172</v>
      </c>
      <c r="K371" t="s">
        <v>499</v>
      </c>
      <c r="L371" s="38">
        <v>46191</v>
      </c>
      <c r="M371">
        <v>1</v>
      </c>
      <c r="N371" t="s">
        <v>428</v>
      </c>
      <c r="O371">
        <v>0</v>
      </c>
      <c r="P371">
        <v>0</v>
      </c>
      <c r="Q371">
        <v>0</v>
      </c>
      <c r="R371">
        <v>0</v>
      </c>
      <c r="S371">
        <v>0</v>
      </c>
      <c r="V371" t="s">
        <v>472</v>
      </c>
      <c r="W371" t="s">
        <v>207</v>
      </c>
      <c r="X371" t="s">
        <v>429</v>
      </c>
      <c r="Z371" s="38">
        <v>46127</v>
      </c>
      <c r="AG371" t="s">
        <v>447</v>
      </c>
    </row>
    <row r="372" spans="1:33" x14ac:dyDescent="0.25">
      <c r="A372" t="s">
        <v>717</v>
      </c>
      <c r="B372" t="s">
        <v>792</v>
      </c>
      <c r="C372" t="s">
        <v>167</v>
      </c>
      <c r="D372" t="s">
        <v>168</v>
      </c>
      <c r="E372" t="s">
        <v>469</v>
      </c>
      <c r="F372" t="s">
        <v>425</v>
      </c>
      <c r="G372" t="s">
        <v>195</v>
      </c>
      <c r="H372" t="s">
        <v>514</v>
      </c>
      <c r="I372" t="s">
        <v>426</v>
      </c>
      <c r="J372" t="s">
        <v>765</v>
      </c>
      <c r="K372" t="s">
        <v>791</v>
      </c>
      <c r="L372" s="38">
        <v>46191</v>
      </c>
      <c r="M372">
        <v>1</v>
      </c>
      <c r="N372" t="s">
        <v>428</v>
      </c>
      <c r="O372">
        <v>0</v>
      </c>
      <c r="P372">
        <v>-1.2</v>
      </c>
      <c r="Q372">
        <v>0</v>
      </c>
      <c r="R372">
        <v>0</v>
      </c>
      <c r="S372">
        <v>-1.2</v>
      </c>
      <c r="V372" t="s">
        <v>472</v>
      </c>
      <c r="W372" t="s">
        <v>207</v>
      </c>
      <c r="X372" t="s">
        <v>429</v>
      </c>
      <c r="Z372" s="38">
        <v>46123</v>
      </c>
      <c r="AF372" t="s">
        <v>447</v>
      </c>
      <c r="AG372" t="s">
        <v>447</v>
      </c>
    </row>
    <row r="373" spans="1:33" x14ac:dyDescent="0.25">
      <c r="A373" t="s">
        <v>717</v>
      </c>
      <c r="B373" t="s">
        <v>801</v>
      </c>
      <c r="C373" t="s">
        <v>167</v>
      </c>
      <c r="D373" t="s">
        <v>168</v>
      </c>
      <c r="E373" t="s">
        <v>170</v>
      </c>
      <c r="F373" t="s">
        <v>425</v>
      </c>
      <c r="G373" t="s">
        <v>195</v>
      </c>
      <c r="H373" t="s">
        <v>514</v>
      </c>
      <c r="I373" t="s">
        <v>426</v>
      </c>
      <c r="J373" t="s">
        <v>172</v>
      </c>
      <c r="K373" t="s">
        <v>499</v>
      </c>
      <c r="L373" s="38">
        <v>46191</v>
      </c>
      <c r="M373">
        <v>1</v>
      </c>
      <c r="N373" t="s">
        <v>428</v>
      </c>
      <c r="O373">
        <v>0</v>
      </c>
      <c r="P373">
        <v>0</v>
      </c>
      <c r="Q373">
        <v>0</v>
      </c>
      <c r="R373">
        <v>0</v>
      </c>
      <c r="S373">
        <v>0</v>
      </c>
      <c r="V373" t="s">
        <v>472</v>
      </c>
      <c r="W373" t="s">
        <v>178</v>
      </c>
      <c r="X373" t="s">
        <v>429</v>
      </c>
      <c r="Z373" s="38">
        <v>46142</v>
      </c>
      <c r="AG373" t="s">
        <v>447</v>
      </c>
    </row>
    <row r="374" spans="1:33" x14ac:dyDescent="0.25">
      <c r="A374" t="s">
        <v>717</v>
      </c>
      <c r="B374" t="s">
        <v>802</v>
      </c>
      <c r="C374" t="s">
        <v>167</v>
      </c>
      <c r="D374" t="s">
        <v>168</v>
      </c>
      <c r="E374" t="s">
        <v>170</v>
      </c>
      <c r="F374" t="s">
        <v>425</v>
      </c>
      <c r="G374" t="s">
        <v>195</v>
      </c>
      <c r="H374" t="s">
        <v>514</v>
      </c>
      <c r="I374" t="s">
        <v>426</v>
      </c>
      <c r="J374" t="s">
        <v>172</v>
      </c>
      <c r="K374" t="s">
        <v>499</v>
      </c>
      <c r="L374" s="38">
        <v>46191</v>
      </c>
      <c r="M374">
        <v>1</v>
      </c>
      <c r="N374" t="s">
        <v>428</v>
      </c>
      <c r="O374">
        <v>0</v>
      </c>
      <c r="P374">
        <v>0</v>
      </c>
      <c r="Q374">
        <v>0</v>
      </c>
      <c r="R374">
        <v>0</v>
      </c>
      <c r="S374">
        <v>0</v>
      </c>
      <c r="V374" t="s">
        <v>472</v>
      </c>
      <c r="W374" t="s">
        <v>178</v>
      </c>
      <c r="X374" t="s">
        <v>429</v>
      </c>
      <c r="Z374" s="38">
        <v>46142</v>
      </c>
      <c r="AG374" t="s">
        <v>447</v>
      </c>
    </row>
    <row r="375" spans="1:33" x14ac:dyDescent="0.25">
      <c r="A375" t="s">
        <v>717</v>
      </c>
      <c r="B375" t="s">
        <v>803</v>
      </c>
      <c r="C375" t="s">
        <v>167</v>
      </c>
      <c r="D375" t="s">
        <v>168</v>
      </c>
      <c r="E375" t="s">
        <v>170</v>
      </c>
      <c r="F375" t="s">
        <v>425</v>
      </c>
      <c r="G375" t="s">
        <v>195</v>
      </c>
      <c r="H375" t="s">
        <v>514</v>
      </c>
      <c r="I375" t="s">
        <v>426</v>
      </c>
      <c r="J375" t="s">
        <v>770</v>
      </c>
      <c r="K375" t="s">
        <v>499</v>
      </c>
      <c r="L375" s="38">
        <v>46191</v>
      </c>
      <c r="M375">
        <v>1</v>
      </c>
      <c r="N375" t="s">
        <v>428</v>
      </c>
      <c r="O375">
        <v>0</v>
      </c>
      <c r="P375">
        <v>0</v>
      </c>
      <c r="Q375">
        <v>0</v>
      </c>
      <c r="R375">
        <v>0</v>
      </c>
      <c r="S375">
        <v>0</v>
      </c>
      <c r="V375" t="s">
        <v>472</v>
      </c>
      <c r="W375" t="s">
        <v>207</v>
      </c>
      <c r="X375" t="s">
        <v>429</v>
      </c>
      <c r="Z375" s="38">
        <v>46157</v>
      </c>
      <c r="AG375" t="s">
        <v>447</v>
      </c>
    </row>
    <row r="376" spans="1:33" x14ac:dyDescent="0.25">
      <c r="A376" t="s">
        <v>717</v>
      </c>
      <c r="B376" t="s">
        <v>804</v>
      </c>
      <c r="C376" t="s">
        <v>167</v>
      </c>
      <c r="D376" t="s">
        <v>168</v>
      </c>
      <c r="E376" t="s">
        <v>170</v>
      </c>
      <c r="F376" t="s">
        <v>425</v>
      </c>
      <c r="G376" t="s">
        <v>195</v>
      </c>
      <c r="H376" t="s">
        <v>514</v>
      </c>
      <c r="I376" t="s">
        <v>426</v>
      </c>
      <c r="J376" t="s">
        <v>770</v>
      </c>
      <c r="K376" t="s">
        <v>499</v>
      </c>
      <c r="L376" s="38">
        <v>46191</v>
      </c>
      <c r="M376">
        <v>1</v>
      </c>
      <c r="N376" t="s">
        <v>428</v>
      </c>
      <c r="O376">
        <v>0</v>
      </c>
      <c r="P376">
        <v>0</v>
      </c>
      <c r="Q376">
        <v>0</v>
      </c>
      <c r="R376">
        <v>0</v>
      </c>
      <c r="S376">
        <v>0</v>
      </c>
      <c r="V376" t="s">
        <v>472</v>
      </c>
      <c r="W376" t="s">
        <v>207</v>
      </c>
      <c r="X376" t="s">
        <v>429</v>
      </c>
      <c r="Z376" s="38">
        <v>46157</v>
      </c>
      <c r="AG376" t="s">
        <v>447</v>
      </c>
    </row>
    <row r="377" spans="1:33" x14ac:dyDescent="0.25">
      <c r="A377" t="s">
        <v>717</v>
      </c>
      <c r="B377" t="s">
        <v>805</v>
      </c>
      <c r="C377" t="s">
        <v>167</v>
      </c>
      <c r="D377" t="s">
        <v>168</v>
      </c>
      <c r="E377" t="s">
        <v>170</v>
      </c>
      <c r="F377" t="s">
        <v>425</v>
      </c>
      <c r="G377" t="s">
        <v>195</v>
      </c>
      <c r="H377" t="s">
        <v>514</v>
      </c>
      <c r="I377" t="s">
        <v>426</v>
      </c>
      <c r="J377" t="s">
        <v>773</v>
      </c>
      <c r="K377" t="s">
        <v>499</v>
      </c>
      <c r="L377" s="38">
        <v>46191</v>
      </c>
      <c r="M377">
        <v>1</v>
      </c>
      <c r="N377" t="s">
        <v>428</v>
      </c>
      <c r="O377">
        <v>0</v>
      </c>
      <c r="P377">
        <v>0</v>
      </c>
      <c r="Q377">
        <v>0</v>
      </c>
      <c r="R377">
        <v>0</v>
      </c>
      <c r="S377">
        <v>0</v>
      </c>
      <c r="V377" t="s">
        <v>472</v>
      </c>
      <c r="W377" t="s">
        <v>207</v>
      </c>
      <c r="X377" t="s">
        <v>429</v>
      </c>
      <c r="Z377" s="38">
        <v>46173</v>
      </c>
      <c r="AG377" t="s">
        <v>447</v>
      </c>
    </row>
    <row r="378" spans="1:33" x14ac:dyDescent="0.25">
      <c r="A378" t="s">
        <v>717</v>
      </c>
      <c r="B378" t="s">
        <v>806</v>
      </c>
      <c r="C378" t="s">
        <v>167</v>
      </c>
      <c r="D378" t="s">
        <v>168</v>
      </c>
      <c r="E378" t="s">
        <v>170</v>
      </c>
      <c r="F378" t="s">
        <v>425</v>
      </c>
      <c r="G378" t="s">
        <v>195</v>
      </c>
      <c r="H378" t="s">
        <v>514</v>
      </c>
      <c r="I378" t="s">
        <v>426</v>
      </c>
      <c r="J378" t="s">
        <v>773</v>
      </c>
      <c r="K378" t="s">
        <v>499</v>
      </c>
      <c r="L378" s="38">
        <v>46191</v>
      </c>
      <c r="M378">
        <v>1</v>
      </c>
      <c r="N378" t="s">
        <v>428</v>
      </c>
      <c r="O378">
        <v>0</v>
      </c>
      <c r="P378">
        <v>0</v>
      </c>
      <c r="Q378">
        <v>0</v>
      </c>
      <c r="R378">
        <v>0</v>
      </c>
      <c r="S378">
        <v>0</v>
      </c>
      <c r="V378" t="s">
        <v>472</v>
      </c>
      <c r="W378" t="s">
        <v>207</v>
      </c>
      <c r="X378" t="s">
        <v>429</v>
      </c>
      <c r="Z378" s="38">
        <v>46173</v>
      </c>
      <c r="AG378" t="s">
        <v>447</v>
      </c>
    </row>
    <row r="379" spans="1:33" x14ac:dyDescent="0.25">
      <c r="A379" t="s">
        <v>717</v>
      </c>
      <c r="B379" t="s">
        <v>252</v>
      </c>
      <c r="C379" t="s">
        <v>167</v>
      </c>
      <c r="D379" t="s">
        <v>168</v>
      </c>
      <c r="E379" t="s">
        <v>170</v>
      </c>
      <c r="F379" t="s">
        <v>425</v>
      </c>
      <c r="G379" t="s">
        <v>195</v>
      </c>
      <c r="H379" t="s">
        <v>514</v>
      </c>
      <c r="I379" t="s">
        <v>426</v>
      </c>
      <c r="J379" t="s">
        <v>253</v>
      </c>
      <c r="K379" t="s">
        <v>499</v>
      </c>
      <c r="L379" s="38">
        <v>46191</v>
      </c>
      <c r="M379">
        <v>1</v>
      </c>
      <c r="N379" t="s">
        <v>428</v>
      </c>
      <c r="O379">
        <v>0</v>
      </c>
      <c r="P379">
        <v>-0.09</v>
      </c>
      <c r="Q379">
        <v>0</v>
      </c>
      <c r="R379">
        <v>0</v>
      </c>
      <c r="S379">
        <v>-0.09</v>
      </c>
      <c r="V379" t="s">
        <v>612</v>
      </c>
      <c r="W379" t="s">
        <v>207</v>
      </c>
      <c r="X379" t="s">
        <v>429</v>
      </c>
      <c r="Z379" s="38">
        <v>46203</v>
      </c>
      <c r="AG379" t="s">
        <v>507</v>
      </c>
    </row>
    <row r="380" spans="1:33" x14ac:dyDescent="0.25">
      <c r="A380" t="s">
        <v>717</v>
      </c>
      <c r="B380" t="s">
        <v>256</v>
      </c>
      <c r="C380" t="s">
        <v>167</v>
      </c>
      <c r="D380" t="s">
        <v>168</v>
      </c>
      <c r="E380" t="s">
        <v>170</v>
      </c>
      <c r="F380" t="s">
        <v>425</v>
      </c>
      <c r="G380" t="s">
        <v>195</v>
      </c>
      <c r="H380" t="s">
        <v>514</v>
      </c>
      <c r="I380" t="s">
        <v>426</v>
      </c>
      <c r="J380" t="s">
        <v>253</v>
      </c>
      <c r="K380" t="s">
        <v>499</v>
      </c>
      <c r="L380" s="38">
        <v>46191</v>
      </c>
      <c r="M380">
        <v>1</v>
      </c>
      <c r="N380" t="s">
        <v>428</v>
      </c>
      <c r="O380">
        <v>0</v>
      </c>
      <c r="P380">
        <v>-0.09</v>
      </c>
      <c r="Q380">
        <v>0</v>
      </c>
      <c r="R380">
        <v>0</v>
      </c>
      <c r="S380">
        <v>-0.09</v>
      </c>
      <c r="V380" t="s">
        <v>612</v>
      </c>
      <c r="W380" t="s">
        <v>207</v>
      </c>
      <c r="X380" t="s">
        <v>429</v>
      </c>
      <c r="Z380" s="38">
        <v>46203</v>
      </c>
      <c r="AG380" t="s">
        <v>507</v>
      </c>
    </row>
    <row r="381" spans="1:33" x14ac:dyDescent="0.25">
      <c r="A381" t="s">
        <v>717</v>
      </c>
      <c r="B381" t="s">
        <v>795</v>
      </c>
      <c r="C381" t="s">
        <v>167</v>
      </c>
      <c r="D381" t="s">
        <v>168</v>
      </c>
      <c r="E381" t="s">
        <v>478</v>
      </c>
      <c r="F381" t="s">
        <v>425</v>
      </c>
      <c r="G381" t="s">
        <v>195</v>
      </c>
      <c r="H381" t="s">
        <v>514</v>
      </c>
      <c r="I381" t="s">
        <v>426</v>
      </c>
      <c r="J381" t="s">
        <v>305</v>
      </c>
      <c r="K381" t="s">
        <v>794</v>
      </c>
      <c r="L381" s="38">
        <v>46191</v>
      </c>
      <c r="M381">
        <v>1</v>
      </c>
      <c r="N381" t="s">
        <v>428</v>
      </c>
      <c r="O381">
        <v>0</v>
      </c>
      <c r="P381">
        <v>-1.2</v>
      </c>
      <c r="Q381">
        <v>0</v>
      </c>
      <c r="R381">
        <v>0</v>
      </c>
      <c r="S381">
        <v>-1.2</v>
      </c>
      <c r="U381" t="s">
        <v>807</v>
      </c>
      <c r="V381" t="s">
        <v>472</v>
      </c>
      <c r="W381" t="s">
        <v>207</v>
      </c>
      <c r="X381" t="s">
        <v>429</v>
      </c>
      <c r="Z381" s="38">
        <v>46203</v>
      </c>
      <c r="AF381" t="s">
        <v>447</v>
      </c>
      <c r="AG381" t="s">
        <v>447</v>
      </c>
    </row>
    <row r="382" spans="1:33" x14ac:dyDescent="0.25">
      <c r="A382" t="s">
        <v>717</v>
      </c>
      <c r="B382" t="s">
        <v>250</v>
      </c>
      <c r="C382" t="s">
        <v>167</v>
      </c>
      <c r="D382" t="s">
        <v>168</v>
      </c>
      <c r="E382" t="s">
        <v>170</v>
      </c>
      <c r="F382" t="s">
        <v>425</v>
      </c>
      <c r="G382" t="s">
        <v>195</v>
      </c>
      <c r="H382" t="s">
        <v>514</v>
      </c>
      <c r="I382" t="s">
        <v>426</v>
      </c>
      <c r="J382" t="s">
        <v>248</v>
      </c>
      <c r="K382" t="s">
        <v>499</v>
      </c>
      <c r="L382" s="38">
        <v>46191</v>
      </c>
      <c r="M382">
        <v>1</v>
      </c>
      <c r="N382" t="s">
        <v>428</v>
      </c>
      <c r="O382">
        <v>0</v>
      </c>
      <c r="P382">
        <v>-1.56</v>
      </c>
      <c r="Q382">
        <v>0</v>
      </c>
      <c r="R382">
        <v>0</v>
      </c>
      <c r="S382">
        <v>-1.56</v>
      </c>
      <c r="V382" t="s">
        <v>472</v>
      </c>
      <c r="X382" t="s">
        <v>429</v>
      </c>
      <c r="Z382" s="38">
        <v>46203</v>
      </c>
      <c r="AG382" t="s">
        <v>447</v>
      </c>
    </row>
    <row r="383" spans="1:33" x14ac:dyDescent="0.25">
      <c r="A383" t="s">
        <v>717</v>
      </c>
      <c r="B383" t="s">
        <v>298</v>
      </c>
      <c r="C383" t="s">
        <v>167</v>
      </c>
      <c r="D383" t="s">
        <v>168</v>
      </c>
      <c r="E383" t="s">
        <v>170</v>
      </c>
      <c r="F383" t="s">
        <v>425</v>
      </c>
      <c r="G383" t="s">
        <v>195</v>
      </c>
      <c r="H383" t="s">
        <v>514</v>
      </c>
      <c r="I383" t="s">
        <v>426</v>
      </c>
      <c r="J383" t="s">
        <v>292</v>
      </c>
      <c r="K383" t="s">
        <v>499</v>
      </c>
      <c r="L383" s="38">
        <v>46191</v>
      </c>
      <c r="M383">
        <v>1</v>
      </c>
      <c r="N383" t="s">
        <v>428</v>
      </c>
      <c r="O383">
        <v>0</v>
      </c>
      <c r="P383">
        <v>-3</v>
      </c>
      <c r="Q383">
        <v>0</v>
      </c>
      <c r="R383">
        <v>0</v>
      </c>
      <c r="S383">
        <v>-3</v>
      </c>
      <c r="V383" t="s">
        <v>472</v>
      </c>
      <c r="W383" t="s">
        <v>207</v>
      </c>
      <c r="X383" t="s">
        <v>429</v>
      </c>
      <c r="Z383" s="38">
        <v>46203</v>
      </c>
      <c r="AG383" t="s">
        <v>447</v>
      </c>
    </row>
    <row r="384" spans="1:33" x14ac:dyDescent="0.25">
      <c r="A384" t="s">
        <v>717</v>
      </c>
      <c r="B384" t="s">
        <v>797</v>
      </c>
      <c r="C384" t="s">
        <v>167</v>
      </c>
      <c r="D384" t="s">
        <v>168</v>
      </c>
      <c r="E384" t="s">
        <v>478</v>
      </c>
      <c r="F384" t="s">
        <v>425</v>
      </c>
      <c r="G384" t="s">
        <v>195</v>
      </c>
      <c r="H384" t="s">
        <v>514</v>
      </c>
      <c r="I384" t="s">
        <v>426</v>
      </c>
      <c r="J384" t="s">
        <v>305</v>
      </c>
      <c r="K384" t="s">
        <v>796</v>
      </c>
      <c r="L384" s="38">
        <v>46191</v>
      </c>
      <c r="M384">
        <v>1</v>
      </c>
      <c r="N384" t="s">
        <v>428</v>
      </c>
      <c r="O384">
        <v>0</v>
      </c>
      <c r="P384">
        <v>-3</v>
      </c>
      <c r="Q384">
        <v>0</v>
      </c>
      <c r="R384">
        <v>0</v>
      </c>
      <c r="S384">
        <v>-3</v>
      </c>
      <c r="V384" t="s">
        <v>472</v>
      </c>
      <c r="W384" t="s">
        <v>207</v>
      </c>
      <c r="X384" t="s">
        <v>429</v>
      </c>
      <c r="Z384" s="38">
        <v>46203</v>
      </c>
      <c r="AF384" t="s">
        <v>447</v>
      </c>
      <c r="AG384" t="s">
        <v>447</v>
      </c>
    </row>
    <row r="385" spans="1:32" x14ac:dyDescent="0.25">
      <c r="A385" t="s">
        <v>717</v>
      </c>
      <c r="B385" t="s">
        <v>808</v>
      </c>
      <c r="C385" t="s">
        <v>167</v>
      </c>
      <c r="D385" t="s">
        <v>168</v>
      </c>
      <c r="E385" t="s">
        <v>424</v>
      </c>
      <c r="F385" t="s">
        <v>425</v>
      </c>
      <c r="G385" t="s">
        <v>614</v>
      </c>
      <c r="H385" t="s">
        <v>615</v>
      </c>
      <c r="I385" t="s">
        <v>426</v>
      </c>
      <c r="J385" t="s">
        <v>719</v>
      </c>
      <c r="L385" s="38">
        <v>46191</v>
      </c>
      <c r="M385">
        <v>1</v>
      </c>
      <c r="N385" t="s">
        <v>428</v>
      </c>
      <c r="O385">
        <v>0.69</v>
      </c>
      <c r="P385">
        <v>0</v>
      </c>
      <c r="Q385">
        <v>0</v>
      </c>
      <c r="R385">
        <v>0</v>
      </c>
      <c r="S385">
        <v>0.69</v>
      </c>
      <c r="W385" t="s">
        <v>207</v>
      </c>
      <c r="X385" t="s">
        <v>429</v>
      </c>
      <c r="Z385" s="38">
        <v>46081</v>
      </c>
      <c r="AF385" t="s">
        <v>447</v>
      </c>
    </row>
    <row r="386" spans="1:32" x14ac:dyDescent="0.25">
      <c r="A386" t="s">
        <v>717</v>
      </c>
      <c r="B386" t="s">
        <v>809</v>
      </c>
      <c r="C386" t="s">
        <v>167</v>
      </c>
      <c r="D386" t="s">
        <v>168</v>
      </c>
      <c r="E386" t="s">
        <v>424</v>
      </c>
      <c r="F386" t="s">
        <v>425</v>
      </c>
      <c r="G386" t="s">
        <v>614</v>
      </c>
      <c r="H386" t="s">
        <v>615</v>
      </c>
      <c r="I386" t="s">
        <v>426</v>
      </c>
      <c r="J386" t="s">
        <v>455</v>
      </c>
      <c r="L386" s="38">
        <v>46191</v>
      </c>
      <c r="M386">
        <v>1</v>
      </c>
      <c r="N386" t="s">
        <v>428</v>
      </c>
      <c r="O386">
        <v>7.0000000000000007E-2</v>
      </c>
      <c r="P386">
        <v>0</v>
      </c>
      <c r="Q386">
        <v>0</v>
      </c>
      <c r="R386">
        <v>0</v>
      </c>
      <c r="S386">
        <v>7.0000000000000007E-2</v>
      </c>
      <c r="W386" t="s">
        <v>207</v>
      </c>
      <c r="X386" t="s">
        <v>429</v>
      </c>
      <c r="Z386" s="38">
        <v>45504</v>
      </c>
      <c r="AF386" t="s">
        <v>437</v>
      </c>
    </row>
    <row r="387" spans="1:32" x14ac:dyDescent="0.25">
      <c r="A387" t="s">
        <v>717</v>
      </c>
      <c r="B387" t="s">
        <v>810</v>
      </c>
      <c r="C387" t="s">
        <v>167</v>
      </c>
      <c r="D387" t="s">
        <v>168</v>
      </c>
      <c r="E387" t="s">
        <v>424</v>
      </c>
      <c r="F387" t="s">
        <v>425</v>
      </c>
      <c r="G387" t="s">
        <v>642</v>
      </c>
      <c r="H387" t="s">
        <v>643</v>
      </c>
      <c r="I387" t="s">
        <v>644</v>
      </c>
      <c r="J387" t="s">
        <v>455</v>
      </c>
      <c r="L387" s="38">
        <v>46191</v>
      </c>
      <c r="M387">
        <v>1</v>
      </c>
      <c r="N387" t="s">
        <v>428</v>
      </c>
      <c r="O387">
        <v>0.04</v>
      </c>
      <c r="P387">
        <v>0</v>
      </c>
      <c r="Q387">
        <v>0</v>
      </c>
      <c r="R387">
        <v>0</v>
      </c>
      <c r="S387">
        <v>0.04</v>
      </c>
      <c r="X387" t="s">
        <v>429</v>
      </c>
      <c r="Z387" s="38">
        <v>45344</v>
      </c>
      <c r="AF387" t="s">
        <v>437</v>
      </c>
    </row>
    <row r="388" spans="1:32" x14ac:dyDescent="0.25">
      <c r="A388" t="s">
        <v>717</v>
      </c>
      <c r="B388" t="s">
        <v>811</v>
      </c>
      <c r="C388" t="s">
        <v>167</v>
      </c>
      <c r="D388" t="s">
        <v>168</v>
      </c>
      <c r="E388" t="s">
        <v>424</v>
      </c>
      <c r="F388" t="s">
        <v>425</v>
      </c>
      <c r="G388" t="s">
        <v>642</v>
      </c>
      <c r="H388" t="s">
        <v>643</v>
      </c>
      <c r="I388" t="s">
        <v>644</v>
      </c>
      <c r="J388" t="s">
        <v>455</v>
      </c>
      <c r="L388" s="38">
        <v>46191</v>
      </c>
      <c r="M388">
        <v>1</v>
      </c>
      <c r="N388" t="s">
        <v>428</v>
      </c>
      <c r="O388">
        <v>0.21</v>
      </c>
      <c r="P388">
        <v>0</v>
      </c>
      <c r="Q388">
        <v>0</v>
      </c>
      <c r="R388">
        <v>0</v>
      </c>
      <c r="S388">
        <v>0.21</v>
      </c>
      <c r="W388" t="s">
        <v>178</v>
      </c>
      <c r="X388" t="s">
        <v>429</v>
      </c>
      <c r="Z388" s="38">
        <v>45180</v>
      </c>
      <c r="AF388" t="s">
        <v>433</v>
      </c>
    </row>
    <row r="389" spans="1:32" x14ac:dyDescent="0.25">
      <c r="A389" t="s">
        <v>717</v>
      </c>
      <c r="B389" t="s">
        <v>812</v>
      </c>
      <c r="C389" t="s">
        <v>167</v>
      </c>
      <c r="D389" t="s">
        <v>168</v>
      </c>
      <c r="E389" t="s">
        <v>424</v>
      </c>
      <c r="F389" t="s">
        <v>425</v>
      </c>
      <c r="G389" t="s">
        <v>642</v>
      </c>
      <c r="H389" t="s">
        <v>643</v>
      </c>
      <c r="I389" t="s">
        <v>644</v>
      </c>
      <c r="J389" t="s">
        <v>455</v>
      </c>
      <c r="L389" s="38">
        <v>46191</v>
      </c>
      <c r="M389">
        <v>1</v>
      </c>
      <c r="N389" t="s">
        <v>428</v>
      </c>
      <c r="O389">
        <v>0.02</v>
      </c>
      <c r="P389">
        <v>0</v>
      </c>
      <c r="Q389">
        <v>0</v>
      </c>
      <c r="R389">
        <v>0</v>
      </c>
      <c r="S389">
        <v>0.02</v>
      </c>
      <c r="W389" t="s">
        <v>207</v>
      </c>
      <c r="X389" t="s">
        <v>429</v>
      </c>
      <c r="Z389" s="38">
        <v>46087</v>
      </c>
      <c r="AF389" t="s">
        <v>447</v>
      </c>
    </row>
    <row r="390" spans="1:32" x14ac:dyDescent="0.25">
      <c r="A390" t="s">
        <v>717</v>
      </c>
      <c r="B390" t="s">
        <v>813</v>
      </c>
      <c r="C390" t="s">
        <v>167</v>
      </c>
      <c r="D390" t="s">
        <v>168</v>
      </c>
      <c r="E390" t="s">
        <v>424</v>
      </c>
      <c r="F390" t="s">
        <v>425</v>
      </c>
      <c r="G390" t="s">
        <v>642</v>
      </c>
      <c r="H390" t="s">
        <v>643</v>
      </c>
      <c r="I390" t="s">
        <v>644</v>
      </c>
      <c r="J390" t="s">
        <v>455</v>
      </c>
      <c r="L390" s="38">
        <v>46191</v>
      </c>
      <c r="M390">
        <v>1</v>
      </c>
      <c r="N390" t="s">
        <v>428</v>
      </c>
      <c r="O390">
        <v>0.04</v>
      </c>
      <c r="P390">
        <v>0</v>
      </c>
      <c r="Q390">
        <v>0</v>
      </c>
      <c r="R390">
        <v>0</v>
      </c>
      <c r="S390">
        <v>0.04</v>
      </c>
      <c r="W390" t="s">
        <v>207</v>
      </c>
      <c r="X390" t="s">
        <v>429</v>
      </c>
      <c r="Z390" s="38">
        <v>46087</v>
      </c>
      <c r="AF390" t="s">
        <v>447</v>
      </c>
    </row>
    <row r="391" spans="1:32" x14ac:dyDescent="0.25">
      <c r="A391" t="s">
        <v>717</v>
      </c>
      <c r="B391" t="s">
        <v>814</v>
      </c>
      <c r="C391" t="s">
        <v>167</v>
      </c>
      <c r="D391" t="s">
        <v>168</v>
      </c>
      <c r="E391" t="s">
        <v>424</v>
      </c>
      <c r="F391" t="s">
        <v>425</v>
      </c>
      <c r="G391" t="s">
        <v>642</v>
      </c>
      <c r="H391" t="s">
        <v>643</v>
      </c>
      <c r="I391" t="s">
        <v>644</v>
      </c>
      <c r="J391" t="s">
        <v>455</v>
      </c>
      <c r="L391" s="38">
        <v>46191</v>
      </c>
      <c r="M391">
        <v>1</v>
      </c>
      <c r="N391" t="s">
        <v>428</v>
      </c>
      <c r="O391">
        <v>7.0000000000000007E-2</v>
      </c>
      <c r="P391">
        <v>0</v>
      </c>
      <c r="Q391">
        <v>0</v>
      </c>
      <c r="R391">
        <v>0</v>
      </c>
      <c r="S391">
        <v>7.0000000000000007E-2</v>
      </c>
      <c r="W391" t="s">
        <v>207</v>
      </c>
      <c r="X391" t="s">
        <v>429</v>
      </c>
      <c r="Z391" s="38">
        <v>46087</v>
      </c>
      <c r="AF391" t="s">
        <v>447</v>
      </c>
    </row>
    <row r="392" spans="1:32" x14ac:dyDescent="0.25">
      <c r="A392" t="s">
        <v>717</v>
      </c>
      <c r="B392" t="s">
        <v>815</v>
      </c>
      <c r="C392" t="s">
        <v>167</v>
      </c>
      <c r="D392" t="s">
        <v>168</v>
      </c>
      <c r="E392" t="s">
        <v>424</v>
      </c>
      <c r="F392" t="s">
        <v>425</v>
      </c>
      <c r="G392" t="s">
        <v>642</v>
      </c>
      <c r="H392" t="s">
        <v>643</v>
      </c>
      <c r="I392" t="s">
        <v>644</v>
      </c>
      <c r="J392" t="s">
        <v>455</v>
      </c>
      <c r="L392" s="38">
        <v>46191</v>
      </c>
      <c r="M392">
        <v>1</v>
      </c>
      <c r="N392" t="s">
        <v>428</v>
      </c>
      <c r="O392">
        <v>0.02</v>
      </c>
      <c r="P392">
        <v>0</v>
      </c>
      <c r="Q392">
        <v>0</v>
      </c>
      <c r="R392">
        <v>0</v>
      </c>
      <c r="S392">
        <v>0.02</v>
      </c>
      <c r="W392" t="s">
        <v>207</v>
      </c>
      <c r="X392" t="s">
        <v>429</v>
      </c>
      <c r="Z392" s="38">
        <v>46087</v>
      </c>
      <c r="AF392" t="s">
        <v>447</v>
      </c>
    </row>
    <row r="393" spans="1:32" x14ac:dyDescent="0.25">
      <c r="A393" t="s">
        <v>717</v>
      </c>
      <c r="B393" t="s">
        <v>816</v>
      </c>
      <c r="C393" t="s">
        <v>167</v>
      </c>
      <c r="D393" t="s">
        <v>168</v>
      </c>
      <c r="E393" t="s">
        <v>424</v>
      </c>
      <c r="F393" t="s">
        <v>425</v>
      </c>
      <c r="G393" t="s">
        <v>642</v>
      </c>
      <c r="H393" t="s">
        <v>643</v>
      </c>
      <c r="I393" t="s">
        <v>644</v>
      </c>
      <c r="J393" t="s">
        <v>455</v>
      </c>
      <c r="L393" s="38">
        <v>46191</v>
      </c>
      <c r="M393">
        <v>1</v>
      </c>
      <c r="N393" t="s">
        <v>428</v>
      </c>
      <c r="O393">
        <v>0.03</v>
      </c>
      <c r="P393">
        <v>0</v>
      </c>
      <c r="Q393">
        <v>0</v>
      </c>
      <c r="R393">
        <v>0</v>
      </c>
      <c r="S393">
        <v>0.03</v>
      </c>
      <c r="W393" t="s">
        <v>207</v>
      </c>
      <c r="X393" t="s">
        <v>429</v>
      </c>
      <c r="Z393" s="38">
        <v>46087</v>
      </c>
      <c r="AF393" t="s">
        <v>447</v>
      </c>
    </row>
    <row r="394" spans="1:32" x14ac:dyDescent="0.25">
      <c r="A394" t="s">
        <v>717</v>
      </c>
      <c r="B394" t="s">
        <v>817</v>
      </c>
      <c r="C394" t="s">
        <v>167</v>
      </c>
      <c r="D394" t="s">
        <v>168</v>
      </c>
      <c r="E394" t="s">
        <v>424</v>
      </c>
      <c r="F394" t="s">
        <v>425</v>
      </c>
      <c r="G394" t="s">
        <v>642</v>
      </c>
      <c r="H394" t="s">
        <v>643</v>
      </c>
      <c r="I394" t="s">
        <v>644</v>
      </c>
      <c r="J394" t="s">
        <v>455</v>
      </c>
      <c r="L394" s="38">
        <v>46191</v>
      </c>
      <c r="M394">
        <v>1</v>
      </c>
      <c r="N394" t="s">
        <v>428</v>
      </c>
      <c r="O394">
        <v>0.77</v>
      </c>
      <c r="P394">
        <v>0</v>
      </c>
      <c r="Q394">
        <v>0</v>
      </c>
      <c r="R394">
        <v>0</v>
      </c>
      <c r="S394">
        <v>0.77</v>
      </c>
      <c r="T394" t="s">
        <v>234</v>
      </c>
      <c r="U394" t="s">
        <v>517</v>
      </c>
      <c r="X394" t="s">
        <v>429</v>
      </c>
      <c r="Z394" s="38">
        <v>45096</v>
      </c>
      <c r="AF394" t="s">
        <v>458</v>
      </c>
    </row>
    <row r="395" spans="1:32" x14ac:dyDescent="0.25">
      <c r="A395" t="s">
        <v>717</v>
      </c>
      <c r="B395" t="s">
        <v>818</v>
      </c>
      <c r="C395" t="s">
        <v>167</v>
      </c>
      <c r="D395" t="s">
        <v>168</v>
      </c>
      <c r="E395" t="s">
        <v>424</v>
      </c>
      <c r="F395" t="s">
        <v>425</v>
      </c>
      <c r="G395" t="s">
        <v>642</v>
      </c>
      <c r="H395" t="s">
        <v>643</v>
      </c>
      <c r="I395" t="s">
        <v>644</v>
      </c>
      <c r="J395" t="s">
        <v>455</v>
      </c>
      <c r="L395" s="38">
        <v>46191</v>
      </c>
      <c r="M395">
        <v>1</v>
      </c>
      <c r="N395" t="s">
        <v>428</v>
      </c>
      <c r="O395">
        <v>7.87</v>
      </c>
      <c r="P395">
        <v>0</v>
      </c>
      <c r="Q395">
        <v>0</v>
      </c>
      <c r="R395">
        <v>0</v>
      </c>
      <c r="S395">
        <v>7.87</v>
      </c>
      <c r="U395" t="s">
        <v>517</v>
      </c>
      <c r="X395" t="s">
        <v>429</v>
      </c>
      <c r="Z395" s="38">
        <v>45104</v>
      </c>
      <c r="AF395" t="s">
        <v>458</v>
      </c>
    </row>
    <row r="396" spans="1:32" x14ac:dyDescent="0.25">
      <c r="A396" t="s">
        <v>717</v>
      </c>
      <c r="B396" t="s">
        <v>819</v>
      </c>
      <c r="C396" t="s">
        <v>167</v>
      </c>
      <c r="D396" t="s">
        <v>168</v>
      </c>
      <c r="E396" t="s">
        <v>424</v>
      </c>
      <c r="F396" t="s">
        <v>425</v>
      </c>
      <c r="G396" t="s">
        <v>642</v>
      </c>
      <c r="H396" t="s">
        <v>643</v>
      </c>
      <c r="I396" t="s">
        <v>644</v>
      </c>
      <c r="J396" t="s">
        <v>455</v>
      </c>
      <c r="L396" s="38">
        <v>46191</v>
      </c>
      <c r="M396">
        <v>1</v>
      </c>
      <c r="N396" t="s">
        <v>428</v>
      </c>
      <c r="O396">
        <v>0.53</v>
      </c>
      <c r="P396">
        <v>0</v>
      </c>
      <c r="Q396">
        <v>0</v>
      </c>
      <c r="R396">
        <v>0</v>
      </c>
      <c r="S396">
        <v>0.53</v>
      </c>
      <c r="T396" t="s">
        <v>234</v>
      </c>
      <c r="X396" t="s">
        <v>429</v>
      </c>
      <c r="Z396" s="38">
        <v>45147</v>
      </c>
      <c r="AF396" t="s">
        <v>458</v>
      </c>
    </row>
    <row r="397" spans="1:32" x14ac:dyDescent="0.25">
      <c r="A397" t="s">
        <v>717</v>
      </c>
      <c r="B397" t="s">
        <v>820</v>
      </c>
      <c r="C397" t="s">
        <v>167</v>
      </c>
      <c r="D397" t="s">
        <v>168</v>
      </c>
      <c r="E397" t="s">
        <v>424</v>
      </c>
      <c r="F397" t="s">
        <v>425</v>
      </c>
      <c r="G397" t="s">
        <v>642</v>
      </c>
      <c r="H397" t="s">
        <v>643</v>
      </c>
      <c r="I397" t="s">
        <v>644</v>
      </c>
      <c r="J397" t="s">
        <v>455</v>
      </c>
      <c r="L397" s="38">
        <v>46191</v>
      </c>
      <c r="M397">
        <v>1</v>
      </c>
      <c r="N397" t="s">
        <v>428</v>
      </c>
      <c r="O397">
        <v>0.06</v>
      </c>
      <c r="P397">
        <v>0</v>
      </c>
      <c r="Q397">
        <v>0</v>
      </c>
      <c r="R397">
        <v>0</v>
      </c>
      <c r="S397">
        <v>0.06</v>
      </c>
      <c r="X397" t="s">
        <v>429</v>
      </c>
      <c r="Z397" s="38">
        <v>45153</v>
      </c>
      <c r="AF397" t="s">
        <v>531</v>
      </c>
    </row>
    <row r="398" spans="1:32" x14ac:dyDescent="0.25">
      <c r="A398" t="s">
        <v>717</v>
      </c>
      <c r="B398" t="s">
        <v>821</v>
      </c>
      <c r="C398" t="s">
        <v>167</v>
      </c>
      <c r="D398" t="s">
        <v>168</v>
      </c>
      <c r="E398" t="s">
        <v>424</v>
      </c>
      <c r="F398" t="s">
        <v>425</v>
      </c>
      <c r="G398" t="s">
        <v>642</v>
      </c>
      <c r="H398" t="s">
        <v>643</v>
      </c>
      <c r="I398" t="s">
        <v>644</v>
      </c>
      <c r="J398" t="s">
        <v>455</v>
      </c>
      <c r="L398" s="38">
        <v>46191</v>
      </c>
      <c r="M398">
        <v>1</v>
      </c>
      <c r="N398" t="s">
        <v>428</v>
      </c>
      <c r="O398">
        <v>0.11</v>
      </c>
      <c r="P398">
        <v>0</v>
      </c>
      <c r="Q398">
        <v>0</v>
      </c>
      <c r="R398">
        <v>0</v>
      </c>
      <c r="S398">
        <v>0.11</v>
      </c>
      <c r="T398" t="s">
        <v>234</v>
      </c>
      <c r="U398" t="s">
        <v>432</v>
      </c>
      <c r="X398" t="s">
        <v>429</v>
      </c>
      <c r="Z398" s="38">
        <v>45155</v>
      </c>
      <c r="AF398" t="s">
        <v>458</v>
      </c>
    </row>
    <row r="399" spans="1:32" x14ac:dyDescent="0.25">
      <c r="A399" t="s">
        <v>717</v>
      </c>
      <c r="B399" t="s">
        <v>822</v>
      </c>
      <c r="C399" t="s">
        <v>167</v>
      </c>
      <c r="D399" t="s">
        <v>168</v>
      </c>
      <c r="E399" t="s">
        <v>424</v>
      </c>
      <c r="F399" t="s">
        <v>425</v>
      </c>
      <c r="G399" t="s">
        <v>642</v>
      </c>
      <c r="H399" t="s">
        <v>643</v>
      </c>
      <c r="I399" t="s">
        <v>644</v>
      </c>
      <c r="J399" t="s">
        <v>455</v>
      </c>
      <c r="L399" s="38">
        <v>46191</v>
      </c>
      <c r="M399">
        <v>1</v>
      </c>
      <c r="N399" t="s">
        <v>428</v>
      </c>
      <c r="O399">
        <v>0.31</v>
      </c>
      <c r="P399">
        <v>0</v>
      </c>
      <c r="Q399">
        <v>0</v>
      </c>
      <c r="R399">
        <v>0</v>
      </c>
      <c r="S399">
        <v>0.31</v>
      </c>
      <c r="W399" t="s">
        <v>823</v>
      </c>
      <c r="X399" t="s">
        <v>429</v>
      </c>
      <c r="Z399" s="38">
        <v>45159</v>
      </c>
      <c r="AF399" t="s">
        <v>664</v>
      </c>
    </row>
    <row r="400" spans="1:32" x14ac:dyDescent="0.25">
      <c r="A400" t="s">
        <v>717</v>
      </c>
      <c r="B400" t="s">
        <v>824</v>
      </c>
      <c r="C400" t="s">
        <v>167</v>
      </c>
      <c r="D400" t="s">
        <v>168</v>
      </c>
      <c r="E400" t="s">
        <v>424</v>
      </c>
      <c r="F400" t="s">
        <v>425</v>
      </c>
      <c r="G400" t="s">
        <v>642</v>
      </c>
      <c r="H400" t="s">
        <v>643</v>
      </c>
      <c r="I400" t="s">
        <v>644</v>
      </c>
      <c r="J400" t="s">
        <v>455</v>
      </c>
      <c r="L400" s="38">
        <v>46191</v>
      </c>
      <c r="M400">
        <v>1</v>
      </c>
      <c r="N400" t="s">
        <v>428</v>
      </c>
      <c r="O400">
        <v>0.24</v>
      </c>
      <c r="P400">
        <v>0</v>
      </c>
      <c r="Q400">
        <v>0</v>
      </c>
      <c r="R400">
        <v>0</v>
      </c>
      <c r="S400">
        <v>0.24</v>
      </c>
      <c r="X400" t="s">
        <v>429</v>
      </c>
      <c r="Z400" s="38">
        <v>45169</v>
      </c>
      <c r="AF400" t="s">
        <v>458</v>
      </c>
    </row>
    <row r="401" spans="1:32" x14ac:dyDescent="0.25">
      <c r="A401" t="s">
        <v>717</v>
      </c>
      <c r="B401" t="s">
        <v>825</v>
      </c>
      <c r="C401" t="s">
        <v>167</v>
      </c>
      <c r="D401" t="s">
        <v>168</v>
      </c>
      <c r="E401" t="s">
        <v>424</v>
      </c>
      <c r="F401" t="s">
        <v>425</v>
      </c>
      <c r="G401" t="s">
        <v>642</v>
      </c>
      <c r="H401" t="s">
        <v>643</v>
      </c>
      <c r="I401" t="s">
        <v>644</v>
      </c>
      <c r="J401" t="s">
        <v>455</v>
      </c>
      <c r="L401" s="38">
        <v>46191</v>
      </c>
      <c r="M401">
        <v>1</v>
      </c>
      <c r="N401" t="s">
        <v>428</v>
      </c>
      <c r="O401">
        <v>0.28000000000000003</v>
      </c>
      <c r="P401">
        <v>0</v>
      </c>
      <c r="Q401">
        <v>0</v>
      </c>
      <c r="R401">
        <v>0</v>
      </c>
      <c r="S401">
        <v>0.28000000000000003</v>
      </c>
      <c r="X401" t="s">
        <v>429</v>
      </c>
      <c r="Z401" s="38">
        <v>45169</v>
      </c>
      <c r="AF401" t="s">
        <v>458</v>
      </c>
    </row>
    <row r="402" spans="1:32" x14ac:dyDescent="0.25">
      <c r="A402" t="s">
        <v>717</v>
      </c>
      <c r="B402" t="s">
        <v>826</v>
      </c>
      <c r="C402" t="s">
        <v>167</v>
      </c>
      <c r="D402" t="s">
        <v>168</v>
      </c>
      <c r="E402" t="s">
        <v>424</v>
      </c>
      <c r="F402" t="s">
        <v>425</v>
      </c>
      <c r="G402" t="s">
        <v>642</v>
      </c>
      <c r="H402" t="s">
        <v>643</v>
      </c>
      <c r="I402" t="s">
        <v>644</v>
      </c>
      <c r="J402" t="s">
        <v>455</v>
      </c>
      <c r="L402" s="38">
        <v>46191</v>
      </c>
      <c r="M402">
        <v>1</v>
      </c>
      <c r="N402" t="s">
        <v>428</v>
      </c>
      <c r="O402">
        <v>1.34</v>
      </c>
      <c r="P402">
        <v>0</v>
      </c>
      <c r="Q402">
        <v>0</v>
      </c>
      <c r="R402">
        <v>0</v>
      </c>
      <c r="S402">
        <v>1.34</v>
      </c>
      <c r="X402" t="s">
        <v>429</v>
      </c>
      <c r="Z402" s="38">
        <v>45199</v>
      </c>
      <c r="AF402" t="s">
        <v>458</v>
      </c>
    </row>
    <row r="403" spans="1:32" x14ac:dyDescent="0.25">
      <c r="A403" t="s">
        <v>717</v>
      </c>
      <c r="B403" t="s">
        <v>827</v>
      </c>
      <c r="C403" t="s">
        <v>167</v>
      </c>
      <c r="D403" t="s">
        <v>168</v>
      </c>
      <c r="E403" t="s">
        <v>424</v>
      </c>
      <c r="F403" t="s">
        <v>425</v>
      </c>
      <c r="G403" t="s">
        <v>642</v>
      </c>
      <c r="H403" t="s">
        <v>643</v>
      </c>
      <c r="I403" t="s">
        <v>644</v>
      </c>
      <c r="J403" t="s">
        <v>455</v>
      </c>
      <c r="L403" s="38">
        <v>46191</v>
      </c>
      <c r="M403">
        <v>1</v>
      </c>
      <c r="N403" t="s">
        <v>428</v>
      </c>
      <c r="O403">
        <v>0.57999999999999996</v>
      </c>
      <c r="P403">
        <v>0</v>
      </c>
      <c r="Q403">
        <v>0</v>
      </c>
      <c r="R403">
        <v>0</v>
      </c>
      <c r="S403">
        <v>0.57999999999999996</v>
      </c>
      <c r="X403" t="s">
        <v>429</v>
      </c>
      <c r="Z403" s="38">
        <v>45230</v>
      </c>
      <c r="AF403" t="s">
        <v>458</v>
      </c>
    </row>
    <row r="404" spans="1:32" x14ac:dyDescent="0.25">
      <c r="A404" t="s">
        <v>717</v>
      </c>
      <c r="B404" t="s">
        <v>828</v>
      </c>
      <c r="C404" t="s">
        <v>167</v>
      </c>
      <c r="D404" t="s">
        <v>168</v>
      </c>
      <c r="E404" t="s">
        <v>424</v>
      </c>
      <c r="F404" t="s">
        <v>425</v>
      </c>
      <c r="G404" t="s">
        <v>642</v>
      </c>
      <c r="H404" t="s">
        <v>643</v>
      </c>
      <c r="I404" t="s">
        <v>644</v>
      </c>
      <c r="J404" t="s">
        <v>455</v>
      </c>
      <c r="L404" s="38">
        <v>46191</v>
      </c>
      <c r="M404">
        <v>1</v>
      </c>
      <c r="N404" t="s">
        <v>428</v>
      </c>
      <c r="O404">
        <v>0.69</v>
      </c>
      <c r="P404">
        <v>0</v>
      </c>
      <c r="Q404">
        <v>0</v>
      </c>
      <c r="R404">
        <v>0</v>
      </c>
      <c r="S404">
        <v>0.69</v>
      </c>
      <c r="T404" t="s">
        <v>228</v>
      </c>
      <c r="X404" t="s">
        <v>429</v>
      </c>
      <c r="Z404" s="38">
        <v>45260</v>
      </c>
      <c r="AF404" t="s">
        <v>458</v>
      </c>
    </row>
    <row r="405" spans="1:32" x14ac:dyDescent="0.25">
      <c r="A405" t="s">
        <v>717</v>
      </c>
      <c r="B405" t="s">
        <v>829</v>
      </c>
      <c r="C405" t="s">
        <v>167</v>
      </c>
      <c r="D405" t="s">
        <v>168</v>
      </c>
      <c r="E405" t="s">
        <v>424</v>
      </c>
      <c r="F405" t="s">
        <v>425</v>
      </c>
      <c r="G405" t="s">
        <v>642</v>
      </c>
      <c r="H405" t="s">
        <v>643</v>
      </c>
      <c r="I405" t="s">
        <v>644</v>
      </c>
      <c r="J405" t="s">
        <v>455</v>
      </c>
      <c r="L405" s="38">
        <v>46191</v>
      </c>
      <c r="M405">
        <v>1</v>
      </c>
      <c r="N405" t="s">
        <v>428</v>
      </c>
      <c r="O405">
        <v>0.28000000000000003</v>
      </c>
      <c r="P405">
        <v>0</v>
      </c>
      <c r="Q405">
        <v>0</v>
      </c>
      <c r="R405">
        <v>0</v>
      </c>
      <c r="S405">
        <v>0.28000000000000003</v>
      </c>
      <c r="X405" t="s">
        <v>429</v>
      </c>
      <c r="Z405" s="38">
        <v>45260</v>
      </c>
      <c r="AF405" t="s">
        <v>458</v>
      </c>
    </row>
    <row r="406" spans="1:32" x14ac:dyDescent="0.25">
      <c r="A406" t="s">
        <v>717</v>
      </c>
      <c r="B406" t="s">
        <v>830</v>
      </c>
      <c r="C406" t="s">
        <v>167</v>
      </c>
      <c r="D406" t="s">
        <v>168</v>
      </c>
      <c r="E406" t="s">
        <v>424</v>
      </c>
      <c r="F406" t="s">
        <v>425</v>
      </c>
      <c r="G406" t="s">
        <v>642</v>
      </c>
      <c r="H406" t="s">
        <v>643</v>
      </c>
      <c r="I406" t="s">
        <v>644</v>
      </c>
      <c r="J406" t="s">
        <v>455</v>
      </c>
      <c r="L406" s="38">
        <v>46191</v>
      </c>
      <c r="M406">
        <v>1</v>
      </c>
      <c r="N406" t="s">
        <v>428</v>
      </c>
      <c r="O406">
        <v>1.23</v>
      </c>
      <c r="P406">
        <v>0</v>
      </c>
      <c r="Q406">
        <v>0</v>
      </c>
      <c r="R406">
        <v>0</v>
      </c>
      <c r="S406">
        <v>1.23</v>
      </c>
      <c r="W406" t="s">
        <v>178</v>
      </c>
      <c r="X406" t="s">
        <v>429</v>
      </c>
      <c r="Z406" s="38">
        <v>45291</v>
      </c>
      <c r="AF406" t="s">
        <v>458</v>
      </c>
    </row>
    <row r="407" spans="1:32" x14ac:dyDescent="0.25">
      <c r="A407" t="s">
        <v>717</v>
      </c>
      <c r="B407" t="s">
        <v>831</v>
      </c>
      <c r="C407" t="s">
        <v>167</v>
      </c>
      <c r="D407" t="s">
        <v>168</v>
      </c>
      <c r="E407" t="s">
        <v>424</v>
      </c>
      <c r="F407" t="s">
        <v>425</v>
      </c>
      <c r="G407" t="s">
        <v>642</v>
      </c>
      <c r="H407" t="s">
        <v>643</v>
      </c>
      <c r="I407" t="s">
        <v>644</v>
      </c>
      <c r="J407" t="s">
        <v>455</v>
      </c>
      <c r="L407" s="38">
        <v>46191</v>
      </c>
      <c r="M407">
        <v>1</v>
      </c>
      <c r="N407" t="s">
        <v>428</v>
      </c>
      <c r="O407">
        <v>0.13</v>
      </c>
      <c r="P407">
        <v>0</v>
      </c>
      <c r="Q407">
        <v>0</v>
      </c>
      <c r="R407">
        <v>0</v>
      </c>
      <c r="S407">
        <v>0.13</v>
      </c>
      <c r="X407" t="s">
        <v>429</v>
      </c>
      <c r="Z407" s="38">
        <v>45291</v>
      </c>
      <c r="AF407" t="s">
        <v>458</v>
      </c>
    </row>
    <row r="408" spans="1:32" x14ac:dyDescent="0.25">
      <c r="A408" t="s">
        <v>717</v>
      </c>
      <c r="B408" t="s">
        <v>832</v>
      </c>
      <c r="C408" t="s">
        <v>167</v>
      </c>
      <c r="D408" t="s">
        <v>168</v>
      </c>
      <c r="E408" t="s">
        <v>424</v>
      </c>
      <c r="F408" t="s">
        <v>425</v>
      </c>
      <c r="G408" t="s">
        <v>642</v>
      </c>
      <c r="H408" t="s">
        <v>643</v>
      </c>
      <c r="I408" t="s">
        <v>644</v>
      </c>
      <c r="J408" t="s">
        <v>455</v>
      </c>
      <c r="L408" s="38">
        <v>46191</v>
      </c>
      <c r="M408">
        <v>1</v>
      </c>
      <c r="N408" t="s">
        <v>428</v>
      </c>
      <c r="O408">
        <v>0.33</v>
      </c>
      <c r="P408">
        <v>0</v>
      </c>
      <c r="Q408">
        <v>0</v>
      </c>
      <c r="R408">
        <v>0</v>
      </c>
      <c r="S408">
        <v>0.33</v>
      </c>
      <c r="X408" t="s">
        <v>429</v>
      </c>
      <c r="Z408" s="38">
        <v>45382</v>
      </c>
      <c r="AF408" t="s">
        <v>458</v>
      </c>
    </row>
    <row r="409" spans="1:32" x14ac:dyDescent="0.25">
      <c r="A409" t="s">
        <v>717</v>
      </c>
      <c r="B409" t="s">
        <v>833</v>
      </c>
      <c r="C409" t="s">
        <v>167</v>
      </c>
      <c r="D409" t="s">
        <v>168</v>
      </c>
      <c r="E409" t="s">
        <v>424</v>
      </c>
      <c r="F409" t="s">
        <v>425</v>
      </c>
      <c r="G409" t="s">
        <v>642</v>
      </c>
      <c r="H409" t="s">
        <v>643</v>
      </c>
      <c r="I409" t="s">
        <v>644</v>
      </c>
      <c r="J409" t="s">
        <v>455</v>
      </c>
      <c r="L409" s="38">
        <v>46191</v>
      </c>
      <c r="M409">
        <v>1</v>
      </c>
      <c r="N409" t="s">
        <v>428</v>
      </c>
      <c r="O409">
        <v>0.1</v>
      </c>
      <c r="P409">
        <v>0</v>
      </c>
      <c r="Q409">
        <v>0</v>
      </c>
      <c r="R409">
        <v>0</v>
      </c>
      <c r="S409">
        <v>0.1</v>
      </c>
      <c r="X409" t="s">
        <v>429</v>
      </c>
      <c r="Z409" s="38">
        <v>45382</v>
      </c>
      <c r="AF409" t="s">
        <v>437</v>
      </c>
    </row>
    <row r="410" spans="1:32" x14ac:dyDescent="0.25">
      <c r="A410" t="s">
        <v>717</v>
      </c>
      <c r="B410" t="s">
        <v>834</v>
      </c>
      <c r="C410" t="s">
        <v>167</v>
      </c>
      <c r="D410" t="s">
        <v>168</v>
      </c>
      <c r="E410" t="s">
        <v>424</v>
      </c>
      <c r="F410" t="s">
        <v>425</v>
      </c>
      <c r="G410" t="s">
        <v>642</v>
      </c>
      <c r="H410" t="s">
        <v>643</v>
      </c>
      <c r="I410" t="s">
        <v>644</v>
      </c>
      <c r="J410" t="s">
        <v>455</v>
      </c>
      <c r="L410" s="38">
        <v>46191</v>
      </c>
      <c r="M410">
        <v>1</v>
      </c>
      <c r="N410" t="s">
        <v>428</v>
      </c>
      <c r="O410">
        <v>0.14000000000000001</v>
      </c>
      <c r="P410">
        <v>0</v>
      </c>
      <c r="Q410">
        <v>0</v>
      </c>
      <c r="R410">
        <v>0</v>
      </c>
      <c r="S410">
        <v>0.14000000000000001</v>
      </c>
      <c r="X410" t="s">
        <v>429</v>
      </c>
      <c r="Z410" s="38">
        <v>45382</v>
      </c>
      <c r="AF410" t="s">
        <v>437</v>
      </c>
    </row>
    <row r="411" spans="1:32" x14ac:dyDescent="0.25">
      <c r="A411" t="s">
        <v>717</v>
      </c>
      <c r="B411" t="s">
        <v>835</v>
      </c>
      <c r="C411" t="s">
        <v>167</v>
      </c>
      <c r="D411" t="s">
        <v>168</v>
      </c>
      <c r="E411" t="s">
        <v>424</v>
      </c>
      <c r="F411" t="s">
        <v>425</v>
      </c>
      <c r="G411" t="s">
        <v>642</v>
      </c>
      <c r="H411" t="s">
        <v>643</v>
      </c>
      <c r="I411" t="s">
        <v>644</v>
      </c>
      <c r="J411" t="s">
        <v>455</v>
      </c>
      <c r="L411" s="38">
        <v>46191</v>
      </c>
      <c r="M411">
        <v>1</v>
      </c>
      <c r="N411" t="s">
        <v>428</v>
      </c>
      <c r="O411">
        <v>0.05</v>
      </c>
      <c r="P411">
        <v>0</v>
      </c>
      <c r="Q411">
        <v>0</v>
      </c>
      <c r="R411">
        <v>0</v>
      </c>
      <c r="S411">
        <v>0.05</v>
      </c>
      <c r="X411" t="s">
        <v>429</v>
      </c>
      <c r="Z411" s="38">
        <v>45382</v>
      </c>
      <c r="AF411" t="s">
        <v>437</v>
      </c>
    </row>
    <row r="412" spans="1:32" x14ac:dyDescent="0.25">
      <c r="A412" t="s">
        <v>717</v>
      </c>
      <c r="B412" t="s">
        <v>836</v>
      </c>
      <c r="C412" t="s">
        <v>167</v>
      </c>
      <c r="D412" t="s">
        <v>168</v>
      </c>
      <c r="E412" t="s">
        <v>424</v>
      </c>
      <c r="F412" t="s">
        <v>425</v>
      </c>
      <c r="G412" t="s">
        <v>642</v>
      </c>
      <c r="H412" t="s">
        <v>643</v>
      </c>
      <c r="I412" t="s">
        <v>644</v>
      </c>
      <c r="J412" t="s">
        <v>455</v>
      </c>
      <c r="L412" s="38">
        <v>46191</v>
      </c>
      <c r="M412">
        <v>1</v>
      </c>
      <c r="N412" t="s">
        <v>428</v>
      </c>
      <c r="O412">
        <v>0.03</v>
      </c>
      <c r="P412">
        <v>0</v>
      </c>
      <c r="Q412">
        <v>0</v>
      </c>
      <c r="R412">
        <v>0</v>
      </c>
      <c r="S412">
        <v>0.03</v>
      </c>
      <c r="W412" t="s">
        <v>178</v>
      </c>
      <c r="X412" t="s">
        <v>429</v>
      </c>
      <c r="Z412" s="38">
        <v>45473</v>
      </c>
      <c r="AF412" t="s">
        <v>437</v>
      </c>
    </row>
    <row r="413" spans="1:32" x14ac:dyDescent="0.25">
      <c r="A413" t="s">
        <v>717</v>
      </c>
      <c r="B413" t="s">
        <v>837</v>
      </c>
      <c r="C413" t="s">
        <v>167</v>
      </c>
      <c r="D413" t="s">
        <v>168</v>
      </c>
      <c r="E413" t="s">
        <v>424</v>
      </c>
      <c r="F413" t="s">
        <v>425</v>
      </c>
      <c r="G413" t="s">
        <v>642</v>
      </c>
      <c r="H413" t="s">
        <v>643</v>
      </c>
      <c r="I413" t="s">
        <v>644</v>
      </c>
      <c r="J413" t="s">
        <v>455</v>
      </c>
      <c r="L413" s="38">
        <v>46191</v>
      </c>
      <c r="M413">
        <v>1</v>
      </c>
      <c r="N413" t="s">
        <v>428</v>
      </c>
      <c r="O413">
        <v>0.15</v>
      </c>
      <c r="P413">
        <v>0</v>
      </c>
      <c r="Q413">
        <v>0</v>
      </c>
      <c r="R413">
        <v>0</v>
      </c>
      <c r="S413">
        <v>0.15</v>
      </c>
      <c r="X413" t="s">
        <v>429</v>
      </c>
      <c r="Z413" s="38">
        <v>45473</v>
      </c>
      <c r="AF413" t="s">
        <v>437</v>
      </c>
    </row>
    <row r="414" spans="1:32" x14ac:dyDescent="0.25">
      <c r="A414" t="s">
        <v>717</v>
      </c>
      <c r="B414" t="s">
        <v>838</v>
      </c>
      <c r="C414" t="s">
        <v>167</v>
      </c>
      <c r="D414" t="s">
        <v>168</v>
      </c>
      <c r="E414" t="s">
        <v>424</v>
      </c>
      <c r="F414" t="s">
        <v>425</v>
      </c>
      <c r="G414" t="s">
        <v>642</v>
      </c>
      <c r="H414" t="s">
        <v>643</v>
      </c>
      <c r="I414" t="s">
        <v>644</v>
      </c>
      <c r="J414" t="s">
        <v>455</v>
      </c>
      <c r="L414" s="38">
        <v>46191</v>
      </c>
      <c r="M414">
        <v>1</v>
      </c>
      <c r="N414" t="s">
        <v>428</v>
      </c>
      <c r="O414">
        <v>7.0000000000000007E-2</v>
      </c>
      <c r="P414">
        <v>0</v>
      </c>
      <c r="Q414">
        <v>0</v>
      </c>
      <c r="R414">
        <v>0</v>
      </c>
      <c r="S414">
        <v>7.0000000000000007E-2</v>
      </c>
      <c r="X414" t="s">
        <v>429</v>
      </c>
      <c r="Z414" s="38">
        <v>45504</v>
      </c>
      <c r="AF414" t="s">
        <v>437</v>
      </c>
    </row>
    <row r="415" spans="1:32" x14ac:dyDescent="0.25">
      <c r="A415" t="s">
        <v>717</v>
      </c>
      <c r="B415" t="s">
        <v>839</v>
      </c>
      <c r="C415" t="s">
        <v>167</v>
      </c>
      <c r="D415" t="s">
        <v>168</v>
      </c>
      <c r="E415" t="s">
        <v>424</v>
      </c>
      <c r="F415" t="s">
        <v>425</v>
      </c>
      <c r="G415" t="s">
        <v>642</v>
      </c>
      <c r="H415" t="s">
        <v>643</v>
      </c>
      <c r="I415" t="s">
        <v>644</v>
      </c>
      <c r="J415" t="s">
        <v>455</v>
      </c>
      <c r="L415" s="38">
        <v>46191</v>
      </c>
      <c r="M415">
        <v>1</v>
      </c>
      <c r="N415" t="s">
        <v>428</v>
      </c>
      <c r="O415">
        <v>0.03</v>
      </c>
      <c r="P415">
        <v>0</v>
      </c>
      <c r="Q415">
        <v>0</v>
      </c>
      <c r="R415">
        <v>0</v>
      </c>
      <c r="S415">
        <v>0.03</v>
      </c>
      <c r="T415" t="s">
        <v>234</v>
      </c>
      <c r="U415" t="s">
        <v>46</v>
      </c>
      <c r="W415" t="s">
        <v>178</v>
      </c>
      <c r="X415" t="s">
        <v>429</v>
      </c>
      <c r="Z415" s="38">
        <v>45504</v>
      </c>
      <c r="AF415" t="s">
        <v>697</v>
      </c>
    </row>
    <row r="416" spans="1:32" x14ac:dyDescent="0.25">
      <c r="A416" t="s">
        <v>717</v>
      </c>
      <c r="B416" t="s">
        <v>840</v>
      </c>
      <c r="C416" t="s">
        <v>167</v>
      </c>
      <c r="D416" t="s">
        <v>168</v>
      </c>
      <c r="E416" t="s">
        <v>424</v>
      </c>
      <c r="F416" t="s">
        <v>425</v>
      </c>
      <c r="G416" t="s">
        <v>642</v>
      </c>
      <c r="H416" t="s">
        <v>643</v>
      </c>
      <c r="I416" t="s">
        <v>644</v>
      </c>
      <c r="J416" t="s">
        <v>455</v>
      </c>
      <c r="L416" s="38">
        <v>46191</v>
      </c>
      <c r="M416">
        <v>1</v>
      </c>
      <c r="N416" t="s">
        <v>428</v>
      </c>
      <c r="O416">
        <v>0.91</v>
      </c>
      <c r="P416">
        <v>0</v>
      </c>
      <c r="Q416">
        <v>0</v>
      </c>
      <c r="R416">
        <v>0</v>
      </c>
      <c r="S416">
        <v>0.91</v>
      </c>
      <c r="T416" t="s">
        <v>228</v>
      </c>
      <c r="X416" t="s">
        <v>429</v>
      </c>
      <c r="Z416" s="38">
        <v>45504</v>
      </c>
      <c r="AF416" t="s">
        <v>437</v>
      </c>
    </row>
    <row r="417" spans="1:33" x14ac:dyDescent="0.25">
      <c r="A417" t="s">
        <v>717</v>
      </c>
      <c r="B417" t="s">
        <v>841</v>
      </c>
      <c r="C417" t="s">
        <v>167</v>
      </c>
      <c r="D417" t="s">
        <v>168</v>
      </c>
      <c r="E417" t="s">
        <v>424</v>
      </c>
      <c r="F417" t="s">
        <v>425</v>
      </c>
      <c r="G417" t="s">
        <v>642</v>
      </c>
      <c r="H417" t="s">
        <v>643</v>
      </c>
      <c r="I417" t="s">
        <v>644</v>
      </c>
      <c r="J417" t="s">
        <v>455</v>
      </c>
      <c r="L417" s="38">
        <v>46191</v>
      </c>
      <c r="M417">
        <v>1</v>
      </c>
      <c r="N417" t="s">
        <v>428</v>
      </c>
      <c r="O417">
        <v>0.01</v>
      </c>
      <c r="P417">
        <v>0</v>
      </c>
      <c r="Q417">
        <v>0</v>
      </c>
      <c r="R417">
        <v>0</v>
      </c>
      <c r="S417">
        <v>0.01</v>
      </c>
      <c r="X417" t="s">
        <v>429</v>
      </c>
      <c r="Z417" s="38">
        <v>45504</v>
      </c>
      <c r="AF417" t="s">
        <v>437</v>
      </c>
    </row>
    <row r="418" spans="1:33" x14ac:dyDescent="0.25">
      <c r="A418" t="s">
        <v>717</v>
      </c>
      <c r="B418" t="s">
        <v>842</v>
      </c>
      <c r="C418" t="s">
        <v>167</v>
      </c>
      <c r="D418" t="s">
        <v>168</v>
      </c>
      <c r="E418" t="s">
        <v>424</v>
      </c>
      <c r="F418" t="s">
        <v>425</v>
      </c>
      <c r="G418" t="s">
        <v>642</v>
      </c>
      <c r="H418" t="s">
        <v>643</v>
      </c>
      <c r="I418" t="s">
        <v>644</v>
      </c>
      <c r="J418" t="s">
        <v>455</v>
      </c>
      <c r="L418" s="38">
        <v>46191</v>
      </c>
      <c r="M418">
        <v>1</v>
      </c>
      <c r="N418" t="s">
        <v>428</v>
      </c>
      <c r="O418">
        <v>0.01</v>
      </c>
      <c r="P418">
        <v>0</v>
      </c>
      <c r="Q418">
        <v>0</v>
      </c>
      <c r="R418">
        <v>0</v>
      </c>
      <c r="S418">
        <v>0.01</v>
      </c>
      <c r="X418" t="s">
        <v>429</v>
      </c>
      <c r="Z418" s="38">
        <v>45504</v>
      </c>
      <c r="AF418" t="s">
        <v>437</v>
      </c>
    </row>
    <row r="419" spans="1:33" x14ac:dyDescent="0.25">
      <c r="A419" t="s">
        <v>717</v>
      </c>
      <c r="B419" t="s">
        <v>843</v>
      </c>
      <c r="C419" t="s">
        <v>167</v>
      </c>
      <c r="D419" t="s">
        <v>168</v>
      </c>
      <c r="E419" t="s">
        <v>424</v>
      </c>
      <c r="F419" t="s">
        <v>425</v>
      </c>
      <c r="G419" t="s">
        <v>642</v>
      </c>
      <c r="H419" t="s">
        <v>643</v>
      </c>
      <c r="I419" t="s">
        <v>644</v>
      </c>
      <c r="J419" t="s">
        <v>455</v>
      </c>
      <c r="L419" s="38">
        <v>46191</v>
      </c>
      <c r="M419">
        <v>1</v>
      </c>
      <c r="N419" t="s">
        <v>428</v>
      </c>
      <c r="O419">
        <v>0.02</v>
      </c>
      <c r="P419">
        <v>0</v>
      </c>
      <c r="Q419">
        <v>0</v>
      </c>
      <c r="R419">
        <v>0</v>
      </c>
      <c r="S419">
        <v>0.02</v>
      </c>
      <c r="X419" t="s">
        <v>429</v>
      </c>
      <c r="Z419" s="38">
        <v>45504</v>
      </c>
      <c r="AF419" t="s">
        <v>437</v>
      </c>
    </row>
    <row r="420" spans="1:33" x14ac:dyDescent="0.25">
      <c r="A420" t="s">
        <v>717</v>
      </c>
      <c r="B420" t="s">
        <v>844</v>
      </c>
      <c r="C420" t="s">
        <v>167</v>
      </c>
      <c r="D420" t="s">
        <v>168</v>
      </c>
      <c r="E420" t="s">
        <v>424</v>
      </c>
      <c r="F420" t="s">
        <v>425</v>
      </c>
      <c r="G420" t="s">
        <v>642</v>
      </c>
      <c r="H420" t="s">
        <v>643</v>
      </c>
      <c r="I420" t="s">
        <v>644</v>
      </c>
      <c r="J420" t="s">
        <v>455</v>
      </c>
      <c r="L420" s="38">
        <v>46191</v>
      </c>
      <c r="M420">
        <v>1</v>
      </c>
      <c r="N420" t="s">
        <v>428</v>
      </c>
      <c r="O420">
        <v>0.04</v>
      </c>
      <c r="P420">
        <v>0</v>
      </c>
      <c r="Q420">
        <v>0</v>
      </c>
      <c r="R420">
        <v>0</v>
      </c>
      <c r="S420">
        <v>0.04</v>
      </c>
      <c r="X420" t="s">
        <v>429</v>
      </c>
      <c r="Z420" s="38">
        <v>45504</v>
      </c>
      <c r="AF420" t="s">
        <v>437</v>
      </c>
    </row>
    <row r="421" spans="1:33" x14ac:dyDescent="0.25">
      <c r="A421" t="s">
        <v>717</v>
      </c>
      <c r="B421" t="s">
        <v>845</v>
      </c>
      <c r="C421" t="s">
        <v>167</v>
      </c>
      <c r="D421" t="s">
        <v>168</v>
      </c>
      <c r="E421" t="s">
        <v>424</v>
      </c>
      <c r="F421" t="s">
        <v>425</v>
      </c>
      <c r="G421" t="s">
        <v>642</v>
      </c>
      <c r="H421" t="s">
        <v>643</v>
      </c>
      <c r="I421" t="s">
        <v>644</v>
      </c>
      <c r="J421" t="s">
        <v>455</v>
      </c>
      <c r="L421" s="38">
        <v>46191</v>
      </c>
      <c r="M421">
        <v>1</v>
      </c>
      <c r="N421" t="s">
        <v>428</v>
      </c>
      <c r="O421">
        <v>0.97</v>
      </c>
      <c r="P421">
        <v>0</v>
      </c>
      <c r="Q421">
        <v>0</v>
      </c>
      <c r="R421">
        <v>0</v>
      </c>
      <c r="S421">
        <v>0.97</v>
      </c>
      <c r="X421" t="s">
        <v>429</v>
      </c>
      <c r="Z421" s="38">
        <v>45596</v>
      </c>
      <c r="AF421" t="s">
        <v>440</v>
      </c>
    </row>
    <row r="422" spans="1:33" x14ac:dyDescent="0.25">
      <c r="A422" t="s">
        <v>717</v>
      </c>
      <c r="B422" t="s">
        <v>846</v>
      </c>
      <c r="C422" t="s">
        <v>167</v>
      </c>
      <c r="D422" t="s">
        <v>168</v>
      </c>
      <c r="E422" t="s">
        <v>424</v>
      </c>
      <c r="F422" t="s">
        <v>425</v>
      </c>
      <c r="G422" t="s">
        <v>642</v>
      </c>
      <c r="H422" t="s">
        <v>643</v>
      </c>
      <c r="I422" t="s">
        <v>644</v>
      </c>
      <c r="J422" t="s">
        <v>455</v>
      </c>
      <c r="L422" s="38">
        <v>46191</v>
      </c>
      <c r="M422">
        <v>1</v>
      </c>
      <c r="N422" t="s">
        <v>428</v>
      </c>
      <c r="O422">
        <v>0.73</v>
      </c>
      <c r="P422">
        <v>0</v>
      </c>
      <c r="Q422">
        <v>0</v>
      </c>
      <c r="R422">
        <v>0</v>
      </c>
      <c r="S422">
        <v>0.73</v>
      </c>
      <c r="W422" t="s">
        <v>823</v>
      </c>
      <c r="X422" t="s">
        <v>429</v>
      </c>
      <c r="Z422" s="38">
        <v>45626</v>
      </c>
      <c r="AF422" t="s">
        <v>440</v>
      </c>
    </row>
    <row r="423" spans="1:33" x14ac:dyDescent="0.25">
      <c r="A423" t="s">
        <v>717</v>
      </c>
      <c r="B423" t="s">
        <v>847</v>
      </c>
      <c r="C423" t="s">
        <v>167</v>
      </c>
      <c r="D423" t="s">
        <v>168</v>
      </c>
      <c r="E423" t="s">
        <v>424</v>
      </c>
      <c r="F423" t="s">
        <v>425</v>
      </c>
      <c r="G423" t="s">
        <v>642</v>
      </c>
      <c r="H423" t="s">
        <v>643</v>
      </c>
      <c r="I423" t="s">
        <v>644</v>
      </c>
      <c r="J423" t="s">
        <v>455</v>
      </c>
      <c r="L423" s="38">
        <v>46191</v>
      </c>
      <c r="M423">
        <v>1</v>
      </c>
      <c r="N423" t="s">
        <v>428</v>
      </c>
      <c r="O423">
        <v>3.08</v>
      </c>
      <c r="P423">
        <v>0</v>
      </c>
      <c r="Q423">
        <v>0</v>
      </c>
      <c r="R423">
        <v>0</v>
      </c>
      <c r="S423">
        <v>3.08</v>
      </c>
      <c r="X423" t="s">
        <v>429</v>
      </c>
      <c r="Z423" s="38">
        <v>45657</v>
      </c>
      <c r="AF423" t="s">
        <v>437</v>
      </c>
    </row>
    <row r="424" spans="1:33" x14ac:dyDescent="0.25">
      <c r="A424" t="s">
        <v>717</v>
      </c>
      <c r="B424" t="s">
        <v>848</v>
      </c>
      <c r="C424" t="s">
        <v>167</v>
      </c>
      <c r="D424" t="s">
        <v>168</v>
      </c>
      <c r="E424" t="s">
        <v>424</v>
      </c>
      <c r="F424" t="s">
        <v>425</v>
      </c>
      <c r="G424" t="s">
        <v>258</v>
      </c>
      <c r="H424" t="s">
        <v>694</v>
      </c>
      <c r="I424" t="s">
        <v>426</v>
      </c>
      <c r="J424" t="s">
        <v>719</v>
      </c>
      <c r="L424" s="38">
        <v>46191</v>
      </c>
      <c r="M424">
        <v>1</v>
      </c>
      <c r="N424" t="s">
        <v>428</v>
      </c>
      <c r="O424">
        <v>0.06</v>
      </c>
      <c r="P424">
        <v>0</v>
      </c>
      <c r="Q424">
        <v>0</v>
      </c>
      <c r="R424">
        <v>0</v>
      </c>
      <c r="S424">
        <v>0.06</v>
      </c>
      <c r="W424" t="s">
        <v>207</v>
      </c>
      <c r="X424" t="s">
        <v>429</v>
      </c>
      <c r="Z424" s="38">
        <v>45626</v>
      </c>
      <c r="AF424" t="s">
        <v>440</v>
      </c>
    </row>
    <row r="425" spans="1:33" x14ac:dyDescent="0.25">
      <c r="A425" t="s">
        <v>717</v>
      </c>
      <c r="B425" t="s">
        <v>849</v>
      </c>
      <c r="C425" t="s">
        <v>167</v>
      </c>
      <c r="D425" t="s">
        <v>168</v>
      </c>
      <c r="E425" t="s">
        <v>424</v>
      </c>
      <c r="F425" t="s">
        <v>425</v>
      </c>
      <c r="G425" t="s">
        <v>258</v>
      </c>
      <c r="H425" t="s">
        <v>694</v>
      </c>
      <c r="I425" t="s">
        <v>426</v>
      </c>
      <c r="J425" t="s">
        <v>719</v>
      </c>
      <c r="L425" s="38">
        <v>46191</v>
      </c>
      <c r="M425">
        <v>1</v>
      </c>
      <c r="N425" t="s">
        <v>428</v>
      </c>
      <c r="O425">
        <v>0.24</v>
      </c>
      <c r="P425">
        <v>0</v>
      </c>
      <c r="Q425">
        <v>0</v>
      </c>
      <c r="R425">
        <v>0</v>
      </c>
      <c r="S425">
        <v>0.24</v>
      </c>
      <c r="W425" t="s">
        <v>207</v>
      </c>
      <c r="X425" t="s">
        <v>429</v>
      </c>
      <c r="Z425" s="38">
        <v>46081</v>
      </c>
      <c r="AF425" t="s">
        <v>447</v>
      </c>
    </row>
    <row r="426" spans="1:33" x14ac:dyDescent="0.25">
      <c r="A426" t="s">
        <v>717</v>
      </c>
      <c r="B426" t="s">
        <v>850</v>
      </c>
      <c r="C426" t="s">
        <v>167</v>
      </c>
      <c r="D426" t="s">
        <v>168</v>
      </c>
      <c r="E426" t="s">
        <v>469</v>
      </c>
      <c r="F426" t="s">
        <v>425</v>
      </c>
      <c r="G426" t="s">
        <v>258</v>
      </c>
      <c r="H426" t="s">
        <v>694</v>
      </c>
      <c r="I426" t="s">
        <v>426</v>
      </c>
      <c r="J426" t="s">
        <v>464</v>
      </c>
      <c r="K426" t="s">
        <v>851</v>
      </c>
      <c r="L426" s="38">
        <v>46191</v>
      </c>
      <c r="M426">
        <v>1</v>
      </c>
      <c r="N426" t="s">
        <v>428</v>
      </c>
      <c r="O426">
        <v>0.6</v>
      </c>
      <c r="P426">
        <v>0</v>
      </c>
      <c r="Q426">
        <v>0</v>
      </c>
      <c r="R426">
        <v>0</v>
      </c>
      <c r="S426">
        <v>0.6</v>
      </c>
      <c r="V426" t="s">
        <v>472</v>
      </c>
      <c r="X426" t="s">
        <v>429</v>
      </c>
      <c r="Z426" s="38">
        <v>46123</v>
      </c>
      <c r="AF426" t="s">
        <v>447</v>
      </c>
      <c r="AG426" t="s">
        <v>447</v>
      </c>
    </row>
    <row r="427" spans="1:33" x14ac:dyDescent="0.25">
      <c r="A427" t="s">
        <v>717</v>
      </c>
      <c r="B427" t="s">
        <v>852</v>
      </c>
      <c r="C427" t="s">
        <v>167</v>
      </c>
      <c r="D427" t="s">
        <v>168</v>
      </c>
      <c r="E427" t="s">
        <v>463</v>
      </c>
      <c r="F427" t="s">
        <v>425</v>
      </c>
      <c r="G427" t="s">
        <v>258</v>
      </c>
      <c r="H427" t="s">
        <v>694</v>
      </c>
      <c r="I427" t="s">
        <v>426</v>
      </c>
      <c r="J427" t="s">
        <v>464</v>
      </c>
      <c r="L427" s="38">
        <v>46191</v>
      </c>
      <c r="M427">
        <v>2</v>
      </c>
      <c r="N427" t="s">
        <v>428</v>
      </c>
      <c r="O427">
        <v>0.06</v>
      </c>
      <c r="P427">
        <v>0</v>
      </c>
      <c r="Q427">
        <v>0</v>
      </c>
      <c r="R427">
        <v>0</v>
      </c>
      <c r="S427">
        <v>0</v>
      </c>
      <c r="X427" t="s">
        <v>429</v>
      </c>
      <c r="Z427" s="38">
        <v>46203</v>
      </c>
      <c r="AF427" t="s">
        <v>447</v>
      </c>
    </row>
    <row r="428" spans="1:33" x14ac:dyDescent="0.25">
      <c r="A428" t="s">
        <v>717</v>
      </c>
      <c r="B428" t="s">
        <v>852</v>
      </c>
      <c r="C428" t="s">
        <v>167</v>
      </c>
      <c r="D428" t="s">
        <v>168</v>
      </c>
      <c r="E428" t="s">
        <v>478</v>
      </c>
      <c r="F428" t="s">
        <v>425</v>
      </c>
      <c r="G428" t="s">
        <v>258</v>
      </c>
      <c r="H428" t="s">
        <v>694</v>
      </c>
      <c r="I428" t="s">
        <v>426</v>
      </c>
      <c r="J428" t="s">
        <v>464</v>
      </c>
      <c r="K428" t="s">
        <v>271</v>
      </c>
      <c r="L428" s="38">
        <v>46191</v>
      </c>
      <c r="M428">
        <v>2</v>
      </c>
      <c r="N428" t="s">
        <v>428</v>
      </c>
      <c r="O428">
        <v>0.66</v>
      </c>
      <c r="P428">
        <v>0</v>
      </c>
      <c r="Q428">
        <v>0</v>
      </c>
      <c r="R428">
        <v>0</v>
      </c>
      <c r="S428">
        <v>0.72</v>
      </c>
      <c r="V428" t="s">
        <v>472</v>
      </c>
      <c r="X428" t="s">
        <v>429</v>
      </c>
      <c r="Z428" s="38">
        <v>46203</v>
      </c>
      <c r="AF428" t="s">
        <v>447</v>
      </c>
      <c r="AG428" t="s">
        <v>447</v>
      </c>
    </row>
    <row r="429" spans="1:33" x14ac:dyDescent="0.25">
      <c r="A429" t="s">
        <v>717</v>
      </c>
      <c r="B429" t="s">
        <v>1277</v>
      </c>
      <c r="C429" t="s">
        <v>167</v>
      </c>
      <c r="D429" t="s">
        <v>168</v>
      </c>
      <c r="E429" t="s">
        <v>463</v>
      </c>
      <c r="F429" t="s">
        <v>425</v>
      </c>
      <c r="G429" t="s">
        <v>258</v>
      </c>
      <c r="H429" t="s">
        <v>694</v>
      </c>
      <c r="I429" t="s">
        <v>426</v>
      </c>
      <c r="J429" t="s">
        <v>464</v>
      </c>
      <c r="L429" s="38">
        <v>46191</v>
      </c>
      <c r="M429">
        <v>1</v>
      </c>
      <c r="N429" t="s">
        <v>428</v>
      </c>
      <c r="O429">
        <v>0.72</v>
      </c>
      <c r="P429">
        <v>0</v>
      </c>
      <c r="Q429">
        <v>0</v>
      </c>
      <c r="R429">
        <v>0</v>
      </c>
      <c r="S429">
        <v>0.72</v>
      </c>
      <c r="X429" t="s">
        <v>429</v>
      </c>
      <c r="Z429" s="38">
        <v>46203</v>
      </c>
      <c r="AF429" t="s">
        <v>447</v>
      </c>
    </row>
    <row r="430" spans="1:33" x14ac:dyDescent="0.25">
      <c r="A430" t="s">
        <v>717</v>
      </c>
      <c r="B430" t="s">
        <v>1278</v>
      </c>
      <c r="C430" t="s">
        <v>167</v>
      </c>
      <c r="D430" t="s">
        <v>168</v>
      </c>
      <c r="E430" t="s">
        <v>463</v>
      </c>
      <c r="F430" t="s">
        <v>425</v>
      </c>
      <c r="G430" t="s">
        <v>258</v>
      </c>
      <c r="H430" t="s">
        <v>694</v>
      </c>
      <c r="I430" t="s">
        <v>426</v>
      </c>
      <c r="J430" t="s">
        <v>464</v>
      </c>
      <c r="L430" s="38">
        <v>46191</v>
      </c>
      <c r="M430">
        <v>1</v>
      </c>
      <c r="N430" t="s">
        <v>428</v>
      </c>
      <c r="O430">
        <v>1.44</v>
      </c>
      <c r="P430">
        <v>0</v>
      </c>
      <c r="Q430">
        <v>0</v>
      </c>
      <c r="R430">
        <v>0</v>
      </c>
      <c r="S430">
        <v>1.44</v>
      </c>
      <c r="X430" t="s">
        <v>429</v>
      </c>
      <c r="Z430" s="38">
        <v>46203</v>
      </c>
      <c r="AF430" t="s">
        <v>447</v>
      </c>
    </row>
    <row r="431" spans="1:33" x14ac:dyDescent="0.25">
      <c r="A431" t="s">
        <v>717</v>
      </c>
      <c r="B431" t="s">
        <v>853</v>
      </c>
      <c r="C431" t="s">
        <v>167</v>
      </c>
      <c r="D431" t="s">
        <v>168</v>
      </c>
      <c r="E431" t="s">
        <v>170</v>
      </c>
      <c r="F431" t="s">
        <v>425</v>
      </c>
      <c r="G431" t="s">
        <v>258</v>
      </c>
      <c r="H431" t="s">
        <v>694</v>
      </c>
      <c r="I431" t="s">
        <v>426</v>
      </c>
      <c r="J431" t="s">
        <v>854</v>
      </c>
      <c r="K431" t="s">
        <v>499</v>
      </c>
      <c r="L431" s="38">
        <v>46191</v>
      </c>
      <c r="M431">
        <v>1</v>
      </c>
      <c r="N431" t="s">
        <v>428</v>
      </c>
      <c r="O431">
        <v>0</v>
      </c>
      <c r="P431">
        <v>0</v>
      </c>
      <c r="Q431">
        <v>0</v>
      </c>
      <c r="R431">
        <v>0</v>
      </c>
      <c r="S431">
        <v>0</v>
      </c>
      <c r="V431" t="s">
        <v>639</v>
      </c>
      <c r="X431" t="s">
        <v>429</v>
      </c>
      <c r="Z431" s="38">
        <v>45824</v>
      </c>
      <c r="AG431" t="s">
        <v>440</v>
      </c>
    </row>
    <row r="432" spans="1:33" x14ac:dyDescent="0.25">
      <c r="A432" t="s">
        <v>717</v>
      </c>
      <c r="B432" t="s">
        <v>855</v>
      </c>
      <c r="C432" t="s">
        <v>167</v>
      </c>
      <c r="D432" t="s">
        <v>168</v>
      </c>
      <c r="E432" t="s">
        <v>170</v>
      </c>
      <c r="F432" t="s">
        <v>425</v>
      </c>
      <c r="G432" t="s">
        <v>258</v>
      </c>
      <c r="H432" t="s">
        <v>694</v>
      </c>
      <c r="I432" t="s">
        <v>426</v>
      </c>
      <c r="J432" t="s">
        <v>172</v>
      </c>
      <c r="K432" t="s">
        <v>499</v>
      </c>
      <c r="L432" s="38">
        <v>46191</v>
      </c>
      <c r="M432">
        <v>1</v>
      </c>
      <c r="N432" t="s">
        <v>428</v>
      </c>
      <c r="O432">
        <v>0</v>
      </c>
      <c r="P432">
        <v>0</v>
      </c>
      <c r="Q432">
        <v>0</v>
      </c>
      <c r="R432">
        <v>0</v>
      </c>
      <c r="S432">
        <v>0</v>
      </c>
      <c r="V432" t="s">
        <v>472</v>
      </c>
      <c r="W432" t="s">
        <v>178</v>
      </c>
      <c r="X432" t="s">
        <v>429</v>
      </c>
      <c r="Z432" s="38">
        <v>46081</v>
      </c>
      <c r="AG432" t="s">
        <v>447</v>
      </c>
    </row>
    <row r="433" spans="1:33" x14ac:dyDescent="0.25">
      <c r="A433" t="s">
        <v>717</v>
      </c>
      <c r="B433" t="s">
        <v>856</v>
      </c>
      <c r="C433" t="s">
        <v>167</v>
      </c>
      <c r="D433" t="s">
        <v>168</v>
      </c>
      <c r="E433" t="s">
        <v>170</v>
      </c>
      <c r="F433" t="s">
        <v>425</v>
      </c>
      <c r="G433" t="s">
        <v>258</v>
      </c>
      <c r="H433" t="s">
        <v>694</v>
      </c>
      <c r="I433" t="s">
        <v>426</v>
      </c>
      <c r="J433" t="s">
        <v>172</v>
      </c>
      <c r="K433" t="s">
        <v>499</v>
      </c>
      <c r="L433" s="38">
        <v>46191</v>
      </c>
      <c r="M433">
        <v>1</v>
      </c>
      <c r="N433" t="s">
        <v>428</v>
      </c>
      <c r="O433">
        <v>0</v>
      </c>
      <c r="P433">
        <v>0</v>
      </c>
      <c r="Q433">
        <v>0</v>
      </c>
      <c r="R433">
        <v>0</v>
      </c>
      <c r="S433">
        <v>0</v>
      </c>
      <c r="V433" t="s">
        <v>472</v>
      </c>
      <c r="W433" t="s">
        <v>178</v>
      </c>
      <c r="X433" t="s">
        <v>429</v>
      </c>
      <c r="Z433" s="38">
        <v>46081</v>
      </c>
      <c r="AG433" t="s">
        <v>447</v>
      </c>
    </row>
    <row r="434" spans="1:33" x14ac:dyDescent="0.25">
      <c r="A434" t="s">
        <v>717</v>
      </c>
      <c r="B434" t="s">
        <v>857</v>
      </c>
      <c r="C434" t="s">
        <v>167</v>
      </c>
      <c r="D434" t="s">
        <v>168</v>
      </c>
      <c r="E434" t="s">
        <v>170</v>
      </c>
      <c r="F434" t="s">
        <v>425</v>
      </c>
      <c r="G434" t="s">
        <v>258</v>
      </c>
      <c r="H434" t="s">
        <v>694</v>
      </c>
      <c r="I434" t="s">
        <v>426</v>
      </c>
      <c r="J434" t="s">
        <v>172</v>
      </c>
      <c r="K434" t="s">
        <v>499</v>
      </c>
      <c r="L434" s="38">
        <v>46191</v>
      </c>
      <c r="M434">
        <v>1</v>
      </c>
      <c r="N434" t="s">
        <v>428</v>
      </c>
      <c r="O434">
        <v>0</v>
      </c>
      <c r="P434">
        <v>0</v>
      </c>
      <c r="Q434">
        <v>0</v>
      </c>
      <c r="R434">
        <v>0</v>
      </c>
      <c r="S434">
        <v>0</v>
      </c>
      <c r="V434" t="s">
        <v>472</v>
      </c>
      <c r="W434" t="s">
        <v>178</v>
      </c>
      <c r="X434" t="s">
        <v>429</v>
      </c>
      <c r="Z434" s="38">
        <v>46081</v>
      </c>
      <c r="AG434" t="s">
        <v>447</v>
      </c>
    </row>
    <row r="435" spans="1:33" x14ac:dyDescent="0.25">
      <c r="A435" t="s">
        <v>717</v>
      </c>
      <c r="B435" t="s">
        <v>858</v>
      </c>
      <c r="C435" t="s">
        <v>167</v>
      </c>
      <c r="D435" t="s">
        <v>168</v>
      </c>
      <c r="E435" t="s">
        <v>170</v>
      </c>
      <c r="F435" t="s">
        <v>425</v>
      </c>
      <c r="G435" t="s">
        <v>258</v>
      </c>
      <c r="H435" t="s">
        <v>694</v>
      </c>
      <c r="I435" t="s">
        <v>426</v>
      </c>
      <c r="J435" t="s">
        <v>172</v>
      </c>
      <c r="K435" t="s">
        <v>499</v>
      </c>
      <c r="L435" s="38">
        <v>46191</v>
      </c>
      <c r="M435">
        <v>1</v>
      </c>
      <c r="N435" t="s">
        <v>428</v>
      </c>
      <c r="O435">
        <v>0</v>
      </c>
      <c r="P435">
        <v>0</v>
      </c>
      <c r="Q435">
        <v>0</v>
      </c>
      <c r="R435">
        <v>0</v>
      </c>
      <c r="S435">
        <v>0</v>
      </c>
      <c r="T435" t="s">
        <v>781</v>
      </c>
      <c r="V435" t="s">
        <v>472</v>
      </c>
      <c r="W435" t="s">
        <v>207</v>
      </c>
      <c r="X435" t="s">
        <v>429</v>
      </c>
      <c r="Z435" s="38">
        <v>46112</v>
      </c>
      <c r="AG435" t="s">
        <v>447</v>
      </c>
    </row>
    <row r="436" spans="1:33" x14ac:dyDescent="0.25">
      <c r="A436" t="s">
        <v>717</v>
      </c>
      <c r="B436" t="s">
        <v>859</v>
      </c>
      <c r="C436" t="s">
        <v>167</v>
      </c>
      <c r="D436" t="s">
        <v>168</v>
      </c>
      <c r="E436" t="s">
        <v>170</v>
      </c>
      <c r="F436" t="s">
        <v>425</v>
      </c>
      <c r="G436" t="s">
        <v>258</v>
      </c>
      <c r="H436" t="s">
        <v>694</v>
      </c>
      <c r="I436" t="s">
        <v>426</v>
      </c>
      <c r="J436" t="s">
        <v>253</v>
      </c>
      <c r="K436" t="s">
        <v>499</v>
      </c>
      <c r="L436" s="38">
        <v>46191</v>
      </c>
      <c r="M436">
        <v>1</v>
      </c>
      <c r="N436" t="s">
        <v>428</v>
      </c>
      <c r="O436">
        <v>0</v>
      </c>
      <c r="P436">
        <v>0</v>
      </c>
      <c r="Q436">
        <v>0</v>
      </c>
      <c r="R436">
        <v>0</v>
      </c>
      <c r="S436">
        <v>0</v>
      </c>
      <c r="V436" t="s">
        <v>472</v>
      </c>
      <c r="W436" t="s">
        <v>207</v>
      </c>
      <c r="X436" t="s">
        <v>429</v>
      </c>
      <c r="Z436" s="38">
        <v>46112</v>
      </c>
      <c r="AG436" t="s">
        <v>447</v>
      </c>
    </row>
    <row r="437" spans="1:33" x14ac:dyDescent="0.25">
      <c r="A437" t="s">
        <v>717</v>
      </c>
      <c r="B437" t="s">
        <v>860</v>
      </c>
      <c r="C437" t="s">
        <v>167</v>
      </c>
      <c r="D437" t="s">
        <v>168</v>
      </c>
      <c r="E437" t="s">
        <v>170</v>
      </c>
      <c r="F437" t="s">
        <v>425</v>
      </c>
      <c r="G437" t="s">
        <v>258</v>
      </c>
      <c r="H437" t="s">
        <v>694</v>
      </c>
      <c r="I437" t="s">
        <v>426</v>
      </c>
      <c r="J437" t="s">
        <v>253</v>
      </c>
      <c r="K437" t="s">
        <v>499</v>
      </c>
      <c r="L437" s="38">
        <v>46191</v>
      </c>
      <c r="M437">
        <v>1</v>
      </c>
      <c r="N437" t="s">
        <v>428</v>
      </c>
      <c r="O437">
        <v>0</v>
      </c>
      <c r="P437">
        <v>0</v>
      </c>
      <c r="Q437">
        <v>0</v>
      </c>
      <c r="R437">
        <v>0</v>
      </c>
      <c r="S437">
        <v>0</v>
      </c>
      <c r="V437" t="s">
        <v>472</v>
      </c>
      <c r="W437" t="s">
        <v>207</v>
      </c>
      <c r="X437" t="s">
        <v>429</v>
      </c>
      <c r="Z437" s="38">
        <v>46112</v>
      </c>
      <c r="AG437" t="s">
        <v>447</v>
      </c>
    </row>
    <row r="438" spans="1:33" x14ac:dyDescent="0.25">
      <c r="A438" t="s">
        <v>717</v>
      </c>
      <c r="B438" t="s">
        <v>861</v>
      </c>
      <c r="C438" t="s">
        <v>167</v>
      </c>
      <c r="D438" t="s">
        <v>168</v>
      </c>
      <c r="E438" t="s">
        <v>170</v>
      </c>
      <c r="F438" t="s">
        <v>425</v>
      </c>
      <c r="G438" t="s">
        <v>258</v>
      </c>
      <c r="H438" t="s">
        <v>694</v>
      </c>
      <c r="I438" t="s">
        <v>426</v>
      </c>
      <c r="J438" t="s">
        <v>253</v>
      </c>
      <c r="K438" t="s">
        <v>499</v>
      </c>
      <c r="L438" s="38">
        <v>46191</v>
      </c>
      <c r="M438">
        <v>1</v>
      </c>
      <c r="N438" t="s">
        <v>428</v>
      </c>
      <c r="O438">
        <v>0</v>
      </c>
      <c r="P438">
        <v>0</v>
      </c>
      <c r="Q438">
        <v>0</v>
      </c>
      <c r="R438">
        <v>0</v>
      </c>
      <c r="S438">
        <v>0</v>
      </c>
      <c r="V438" t="s">
        <v>472</v>
      </c>
      <c r="W438" t="s">
        <v>207</v>
      </c>
      <c r="X438" t="s">
        <v>429</v>
      </c>
      <c r="Z438" s="38">
        <v>46112</v>
      </c>
      <c r="AG438" t="s">
        <v>447</v>
      </c>
    </row>
    <row r="439" spans="1:33" x14ac:dyDescent="0.25">
      <c r="A439" t="s">
        <v>717</v>
      </c>
      <c r="B439" t="s">
        <v>862</v>
      </c>
      <c r="C439" t="s">
        <v>167</v>
      </c>
      <c r="D439" t="s">
        <v>168</v>
      </c>
      <c r="E439" t="s">
        <v>170</v>
      </c>
      <c r="F439" t="s">
        <v>425</v>
      </c>
      <c r="G439" t="s">
        <v>258</v>
      </c>
      <c r="H439" t="s">
        <v>694</v>
      </c>
      <c r="I439" t="s">
        <v>426</v>
      </c>
      <c r="J439" t="s">
        <v>172</v>
      </c>
      <c r="K439" t="s">
        <v>499</v>
      </c>
      <c r="L439" s="38">
        <v>46191</v>
      </c>
      <c r="M439">
        <v>1</v>
      </c>
      <c r="N439" t="s">
        <v>428</v>
      </c>
      <c r="O439">
        <v>0</v>
      </c>
      <c r="P439">
        <v>0</v>
      </c>
      <c r="Q439">
        <v>0</v>
      </c>
      <c r="R439">
        <v>0</v>
      </c>
      <c r="S439">
        <v>0</v>
      </c>
      <c r="V439" t="s">
        <v>472</v>
      </c>
      <c r="W439" t="s">
        <v>207</v>
      </c>
      <c r="X439" t="s">
        <v>429</v>
      </c>
      <c r="Z439" s="38">
        <v>46127</v>
      </c>
      <c r="AG439" t="s">
        <v>447</v>
      </c>
    </row>
    <row r="440" spans="1:33" x14ac:dyDescent="0.25">
      <c r="A440" t="s">
        <v>717</v>
      </c>
      <c r="B440" t="s">
        <v>851</v>
      </c>
      <c r="C440" t="s">
        <v>167</v>
      </c>
      <c r="D440" t="s">
        <v>168</v>
      </c>
      <c r="E440" t="s">
        <v>469</v>
      </c>
      <c r="F440" t="s">
        <v>425</v>
      </c>
      <c r="G440" t="s">
        <v>258</v>
      </c>
      <c r="H440" t="s">
        <v>694</v>
      </c>
      <c r="I440" t="s">
        <v>426</v>
      </c>
      <c r="J440" t="s">
        <v>765</v>
      </c>
      <c r="K440" t="s">
        <v>850</v>
      </c>
      <c r="L440" s="38">
        <v>46191</v>
      </c>
      <c r="M440">
        <v>1</v>
      </c>
      <c r="N440" t="s">
        <v>428</v>
      </c>
      <c r="O440">
        <v>0</v>
      </c>
      <c r="P440">
        <v>-0.6</v>
      </c>
      <c r="Q440">
        <v>0</v>
      </c>
      <c r="R440">
        <v>0</v>
      </c>
      <c r="S440">
        <v>-0.6</v>
      </c>
      <c r="V440" t="s">
        <v>472</v>
      </c>
      <c r="W440" t="s">
        <v>207</v>
      </c>
      <c r="X440" t="s">
        <v>429</v>
      </c>
      <c r="Z440" s="38">
        <v>46123</v>
      </c>
      <c r="AF440" t="s">
        <v>447</v>
      </c>
      <c r="AG440" t="s">
        <v>447</v>
      </c>
    </row>
    <row r="441" spans="1:33" x14ac:dyDescent="0.25">
      <c r="A441" t="s">
        <v>717</v>
      </c>
      <c r="B441" t="s">
        <v>271</v>
      </c>
      <c r="C441" t="s">
        <v>167</v>
      </c>
      <c r="D441" t="s">
        <v>168</v>
      </c>
      <c r="E441" t="s">
        <v>478</v>
      </c>
      <c r="F441" t="s">
        <v>425</v>
      </c>
      <c r="G441" t="s">
        <v>258</v>
      </c>
      <c r="H441" t="s">
        <v>694</v>
      </c>
      <c r="I441" t="s">
        <v>426</v>
      </c>
      <c r="J441" t="s">
        <v>204</v>
      </c>
      <c r="K441" t="s">
        <v>852</v>
      </c>
      <c r="L441" s="38">
        <v>46191</v>
      </c>
      <c r="M441">
        <v>1</v>
      </c>
      <c r="N441" t="s">
        <v>428</v>
      </c>
      <c r="O441">
        <v>0</v>
      </c>
      <c r="P441">
        <v>-0.66</v>
      </c>
      <c r="Q441">
        <v>0</v>
      </c>
      <c r="R441">
        <v>0</v>
      </c>
      <c r="S441">
        <v>-0.66</v>
      </c>
      <c r="T441" t="s">
        <v>206</v>
      </c>
      <c r="V441" t="s">
        <v>472</v>
      </c>
      <c r="W441" t="s">
        <v>207</v>
      </c>
      <c r="X441" t="s">
        <v>429</v>
      </c>
      <c r="Z441" s="38">
        <v>46203</v>
      </c>
      <c r="AF441" t="s">
        <v>447</v>
      </c>
      <c r="AG441" t="s">
        <v>447</v>
      </c>
    </row>
    <row r="442" spans="1:33" x14ac:dyDescent="0.25">
      <c r="A442" t="s">
        <v>717</v>
      </c>
      <c r="B442" t="s">
        <v>863</v>
      </c>
      <c r="C442" t="s">
        <v>167</v>
      </c>
      <c r="D442" t="s">
        <v>168</v>
      </c>
      <c r="E442" t="s">
        <v>170</v>
      </c>
      <c r="F442" t="s">
        <v>425</v>
      </c>
      <c r="G442" t="s">
        <v>258</v>
      </c>
      <c r="H442" t="s">
        <v>694</v>
      </c>
      <c r="I442" t="s">
        <v>426</v>
      </c>
      <c r="J442" t="s">
        <v>773</v>
      </c>
      <c r="K442" t="s">
        <v>499</v>
      </c>
      <c r="L442" s="38">
        <v>46191</v>
      </c>
      <c r="M442">
        <v>1</v>
      </c>
      <c r="N442" t="s">
        <v>428</v>
      </c>
      <c r="O442">
        <v>0</v>
      </c>
      <c r="P442">
        <v>0</v>
      </c>
      <c r="Q442">
        <v>0</v>
      </c>
      <c r="R442">
        <v>0</v>
      </c>
      <c r="S442">
        <v>0</v>
      </c>
      <c r="V442" t="s">
        <v>472</v>
      </c>
      <c r="W442" t="s">
        <v>207</v>
      </c>
      <c r="X442" t="s">
        <v>429</v>
      </c>
      <c r="Z442" s="38">
        <v>46173</v>
      </c>
      <c r="AG442" t="s">
        <v>447</v>
      </c>
    </row>
    <row r="443" spans="1:33" x14ac:dyDescent="0.25">
      <c r="A443" t="s">
        <v>717</v>
      </c>
      <c r="B443" t="s">
        <v>259</v>
      </c>
      <c r="C443" t="s">
        <v>167</v>
      </c>
      <c r="D443" t="s">
        <v>168</v>
      </c>
      <c r="E443" t="s">
        <v>170</v>
      </c>
      <c r="F443" t="s">
        <v>425</v>
      </c>
      <c r="G443" t="s">
        <v>258</v>
      </c>
      <c r="H443" t="s">
        <v>694</v>
      </c>
      <c r="I443" t="s">
        <v>426</v>
      </c>
      <c r="J443" t="s">
        <v>253</v>
      </c>
      <c r="K443" t="s">
        <v>499</v>
      </c>
      <c r="L443" s="38">
        <v>46191</v>
      </c>
      <c r="M443">
        <v>1</v>
      </c>
      <c r="N443" t="s">
        <v>428</v>
      </c>
      <c r="O443">
        <v>0</v>
      </c>
      <c r="P443">
        <v>-0.12</v>
      </c>
      <c r="Q443">
        <v>0</v>
      </c>
      <c r="R443">
        <v>0</v>
      </c>
      <c r="S443">
        <v>-0.12</v>
      </c>
      <c r="V443" t="s">
        <v>612</v>
      </c>
      <c r="W443" t="s">
        <v>207</v>
      </c>
      <c r="X443" t="s">
        <v>429</v>
      </c>
      <c r="Z443" s="38">
        <v>46203</v>
      </c>
      <c r="AG443" t="s">
        <v>507</v>
      </c>
    </row>
    <row r="444" spans="1:33" x14ac:dyDescent="0.25">
      <c r="A444" t="s">
        <v>717</v>
      </c>
      <c r="B444" t="s">
        <v>300</v>
      </c>
      <c r="C444" t="s">
        <v>167</v>
      </c>
      <c r="D444" t="s">
        <v>168</v>
      </c>
      <c r="E444" t="s">
        <v>170</v>
      </c>
      <c r="F444" t="s">
        <v>425</v>
      </c>
      <c r="G444" t="s">
        <v>258</v>
      </c>
      <c r="H444" t="s">
        <v>694</v>
      </c>
      <c r="I444" t="s">
        <v>426</v>
      </c>
      <c r="J444" t="s">
        <v>292</v>
      </c>
      <c r="K444" t="s">
        <v>499</v>
      </c>
      <c r="L444" s="38">
        <v>46191</v>
      </c>
      <c r="M444">
        <v>1</v>
      </c>
      <c r="N444" t="s">
        <v>428</v>
      </c>
      <c r="O444">
        <v>0</v>
      </c>
      <c r="P444">
        <v>-0.36</v>
      </c>
      <c r="Q444">
        <v>0</v>
      </c>
      <c r="R444">
        <v>0</v>
      </c>
      <c r="S444">
        <v>-0.36</v>
      </c>
      <c r="V444" t="s">
        <v>472</v>
      </c>
      <c r="W444" t="s">
        <v>207</v>
      </c>
      <c r="X444" t="s">
        <v>429</v>
      </c>
      <c r="Z444" s="38">
        <v>46203</v>
      </c>
      <c r="AG444" t="s">
        <v>447</v>
      </c>
    </row>
    <row r="445" spans="1:33" x14ac:dyDescent="0.25">
      <c r="A445" t="s">
        <v>717</v>
      </c>
      <c r="B445" t="s">
        <v>302</v>
      </c>
      <c r="C445" t="s">
        <v>167</v>
      </c>
      <c r="D445" t="s">
        <v>168</v>
      </c>
      <c r="E445" t="s">
        <v>170</v>
      </c>
      <c r="F445" t="s">
        <v>425</v>
      </c>
      <c r="G445" t="s">
        <v>258</v>
      </c>
      <c r="H445" t="s">
        <v>694</v>
      </c>
      <c r="I445" t="s">
        <v>426</v>
      </c>
      <c r="J445" t="s">
        <v>292</v>
      </c>
      <c r="K445" t="s">
        <v>499</v>
      </c>
      <c r="L445" s="38">
        <v>46191</v>
      </c>
      <c r="M445">
        <v>1</v>
      </c>
      <c r="N445" t="s">
        <v>428</v>
      </c>
      <c r="O445">
        <v>0</v>
      </c>
      <c r="P445">
        <v>-0.72</v>
      </c>
      <c r="Q445">
        <v>0</v>
      </c>
      <c r="R445">
        <v>0</v>
      </c>
      <c r="S445">
        <v>-0.72</v>
      </c>
      <c r="V445" t="s">
        <v>472</v>
      </c>
      <c r="W445" t="s">
        <v>207</v>
      </c>
      <c r="X445" t="s">
        <v>429</v>
      </c>
      <c r="Z445" s="38">
        <v>46203</v>
      </c>
      <c r="AG445" t="s">
        <v>447</v>
      </c>
    </row>
    <row r="446" spans="1:33" x14ac:dyDescent="0.25">
      <c r="A446" t="s">
        <v>717</v>
      </c>
      <c r="B446" t="s">
        <v>864</v>
      </c>
      <c r="C446" t="s">
        <v>167</v>
      </c>
      <c r="D446" t="s">
        <v>168</v>
      </c>
      <c r="E446" t="s">
        <v>424</v>
      </c>
      <c r="F446" t="s">
        <v>425</v>
      </c>
      <c r="G446" t="s">
        <v>272</v>
      </c>
      <c r="H446" t="s">
        <v>279</v>
      </c>
      <c r="I446" t="s">
        <v>708</v>
      </c>
      <c r="J446" t="s">
        <v>455</v>
      </c>
      <c r="L446" s="38">
        <v>46191</v>
      </c>
      <c r="M446">
        <v>1</v>
      </c>
      <c r="N446" t="s">
        <v>709</v>
      </c>
      <c r="O446">
        <v>7.38</v>
      </c>
      <c r="P446">
        <v>0</v>
      </c>
      <c r="Q446">
        <v>0</v>
      </c>
      <c r="R446">
        <v>0</v>
      </c>
      <c r="S446">
        <v>7.38</v>
      </c>
      <c r="X446" t="s">
        <v>710</v>
      </c>
      <c r="Z446" s="38">
        <v>46265</v>
      </c>
      <c r="AF446" t="s">
        <v>447</v>
      </c>
    </row>
    <row r="447" spans="1:33" x14ac:dyDescent="0.25">
      <c r="A447" t="s">
        <v>717</v>
      </c>
      <c r="B447" t="s">
        <v>865</v>
      </c>
      <c r="C447" t="s">
        <v>167</v>
      </c>
      <c r="D447" t="s">
        <v>168</v>
      </c>
      <c r="E447" t="s">
        <v>170</v>
      </c>
      <c r="F447" t="s">
        <v>425</v>
      </c>
      <c r="G447" t="s">
        <v>272</v>
      </c>
      <c r="H447" t="s">
        <v>279</v>
      </c>
      <c r="I447" t="s">
        <v>708</v>
      </c>
      <c r="J447" t="s">
        <v>172</v>
      </c>
      <c r="K447" t="s">
        <v>499</v>
      </c>
      <c r="L447" s="38">
        <v>46191</v>
      </c>
      <c r="M447">
        <v>1</v>
      </c>
      <c r="N447" t="s">
        <v>709</v>
      </c>
      <c r="O447">
        <v>0</v>
      </c>
      <c r="P447">
        <v>0</v>
      </c>
      <c r="Q447">
        <v>0</v>
      </c>
      <c r="R447">
        <v>0</v>
      </c>
      <c r="S447">
        <v>0</v>
      </c>
      <c r="V447" t="s">
        <v>472</v>
      </c>
      <c r="W447" t="s">
        <v>207</v>
      </c>
      <c r="X447" t="s">
        <v>710</v>
      </c>
      <c r="Z447" s="38">
        <v>46142</v>
      </c>
      <c r="AG447" t="s">
        <v>447</v>
      </c>
    </row>
    <row r="448" spans="1:33" x14ac:dyDescent="0.25">
      <c r="A448" t="s">
        <v>717</v>
      </c>
      <c r="B448" t="s">
        <v>866</v>
      </c>
      <c r="C448" t="s">
        <v>167</v>
      </c>
      <c r="D448" t="s">
        <v>168</v>
      </c>
      <c r="E448" t="s">
        <v>170</v>
      </c>
      <c r="F448" t="s">
        <v>425</v>
      </c>
      <c r="G448" t="s">
        <v>272</v>
      </c>
      <c r="H448" t="s">
        <v>279</v>
      </c>
      <c r="I448" t="s">
        <v>708</v>
      </c>
      <c r="J448" t="s">
        <v>172</v>
      </c>
      <c r="K448" t="s">
        <v>499</v>
      </c>
      <c r="L448" s="38">
        <v>46191</v>
      </c>
      <c r="M448">
        <v>1</v>
      </c>
      <c r="N448" t="s">
        <v>709</v>
      </c>
      <c r="O448">
        <v>0</v>
      </c>
      <c r="P448">
        <v>0</v>
      </c>
      <c r="Q448">
        <v>0</v>
      </c>
      <c r="R448">
        <v>0</v>
      </c>
      <c r="S448">
        <v>0</v>
      </c>
      <c r="V448" t="s">
        <v>472</v>
      </c>
      <c r="W448" t="s">
        <v>178</v>
      </c>
      <c r="X448" t="s">
        <v>710</v>
      </c>
      <c r="Z448" s="38">
        <v>46142</v>
      </c>
      <c r="AG448" t="s">
        <v>447</v>
      </c>
    </row>
    <row r="449" spans="1:33" x14ac:dyDescent="0.25">
      <c r="A449" t="s">
        <v>717</v>
      </c>
      <c r="B449" t="s">
        <v>867</v>
      </c>
      <c r="C449" t="s">
        <v>167</v>
      </c>
      <c r="D449" t="s">
        <v>168</v>
      </c>
      <c r="E449" t="s">
        <v>170</v>
      </c>
      <c r="F449" t="s">
        <v>425</v>
      </c>
      <c r="G449" t="s">
        <v>272</v>
      </c>
      <c r="H449" t="s">
        <v>279</v>
      </c>
      <c r="I449" t="s">
        <v>708</v>
      </c>
      <c r="J449" t="s">
        <v>172</v>
      </c>
      <c r="K449" t="s">
        <v>499</v>
      </c>
      <c r="L449" s="38">
        <v>46191</v>
      </c>
      <c r="M449">
        <v>1</v>
      </c>
      <c r="N449" t="s">
        <v>709</v>
      </c>
      <c r="O449">
        <v>0</v>
      </c>
      <c r="P449">
        <v>0</v>
      </c>
      <c r="Q449">
        <v>0</v>
      </c>
      <c r="R449">
        <v>0</v>
      </c>
      <c r="S449">
        <v>0</v>
      </c>
      <c r="V449" t="s">
        <v>472</v>
      </c>
      <c r="W449" t="s">
        <v>178</v>
      </c>
      <c r="X449" t="s">
        <v>710</v>
      </c>
      <c r="Z449" s="38">
        <v>46142</v>
      </c>
      <c r="AG449" t="s">
        <v>447</v>
      </c>
    </row>
    <row r="450" spans="1:33" x14ac:dyDescent="0.25">
      <c r="A450" t="s">
        <v>717</v>
      </c>
      <c r="B450" t="s">
        <v>868</v>
      </c>
      <c r="C450" t="s">
        <v>167</v>
      </c>
      <c r="D450" t="s">
        <v>168</v>
      </c>
      <c r="E450" t="s">
        <v>170</v>
      </c>
      <c r="F450" t="s">
        <v>425</v>
      </c>
      <c r="G450" t="s">
        <v>272</v>
      </c>
      <c r="H450" t="s">
        <v>279</v>
      </c>
      <c r="I450" t="s">
        <v>708</v>
      </c>
      <c r="J450" t="s">
        <v>172</v>
      </c>
      <c r="K450" t="s">
        <v>499</v>
      </c>
      <c r="L450" s="38">
        <v>46191</v>
      </c>
      <c r="M450">
        <v>1</v>
      </c>
      <c r="N450" t="s">
        <v>709</v>
      </c>
      <c r="O450">
        <v>0</v>
      </c>
      <c r="P450">
        <v>0</v>
      </c>
      <c r="Q450">
        <v>0</v>
      </c>
      <c r="R450">
        <v>0</v>
      </c>
      <c r="S450">
        <v>0</v>
      </c>
      <c r="V450" t="s">
        <v>472</v>
      </c>
      <c r="W450" t="s">
        <v>178</v>
      </c>
      <c r="X450" t="s">
        <v>710</v>
      </c>
      <c r="Z450" s="38">
        <v>46142</v>
      </c>
      <c r="AG450" t="s">
        <v>447</v>
      </c>
    </row>
    <row r="451" spans="1:33" x14ac:dyDescent="0.25">
      <c r="A451" t="s">
        <v>717</v>
      </c>
      <c r="B451" t="s">
        <v>869</v>
      </c>
      <c r="C451" t="s">
        <v>167</v>
      </c>
      <c r="D451" t="s">
        <v>168</v>
      </c>
      <c r="E451" t="s">
        <v>424</v>
      </c>
      <c r="F451" t="s">
        <v>425</v>
      </c>
      <c r="G451" t="s">
        <v>169</v>
      </c>
      <c r="H451" t="s">
        <v>712</v>
      </c>
      <c r="I451" t="s">
        <v>708</v>
      </c>
      <c r="J451" t="s">
        <v>719</v>
      </c>
      <c r="L451" s="38">
        <v>46191</v>
      </c>
      <c r="M451">
        <v>1</v>
      </c>
      <c r="N451" t="s">
        <v>428</v>
      </c>
      <c r="O451">
        <v>0.31</v>
      </c>
      <c r="P451">
        <v>0</v>
      </c>
      <c r="Q451">
        <v>0</v>
      </c>
      <c r="R451">
        <v>0</v>
      </c>
      <c r="S451">
        <v>0.31</v>
      </c>
      <c r="W451" t="s">
        <v>207</v>
      </c>
      <c r="X451" t="s">
        <v>710</v>
      </c>
      <c r="Z451" s="38">
        <v>46081</v>
      </c>
      <c r="AF451" t="s">
        <v>447</v>
      </c>
    </row>
    <row r="452" spans="1:33" x14ac:dyDescent="0.25">
      <c r="A452" t="s">
        <v>717</v>
      </c>
      <c r="B452" t="s">
        <v>870</v>
      </c>
      <c r="C452" t="s">
        <v>167</v>
      </c>
      <c r="D452" t="s">
        <v>168</v>
      </c>
      <c r="E452" t="s">
        <v>424</v>
      </c>
      <c r="F452" t="s">
        <v>425</v>
      </c>
      <c r="G452" t="s">
        <v>169</v>
      </c>
      <c r="H452" t="s">
        <v>712</v>
      </c>
      <c r="I452" t="s">
        <v>708</v>
      </c>
      <c r="J452" t="s">
        <v>790</v>
      </c>
      <c r="L452" s="38">
        <v>46191</v>
      </c>
      <c r="M452">
        <v>1</v>
      </c>
      <c r="N452" t="s">
        <v>428</v>
      </c>
      <c r="O452">
        <v>0.24</v>
      </c>
      <c r="P452">
        <v>0</v>
      </c>
      <c r="Q452">
        <v>0</v>
      </c>
      <c r="R452">
        <v>0</v>
      </c>
      <c r="S452">
        <v>0.24</v>
      </c>
      <c r="X452" t="s">
        <v>710</v>
      </c>
      <c r="Z452" s="38">
        <v>46112</v>
      </c>
      <c r="AF452" t="s">
        <v>447</v>
      </c>
    </row>
    <row r="453" spans="1:33" x14ac:dyDescent="0.25">
      <c r="A453" t="s">
        <v>717</v>
      </c>
      <c r="B453" t="s">
        <v>871</v>
      </c>
      <c r="C453" t="s">
        <v>167</v>
      </c>
      <c r="D453" t="s">
        <v>168</v>
      </c>
      <c r="E453" t="s">
        <v>424</v>
      </c>
      <c r="F453" t="s">
        <v>425</v>
      </c>
      <c r="G453" t="s">
        <v>169</v>
      </c>
      <c r="H453" t="s">
        <v>712</v>
      </c>
      <c r="I453" t="s">
        <v>708</v>
      </c>
      <c r="J453" t="s">
        <v>790</v>
      </c>
      <c r="L453" s="38">
        <v>46191</v>
      </c>
      <c r="M453">
        <v>1</v>
      </c>
      <c r="N453" t="s">
        <v>428</v>
      </c>
      <c r="O453">
        <v>0.42</v>
      </c>
      <c r="P453">
        <v>0</v>
      </c>
      <c r="Q453">
        <v>0</v>
      </c>
      <c r="R453">
        <v>0</v>
      </c>
      <c r="S453">
        <v>0.42</v>
      </c>
      <c r="X453" t="s">
        <v>710</v>
      </c>
      <c r="Z453" s="38">
        <v>46142</v>
      </c>
      <c r="AF453" t="s">
        <v>447</v>
      </c>
    </row>
    <row r="454" spans="1:33" x14ac:dyDescent="0.25">
      <c r="A454" t="s">
        <v>717</v>
      </c>
      <c r="B454" t="s">
        <v>872</v>
      </c>
      <c r="C454" t="s">
        <v>167</v>
      </c>
      <c r="D454" t="s">
        <v>168</v>
      </c>
      <c r="E454" t="s">
        <v>424</v>
      </c>
      <c r="F454" t="s">
        <v>425</v>
      </c>
      <c r="G454" t="s">
        <v>169</v>
      </c>
      <c r="H454" t="s">
        <v>712</v>
      </c>
      <c r="I454" t="s">
        <v>708</v>
      </c>
      <c r="J454" t="s">
        <v>727</v>
      </c>
      <c r="L454" s="38">
        <v>46191</v>
      </c>
      <c r="M454">
        <v>1</v>
      </c>
      <c r="N454" t="s">
        <v>428</v>
      </c>
      <c r="O454">
        <v>0.54</v>
      </c>
      <c r="P454">
        <v>0</v>
      </c>
      <c r="Q454">
        <v>0</v>
      </c>
      <c r="R454">
        <v>0</v>
      </c>
      <c r="S454">
        <v>0.54</v>
      </c>
      <c r="X454" t="s">
        <v>710</v>
      </c>
      <c r="Z454" s="38">
        <v>46142</v>
      </c>
      <c r="AF454" t="s">
        <v>447</v>
      </c>
    </row>
    <row r="455" spans="1:33" x14ac:dyDescent="0.25">
      <c r="A455" t="s">
        <v>717</v>
      </c>
      <c r="B455" t="s">
        <v>873</v>
      </c>
      <c r="C455" t="s">
        <v>167</v>
      </c>
      <c r="D455" t="s">
        <v>168</v>
      </c>
      <c r="E455" t="s">
        <v>424</v>
      </c>
      <c r="F455" t="s">
        <v>425</v>
      </c>
      <c r="G455" t="s">
        <v>169</v>
      </c>
      <c r="H455" t="s">
        <v>712</v>
      </c>
      <c r="I455" t="s">
        <v>708</v>
      </c>
      <c r="J455" t="s">
        <v>727</v>
      </c>
      <c r="L455" s="38">
        <v>46191</v>
      </c>
      <c r="M455">
        <v>1</v>
      </c>
      <c r="N455" t="s">
        <v>428</v>
      </c>
      <c r="O455">
        <v>0.54</v>
      </c>
      <c r="P455">
        <v>0</v>
      </c>
      <c r="Q455">
        <v>0</v>
      </c>
      <c r="R455">
        <v>0</v>
      </c>
      <c r="S455">
        <v>0.54</v>
      </c>
      <c r="X455" t="s">
        <v>710</v>
      </c>
      <c r="Z455" s="38">
        <v>46142</v>
      </c>
      <c r="AF455" t="s">
        <v>447</v>
      </c>
    </row>
    <row r="456" spans="1:33" x14ac:dyDescent="0.25">
      <c r="A456" t="s">
        <v>717</v>
      </c>
      <c r="B456" t="s">
        <v>874</v>
      </c>
      <c r="C456" t="s">
        <v>167</v>
      </c>
      <c r="D456" t="s">
        <v>168</v>
      </c>
      <c r="E456" t="s">
        <v>424</v>
      </c>
      <c r="F456" t="s">
        <v>425</v>
      </c>
      <c r="G456" t="s">
        <v>169</v>
      </c>
      <c r="H456" t="s">
        <v>712</v>
      </c>
      <c r="I456" t="s">
        <v>708</v>
      </c>
      <c r="J456" t="s">
        <v>730</v>
      </c>
      <c r="L456" s="38">
        <v>46191</v>
      </c>
      <c r="M456">
        <v>1</v>
      </c>
      <c r="N456" t="s">
        <v>428</v>
      </c>
      <c r="O456">
        <v>0.12</v>
      </c>
      <c r="P456">
        <v>0</v>
      </c>
      <c r="Q456">
        <v>0</v>
      </c>
      <c r="R456">
        <v>0</v>
      </c>
      <c r="S456">
        <v>0.12</v>
      </c>
      <c r="X456" t="s">
        <v>710</v>
      </c>
      <c r="Z456" s="38">
        <v>46142</v>
      </c>
      <c r="AF456" t="s">
        <v>447</v>
      </c>
    </row>
    <row r="457" spans="1:33" x14ac:dyDescent="0.25">
      <c r="A457" t="s">
        <v>717</v>
      </c>
      <c r="B457" t="s">
        <v>875</v>
      </c>
      <c r="C457" t="s">
        <v>167</v>
      </c>
      <c r="D457" t="s">
        <v>168</v>
      </c>
      <c r="E457" t="s">
        <v>424</v>
      </c>
      <c r="F457" t="s">
        <v>425</v>
      </c>
      <c r="G457" t="s">
        <v>169</v>
      </c>
      <c r="H457" t="s">
        <v>712</v>
      </c>
      <c r="I457" t="s">
        <v>708</v>
      </c>
      <c r="J457" t="s">
        <v>790</v>
      </c>
      <c r="L457" s="38">
        <v>46191</v>
      </c>
      <c r="M457">
        <v>1</v>
      </c>
      <c r="N457" t="s">
        <v>428</v>
      </c>
      <c r="O457">
        <v>0.19</v>
      </c>
      <c r="P457">
        <v>0</v>
      </c>
      <c r="Q457">
        <v>0</v>
      </c>
      <c r="R457">
        <v>0</v>
      </c>
      <c r="S457">
        <v>0.19</v>
      </c>
      <c r="X457" t="s">
        <v>710</v>
      </c>
      <c r="Z457" s="38">
        <v>46173</v>
      </c>
      <c r="AF457" t="s">
        <v>447</v>
      </c>
    </row>
    <row r="458" spans="1:33" x14ac:dyDescent="0.25">
      <c r="A458" t="s">
        <v>717</v>
      </c>
      <c r="B458" t="s">
        <v>171</v>
      </c>
      <c r="C458" t="s">
        <v>167</v>
      </c>
      <c r="D458" t="s">
        <v>168</v>
      </c>
      <c r="E458" t="s">
        <v>170</v>
      </c>
      <c r="F458" t="s">
        <v>425</v>
      </c>
      <c r="G458" t="s">
        <v>169</v>
      </c>
      <c r="H458" t="s">
        <v>712</v>
      </c>
      <c r="I458" t="s">
        <v>708</v>
      </c>
      <c r="J458" t="s">
        <v>172</v>
      </c>
      <c r="K458" t="s">
        <v>499</v>
      </c>
      <c r="L458" s="38">
        <v>46191</v>
      </c>
      <c r="M458">
        <v>1</v>
      </c>
      <c r="N458" t="s">
        <v>428</v>
      </c>
      <c r="O458">
        <v>0</v>
      </c>
      <c r="P458">
        <v>-0.24</v>
      </c>
      <c r="Q458">
        <v>0</v>
      </c>
      <c r="R458">
        <v>0</v>
      </c>
      <c r="S458">
        <v>-0.24</v>
      </c>
      <c r="V458" t="s">
        <v>472</v>
      </c>
      <c r="W458" t="s">
        <v>178</v>
      </c>
      <c r="X458" t="s">
        <v>710</v>
      </c>
      <c r="Z458" s="38">
        <v>46112</v>
      </c>
      <c r="AG458" t="s">
        <v>447</v>
      </c>
    </row>
    <row r="459" spans="1:33" x14ac:dyDescent="0.25">
      <c r="A459" t="s">
        <v>717</v>
      </c>
      <c r="B459" t="s">
        <v>876</v>
      </c>
      <c r="C459" t="s">
        <v>167</v>
      </c>
      <c r="D459" t="s">
        <v>168</v>
      </c>
      <c r="E459" t="s">
        <v>170</v>
      </c>
      <c r="F459" t="s">
        <v>425</v>
      </c>
      <c r="G459" t="s">
        <v>169</v>
      </c>
      <c r="H459" t="s">
        <v>712</v>
      </c>
      <c r="I459" t="s">
        <v>708</v>
      </c>
      <c r="J459" t="s">
        <v>172</v>
      </c>
      <c r="K459" t="s">
        <v>499</v>
      </c>
      <c r="L459" s="38">
        <v>46191</v>
      </c>
      <c r="M459">
        <v>1</v>
      </c>
      <c r="N459" t="s">
        <v>428</v>
      </c>
      <c r="O459">
        <v>0</v>
      </c>
      <c r="P459">
        <v>0</v>
      </c>
      <c r="Q459">
        <v>0</v>
      </c>
      <c r="R459">
        <v>0</v>
      </c>
      <c r="S459">
        <v>0</v>
      </c>
      <c r="V459" t="s">
        <v>472</v>
      </c>
      <c r="W459" t="s">
        <v>178</v>
      </c>
      <c r="X459" t="s">
        <v>710</v>
      </c>
      <c r="Z459" s="38">
        <v>46112</v>
      </c>
      <c r="AG459" t="s">
        <v>447</v>
      </c>
    </row>
    <row r="460" spans="1:33" x14ac:dyDescent="0.25">
      <c r="A460" t="s">
        <v>717</v>
      </c>
      <c r="B460" t="s">
        <v>325</v>
      </c>
      <c r="C460" t="s">
        <v>167</v>
      </c>
      <c r="D460" t="s">
        <v>168</v>
      </c>
      <c r="E460" t="s">
        <v>170</v>
      </c>
      <c r="F460" t="s">
        <v>425</v>
      </c>
      <c r="G460" t="s">
        <v>169</v>
      </c>
      <c r="H460" t="s">
        <v>712</v>
      </c>
      <c r="I460" t="s">
        <v>708</v>
      </c>
      <c r="J460" t="s">
        <v>172</v>
      </c>
      <c r="K460" t="s">
        <v>499</v>
      </c>
      <c r="L460" s="38">
        <v>46191</v>
      </c>
      <c r="M460">
        <v>1</v>
      </c>
      <c r="N460" t="s">
        <v>428</v>
      </c>
      <c r="O460">
        <v>0</v>
      </c>
      <c r="P460">
        <v>-0.21</v>
      </c>
      <c r="Q460">
        <v>0</v>
      </c>
      <c r="R460">
        <v>0</v>
      </c>
      <c r="S460">
        <v>-0.21</v>
      </c>
      <c r="V460" t="s">
        <v>472</v>
      </c>
      <c r="W460" t="s">
        <v>178</v>
      </c>
      <c r="X460" t="s">
        <v>710</v>
      </c>
      <c r="Z460" s="38">
        <v>46203</v>
      </c>
      <c r="AG460" t="s">
        <v>447</v>
      </c>
    </row>
    <row r="461" spans="1:33" x14ac:dyDescent="0.25">
      <c r="L461" s="38"/>
      <c r="Z461" s="38"/>
    </row>
    <row r="462" spans="1:33" x14ac:dyDescent="0.25">
      <c r="L462" s="38"/>
      <c r="Z462" s="38"/>
    </row>
    <row r="463" spans="1:33" x14ac:dyDescent="0.25">
      <c r="L463" s="38"/>
      <c r="Z463" s="38"/>
    </row>
    <row r="464" spans="1:33" x14ac:dyDescent="0.25">
      <c r="L464" s="38"/>
      <c r="Z464" s="38"/>
    </row>
    <row r="465" spans="12:26" x14ac:dyDescent="0.25">
      <c r="L465" s="38"/>
      <c r="Z465" s="38"/>
    </row>
    <row r="466" spans="12:26" x14ac:dyDescent="0.25">
      <c r="L466" s="38"/>
      <c r="Z466" s="38"/>
    </row>
    <row r="467" spans="12:26" x14ac:dyDescent="0.25">
      <c r="L467" s="38"/>
      <c r="Z467" s="38"/>
    </row>
    <row r="468" spans="12:26" x14ac:dyDescent="0.25">
      <c r="L468" s="38"/>
      <c r="Z468" s="38"/>
    </row>
    <row r="469" spans="12:26" x14ac:dyDescent="0.25">
      <c r="L469" s="38"/>
      <c r="Z469" s="38"/>
    </row>
    <row r="470" spans="12:26" x14ac:dyDescent="0.25">
      <c r="L470" s="38"/>
      <c r="Z470" s="38"/>
    </row>
    <row r="471" spans="12:26" x14ac:dyDescent="0.25">
      <c r="L471" s="38"/>
      <c r="Z471" s="38"/>
    </row>
    <row r="472" spans="12:26" x14ac:dyDescent="0.25">
      <c r="L472" s="38"/>
      <c r="Z472" s="38"/>
    </row>
    <row r="473" spans="12:26" x14ac:dyDescent="0.25">
      <c r="L473" s="38"/>
      <c r="Z473" s="38"/>
    </row>
    <row r="474" spans="12:26" x14ac:dyDescent="0.25">
      <c r="L474" s="38"/>
      <c r="Z474" s="38"/>
    </row>
    <row r="475" spans="12:26" x14ac:dyDescent="0.25">
      <c r="L475" s="38"/>
      <c r="Z475" s="38"/>
    </row>
    <row r="476" spans="12:26" x14ac:dyDescent="0.25">
      <c r="L476" s="38"/>
      <c r="Z476" s="38"/>
    </row>
    <row r="477" spans="12:26" x14ac:dyDescent="0.25">
      <c r="L477" s="38"/>
      <c r="Z477" s="38"/>
    </row>
    <row r="478" spans="12:26" x14ac:dyDescent="0.25">
      <c r="L478" s="38"/>
      <c r="Z478" s="38"/>
    </row>
    <row r="479" spans="12:26" x14ac:dyDescent="0.25">
      <c r="L479" s="38"/>
      <c r="Z479" s="38"/>
    </row>
    <row r="480" spans="12:26" x14ac:dyDescent="0.25">
      <c r="L480" s="38"/>
      <c r="Z480" s="38"/>
    </row>
    <row r="481" spans="12:26" x14ac:dyDescent="0.25">
      <c r="L481" s="38"/>
      <c r="Z481" s="38"/>
    </row>
    <row r="482" spans="12:26" x14ac:dyDescent="0.25">
      <c r="L482" s="38"/>
      <c r="Z482" s="38"/>
    </row>
    <row r="483" spans="12:26" x14ac:dyDescent="0.25">
      <c r="L483" s="38"/>
      <c r="Z483" s="38"/>
    </row>
    <row r="484" spans="12:26" x14ac:dyDescent="0.25">
      <c r="L484" s="38"/>
      <c r="Z484" s="38"/>
    </row>
    <row r="485" spans="12:26" x14ac:dyDescent="0.25">
      <c r="L485" s="38"/>
      <c r="Z485" s="38"/>
    </row>
    <row r="486" spans="12:26" x14ac:dyDescent="0.25">
      <c r="L486" s="38"/>
      <c r="Z486" s="38"/>
    </row>
    <row r="487" spans="12:26" x14ac:dyDescent="0.25">
      <c r="L487" s="38"/>
      <c r="Z487" s="38"/>
    </row>
    <row r="488" spans="12:26" x14ac:dyDescent="0.25">
      <c r="L488" s="38"/>
      <c r="Z488" s="38"/>
    </row>
    <row r="489" spans="12:26" x14ac:dyDescent="0.25">
      <c r="L489" s="38"/>
      <c r="Z489" s="38"/>
    </row>
    <row r="490" spans="12:26" x14ac:dyDescent="0.25">
      <c r="L490" s="38"/>
      <c r="Z490" s="38"/>
    </row>
    <row r="491" spans="12:26" x14ac:dyDescent="0.25">
      <c r="L491" s="38"/>
      <c r="Z491" s="38"/>
    </row>
    <row r="492" spans="12:26" x14ac:dyDescent="0.25">
      <c r="L492" s="38"/>
      <c r="Z492" s="38"/>
    </row>
    <row r="493" spans="12:26" x14ac:dyDescent="0.25">
      <c r="L493" s="38"/>
      <c r="Z493" s="38"/>
    </row>
    <row r="494" spans="12:26" x14ac:dyDescent="0.25">
      <c r="L494" s="38"/>
      <c r="Z494" s="38"/>
    </row>
    <row r="495" spans="12:26" x14ac:dyDescent="0.25">
      <c r="L495" s="38"/>
      <c r="Z495" s="38"/>
    </row>
    <row r="496" spans="12:26" x14ac:dyDescent="0.25">
      <c r="L496" s="38"/>
      <c r="Z496" s="38"/>
    </row>
    <row r="497" spans="12:26" x14ac:dyDescent="0.25">
      <c r="L497" s="38"/>
      <c r="Z497" s="38"/>
    </row>
    <row r="498" spans="12:26" x14ac:dyDescent="0.25">
      <c r="L498" s="38"/>
      <c r="Z498" s="38"/>
    </row>
    <row r="499" spans="12:26" x14ac:dyDescent="0.25">
      <c r="L499" s="38"/>
      <c r="Z499" s="38"/>
    </row>
    <row r="500" spans="12:26" x14ac:dyDescent="0.25">
      <c r="L500" s="38"/>
      <c r="Z500" s="38"/>
    </row>
    <row r="501" spans="12:26" x14ac:dyDescent="0.25">
      <c r="L501" s="38"/>
      <c r="Z501" s="38"/>
    </row>
    <row r="502" spans="12:26" x14ac:dyDescent="0.25">
      <c r="L502" s="38"/>
      <c r="Z502" s="38"/>
    </row>
    <row r="503" spans="12:26" x14ac:dyDescent="0.25">
      <c r="L503" s="38"/>
      <c r="Z503" s="38"/>
    </row>
    <row r="504" spans="12:26" x14ac:dyDescent="0.25">
      <c r="L504" s="38"/>
      <c r="Z504" s="38"/>
    </row>
    <row r="505" spans="12:26" x14ac:dyDescent="0.25">
      <c r="L505" s="38"/>
      <c r="Z505" s="38"/>
    </row>
    <row r="506" spans="12:26" x14ac:dyDescent="0.25">
      <c r="L506" s="38"/>
      <c r="Z506" s="38"/>
    </row>
    <row r="507" spans="12:26" x14ac:dyDescent="0.25">
      <c r="L507" s="38"/>
      <c r="Z507" s="38"/>
    </row>
    <row r="508" spans="12:26" x14ac:dyDescent="0.25">
      <c r="L508" s="38"/>
      <c r="Z508" s="38"/>
    </row>
    <row r="509" spans="12:26" x14ac:dyDescent="0.25">
      <c r="L509" s="38"/>
      <c r="Z509" s="38"/>
    </row>
    <row r="510" spans="12:26" x14ac:dyDescent="0.25">
      <c r="L510" s="38"/>
      <c r="Z510" s="38"/>
    </row>
    <row r="511" spans="12:26" x14ac:dyDescent="0.25">
      <c r="L511" s="38"/>
      <c r="Z511" s="38"/>
    </row>
    <row r="512" spans="12:26" x14ac:dyDescent="0.25">
      <c r="L512" s="38"/>
      <c r="Z512" s="38"/>
    </row>
    <row r="513" spans="12:26" x14ac:dyDescent="0.25">
      <c r="L513" s="38"/>
      <c r="Z513" s="38"/>
    </row>
    <row r="514" spans="12:26" x14ac:dyDescent="0.25">
      <c r="L514" s="38"/>
      <c r="Z514" s="38"/>
    </row>
    <row r="515" spans="12:26" x14ac:dyDescent="0.25">
      <c r="L515" s="38"/>
      <c r="Z515" s="38"/>
    </row>
    <row r="516" spans="12:26" x14ac:dyDescent="0.25">
      <c r="L516" s="38"/>
      <c r="Z516" s="38"/>
    </row>
    <row r="517" spans="12:26" x14ac:dyDescent="0.25">
      <c r="L517" s="38"/>
      <c r="Z517" s="38"/>
    </row>
    <row r="518" spans="12:26" x14ac:dyDescent="0.25">
      <c r="L518" s="38"/>
      <c r="Z518" s="38"/>
    </row>
    <row r="519" spans="12:26" x14ac:dyDescent="0.25">
      <c r="L519" s="38"/>
      <c r="Z519" s="38"/>
    </row>
    <row r="520" spans="12:26" x14ac:dyDescent="0.25">
      <c r="L520" s="38"/>
      <c r="Z520" s="38"/>
    </row>
    <row r="521" spans="12:26" x14ac:dyDescent="0.25">
      <c r="L521" s="38"/>
      <c r="Z521" s="38"/>
    </row>
    <row r="522" spans="12:26" x14ac:dyDescent="0.25">
      <c r="L522" s="38"/>
      <c r="Z522" s="38"/>
    </row>
    <row r="523" spans="12:26" x14ac:dyDescent="0.25">
      <c r="L523" s="38"/>
      <c r="Z523" s="38"/>
    </row>
    <row r="524" spans="12:26" x14ac:dyDescent="0.25">
      <c r="L524" s="38"/>
      <c r="Z524" s="38"/>
    </row>
    <row r="525" spans="12:26" x14ac:dyDescent="0.25">
      <c r="L525" s="38"/>
      <c r="Z525" s="38"/>
    </row>
    <row r="526" spans="12:26" x14ac:dyDescent="0.25">
      <c r="L526" s="38"/>
      <c r="Z526" s="38"/>
    </row>
    <row r="527" spans="12:26" x14ac:dyDescent="0.25">
      <c r="L527" s="38"/>
      <c r="Z527" s="38"/>
    </row>
    <row r="528" spans="12:26" x14ac:dyDescent="0.25">
      <c r="L528" s="38"/>
      <c r="Z528" s="38"/>
    </row>
    <row r="529" spans="12:26" x14ac:dyDescent="0.25">
      <c r="L529" s="38"/>
      <c r="Z529" s="38"/>
    </row>
    <row r="530" spans="12:26" x14ac:dyDescent="0.25">
      <c r="L530" s="38"/>
      <c r="Z530" s="38"/>
    </row>
    <row r="531" spans="12:26" x14ac:dyDescent="0.25">
      <c r="L531" s="38"/>
      <c r="Z531" s="38"/>
    </row>
    <row r="532" spans="12:26" x14ac:dyDescent="0.25">
      <c r="L532" s="38"/>
      <c r="Z532" s="38"/>
    </row>
    <row r="533" spans="12:26" x14ac:dyDescent="0.25">
      <c r="L533" s="38"/>
      <c r="Z533" s="38"/>
    </row>
    <row r="534" spans="12:26" x14ac:dyDescent="0.25">
      <c r="L534" s="38"/>
      <c r="Z534" s="38"/>
    </row>
    <row r="535" spans="12:26" x14ac:dyDescent="0.25">
      <c r="L535" s="38"/>
      <c r="Z535" s="38"/>
    </row>
    <row r="536" spans="12:26" x14ac:dyDescent="0.25">
      <c r="L536" s="38"/>
      <c r="Z536" s="38"/>
    </row>
    <row r="537" spans="12:26" x14ac:dyDescent="0.25">
      <c r="L537" s="38"/>
      <c r="Z537" s="38"/>
    </row>
    <row r="538" spans="12:26" x14ac:dyDescent="0.25">
      <c r="L538" s="38"/>
      <c r="Z538" s="38"/>
    </row>
    <row r="539" spans="12:26" x14ac:dyDescent="0.25">
      <c r="L539" s="38"/>
      <c r="Z539" s="38"/>
    </row>
    <row r="540" spans="12:26" x14ac:dyDescent="0.25">
      <c r="L540" s="38"/>
      <c r="Z540" s="38"/>
    </row>
    <row r="541" spans="12:26" x14ac:dyDescent="0.25">
      <c r="L541" s="38"/>
      <c r="Z541" s="38"/>
    </row>
    <row r="542" spans="12:26" x14ac:dyDescent="0.25">
      <c r="L542" s="38"/>
      <c r="Z542" s="38"/>
    </row>
    <row r="543" spans="12:26" x14ac:dyDescent="0.25">
      <c r="L543" s="38"/>
      <c r="Z543" s="38"/>
    </row>
    <row r="544" spans="12:26" x14ac:dyDescent="0.25">
      <c r="L544" s="38"/>
      <c r="Z544" s="38"/>
    </row>
    <row r="545" spans="12:26" x14ac:dyDescent="0.25">
      <c r="L545" s="38"/>
      <c r="Z545" s="38"/>
    </row>
    <row r="546" spans="12:26" x14ac:dyDescent="0.25">
      <c r="L546" s="38"/>
      <c r="Z546" s="38"/>
    </row>
    <row r="547" spans="12:26" x14ac:dyDescent="0.25">
      <c r="L547" s="38"/>
      <c r="Z547" s="38"/>
    </row>
    <row r="548" spans="12:26" x14ac:dyDescent="0.25">
      <c r="L548" s="38"/>
      <c r="Z548" s="38"/>
    </row>
    <row r="549" spans="12:26" x14ac:dyDescent="0.25">
      <c r="L549" s="38"/>
      <c r="Z549" s="38"/>
    </row>
    <row r="550" spans="12:26" x14ac:dyDescent="0.25">
      <c r="L550" s="38"/>
      <c r="Z550" s="38"/>
    </row>
    <row r="551" spans="12:26" x14ac:dyDescent="0.25">
      <c r="L551" s="38"/>
      <c r="Z551" s="38"/>
    </row>
    <row r="552" spans="12:26" x14ac:dyDescent="0.25">
      <c r="L552" s="38"/>
      <c r="Z552" s="38"/>
    </row>
    <row r="553" spans="12:26" x14ac:dyDescent="0.25">
      <c r="L553" s="38"/>
      <c r="Z553" s="38"/>
    </row>
    <row r="554" spans="12:26" x14ac:dyDescent="0.25">
      <c r="L554" s="38"/>
      <c r="Z554" s="38"/>
    </row>
    <row r="555" spans="12:26" x14ac:dyDescent="0.25">
      <c r="L555" s="38"/>
      <c r="Z555" s="38"/>
    </row>
    <row r="556" spans="12:26" x14ac:dyDescent="0.25">
      <c r="L556" s="38"/>
      <c r="Z556" s="38"/>
    </row>
    <row r="557" spans="12:26" x14ac:dyDescent="0.25">
      <c r="L557" s="38"/>
      <c r="Z557" s="38"/>
    </row>
    <row r="558" spans="12:26" x14ac:dyDescent="0.25">
      <c r="L558" s="38"/>
      <c r="Z558" s="38"/>
    </row>
    <row r="559" spans="12:26" x14ac:dyDescent="0.25">
      <c r="L559" s="38"/>
      <c r="Z559" s="38"/>
    </row>
    <row r="560" spans="12:26" x14ac:dyDescent="0.25">
      <c r="L560" s="38"/>
      <c r="Z560" s="38"/>
    </row>
    <row r="561" spans="12:26" x14ac:dyDescent="0.25">
      <c r="L561" s="38"/>
      <c r="Z561" s="38"/>
    </row>
    <row r="562" spans="12:26" x14ac:dyDescent="0.25">
      <c r="L562" s="38"/>
      <c r="Z562" s="38"/>
    </row>
    <row r="563" spans="12:26" x14ac:dyDescent="0.25">
      <c r="L563" s="38"/>
      <c r="Z563" s="38"/>
    </row>
    <row r="564" spans="12:26" x14ac:dyDescent="0.25">
      <c r="L564" s="38"/>
      <c r="Z564" s="38"/>
    </row>
    <row r="565" spans="12:26" x14ac:dyDescent="0.25">
      <c r="L565" s="38"/>
      <c r="Z565" s="38"/>
    </row>
    <row r="566" spans="12:26" x14ac:dyDescent="0.25">
      <c r="L566" s="38"/>
      <c r="Z566" s="38"/>
    </row>
    <row r="567" spans="12:26" x14ac:dyDescent="0.25">
      <c r="L567" s="38"/>
      <c r="Z567" s="38"/>
    </row>
    <row r="568" spans="12:26" x14ac:dyDescent="0.25">
      <c r="L568" s="38"/>
      <c r="Z568" s="38"/>
    </row>
    <row r="569" spans="12:26" x14ac:dyDescent="0.25">
      <c r="L569" s="38"/>
      <c r="Z569" s="38"/>
    </row>
    <row r="570" spans="12:26" x14ac:dyDescent="0.25">
      <c r="L570" s="38"/>
      <c r="Z570" s="38"/>
    </row>
    <row r="571" spans="12:26" x14ac:dyDescent="0.25">
      <c r="L571" s="38"/>
      <c r="Z571" s="38"/>
    </row>
    <row r="572" spans="12:26" x14ac:dyDescent="0.25">
      <c r="L572" s="38"/>
      <c r="Z572" s="38"/>
    </row>
    <row r="573" spans="12:26" x14ac:dyDescent="0.25">
      <c r="L573" s="38"/>
      <c r="Z573" s="38"/>
    </row>
    <row r="574" spans="12:26" x14ac:dyDescent="0.25">
      <c r="L574" s="38"/>
      <c r="Z574" s="38"/>
    </row>
    <row r="575" spans="12:26" x14ac:dyDescent="0.25">
      <c r="L575" s="38"/>
      <c r="Z575" s="38"/>
    </row>
    <row r="576" spans="12:26" x14ac:dyDescent="0.25">
      <c r="L576" s="38"/>
      <c r="Z576" s="38"/>
    </row>
    <row r="577" spans="12:26" x14ac:dyDescent="0.25">
      <c r="L577" s="38"/>
      <c r="Z577" s="38"/>
    </row>
    <row r="578" spans="12:26" x14ac:dyDescent="0.25">
      <c r="L578" s="38"/>
      <c r="Z578" s="38"/>
    </row>
    <row r="579" spans="12:26" x14ac:dyDescent="0.25">
      <c r="L579" s="38"/>
      <c r="Z579" s="38"/>
    </row>
    <row r="580" spans="12:26" x14ac:dyDescent="0.25">
      <c r="L580" s="38"/>
      <c r="Z580" s="38"/>
    </row>
    <row r="581" spans="12:26" x14ac:dyDescent="0.25">
      <c r="L581" s="38"/>
      <c r="Z581" s="38"/>
    </row>
    <row r="582" spans="12:26" x14ac:dyDescent="0.25">
      <c r="L582" s="38"/>
      <c r="Z582" s="38"/>
    </row>
    <row r="583" spans="12:26" x14ac:dyDescent="0.25">
      <c r="L583" s="38"/>
      <c r="Z583" s="38"/>
    </row>
    <row r="584" spans="12:26" x14ac:dyDescent="0.25">
      <c r="L584" s="38"/>
      <c r="Z584" s="38"/>
    </row>
    <row r="585" spans="12:26" x14ac:dyDescent="0.25">
      <c r="L585" s="38"/>
      <c r="Z585" s="38"/>
    </row>
    <row r="586" spans="12:26" x14ac:dyDescent="0.25">
      <c r="L586" s="38"/>
      <c r="Z586" s="38"/>
    </row>
    <row r="587" spans="12:26" x14ac:dyDescent="0.25">
      <c r="L587" s="38"/>
      <c r="Z587" s="38"/>
    </row>
    <row r="588" spans="12:26" x14ac:dyDescent="0.25">
      <c r="L588" s="38"/>
      <c r="Z588" s="38"/>
    </row>
    <row r="589" spans="12:26" x14ac:dyDescent="0.25">
      <c r="L589" s="38"/>
      <c r="Z589" s="38"/>
    </row>
    <row r="590" spans="12:26" x14ac:dyDescent="0.25">
      <c r="L590" s="38"/>
      <c r="Z590" s="38"/>
    </row>
    <row r="591" spans="12:26" x14ac:dyDescent="0.25">
      <c r="L591" s="38"/>
      <c r="Z591" s="38"/>
    </row>
    <row r="592" spans="12:26" x14ac:dyDescent="0.25">
      <c r="L592" s="38"/>
      <c r="Z592" s="38"/>
    </row>
    <row r="593" spans="12:26" x14ac:dyDescent="0.25">
      <c r="L593" s="38"/>
      <c r="Z593" s="38"/>
    </row>
    <row r="594" spans="12:26" x14ac:dyDescent="0.25">
      <c r="L594" s="38"/>
      <c r="Z594" s="38"/>
    </row>
    <row r="595" spans="12:26" x14ac:dyDescent="0.25">
      <c r="L595" s="38"/>
      <c r="Z595" s="38"/>
    </row>
    <row r="596" spans="12:26" x14ac:dyDescent="0.25">
      <c r="L596" s="38"/>
      <c r="Z596" s="38"/>
    </row>
    <row r="597" spans="12:26" x14ac:dyDescent="0.25">
      <c r="L597" s="38"/>
      <c r="Z597" s="38"/>
    </row>
    <row r="598" spans="12:26" x14ac:dyDescent="0.25">
      <c r="L598" s="38"/>
      <c r="Z598" s="38"/>
    </row>
    <row r="599" spans="12:26" x14ac:dyDescent="0.25">
      <c r="L599" s="38"/>
      <c r="Z599" s="38"/>
    </row>
    <row r="600" spans="12:26" x14ac:dyDescent="0.25">
      <c r="L600" s="38"/>
      <c r="Z600" s="38"/>
    </row>
    <row r="601" spans="12:26" x14ac:dyDescent="0.25">
      <c r="L601" s="38"/>
      <c r="Z601" s="38"/>
    </row>
    <row r="602" spans="12:26" x14ac:dyDescent="0.25">
      <c r="L602" s="38"/>
      <c r="Z602" s="38"/>
    </row>
    <row r="603" spans="12:26" x14ac:dyDescent="0.25">
      <c r="L603" s="38"/>
      <c r="Z603" s="38"/>
    </row>
    <row r="604" spans="12:26" x14ac:dyDescent="0.25">
      <c r="L604" s="38"/>
      <c r="Z604" s="38"/>
    </row>
    <row r="605" spans="12:26" x14ac:dyDescent="0.25">
      <c r="L605" s="38"/>
      <c r="Z605" s="38"/>
    </row>
    <row r="606" spans="12:26" x14ac:dyDescent="0.25">
      <c r="L606" s="38"/>
      <c r="Z606" s="38"/>
    </row>
    <row r="607" spans="12:26" x14ac:dyDescent="0.25">
      <c r="L607" s="38"/>
      <c r="Z607" s="38"/>
    </row>
    <row r="608" spans="12:26" x14ac:dyDescent="0.25">
      <c r="L608" s="38"/>
      <c r="Z608" s="38"/>
    </row>
    <row r="609" spans="12:26" x14ac:dyDescent="0.25">
      <c r="L609" s="38"/>
      <c r="Z609" s="38"/>
    </row>
    <row r="610" spans="12:26" x14ac:dyDescent="0.25">
      <c r="L610" s="38"/>
      <c r="Z610" s="38"/>
    </row>
    <row r="611" spans="12:26" x14ac:dyDescent="0.25">
      <c r="L611" s="38"/>
      <c r="Z611" s="38"/>
    </row>
    <row r="612" spans="12:26" x14ac:dyDescent="0.25">
      <c r="L612" s="38"/>
      <c r="Z612" s="38"/>
    </row>
    <row r="613" spans="12:26" x14ac:dyDescent="0.25">
      <c r="L613" s="38"/>
      <c r="Z613" s="38"/>
    </row>
    <row r="614" spans="12:26" x14ac:dyDescent="0.25">
      <c r="L614" s="38"/>
      <c r="Z614" s="38"/>
    </row>
    <row r="615" spans="12:26" x14ac:dyDescent="0.25">
      <c r="L615" s="38"/>
      <c r="Z615" s="38"/>
    </row>
    <row r="616" spans="12:26" x14ac:dyDescent="0.25">
      <c r="L616" s="38"/>
      <c r="Z616" s="38"/>
    </row>
    <row r="617" spans="12:26" x14ac:dyDescent="0.25">
      <c r="L617" s="38"/>
      <c r="Z617" s="38"/>
    </row>
    <row r="618" spans="12:26" x14ac:dyDescent="0.25">
      <c r="L618" s="38"/>
      <c r="Z618" s="38"/>
    </row>
    <row r="619" spans="12:26" x14ac:dyDescent="0.25">
      <c r="L619" s="38"/>
      <c r="Z619" s="38"/>
    </row>
    <row r="620" spans="12:26" x14ac:dyDescent="0.25">
      <c r="L620" s="38"/>
      <c r="Z620" s="38"/>
    </row>
    <row r="621" spans="12:26" x14ac:dyDescent="0.25">
      <c r="L621" s="38"/>
      <c r="Z621" s="38"/>
    </row>
    <row r="622" spans="12:26" x14ac:dyDescent="0.25">
      <c r="L622" s="38"/>
      <c r="Z622" s="38"/>
    </row>
    <row r="623" spans="12:26" x14ac:dyDescent="0.25">
      <c r="L623" s="38"/>
      <c r="Z623" s="38"/>
    </row>
    <row r="624" spans="12:26" x14ac:dyDescent="0.25">
      <c r="L624" s="38"/>
      <c r="Z624" s="38"/>
    </row>
    <row r="625" spans="12:26" x14ac:dyDescent="0.25">
      <c r="L625" s="38"/>
      <c r="Z625" s="38"/>
    </row>
    <row r="626" spans="12:26" x14ac:dyDescent="0.25">
      <c r="L626" s="38"/>
      <c r="Z626" s="38"/>
    </row>
    <row r="627" spans="12:26" x14ac:dyDescent="0.25">
      <c r="L627" s="38"/>
      <c r="Z627" s="38"/>
    </row>
    <row r="628" spans="12:26" x14ac:dyDescent="0.25">
      <c r="L628" s="38"/>
      <c r="Z628" s="38"/>
    </row>
    <row r="629" spans="12:26" x14ac:dyDescent="0.25">
      <c r="L629" s="38"/>
      <c r="Z629" s="38"/>
    </row>
    <row r="630" spans="12:26" x14ac:dyDescent="0.25">
      <c r="L630" s="38"/>
      <c r="Z630" s="38"/>
    </row>
    <row r="631" spans="12:26" x14ac:dyDescent="0.25">
      <c r="L631" s="38"/>
      <c r="Z631" s="38"/>
    </row>
    <row r="632" spans="12:26" x14ac:dyDescent="0.25">
      <c r="L632" s="38"/>
      <c r="Z632" s="38"/>
    </row>
    <row r="633" spans="12:26" x14ac:dyDescent="0.25">
      <c r="L633" s="38"/>
      <c r="Z633" s="38"/>
    </row>
    <row r="634" spans="12:26" x14ac:dyDescent="0.25">
      <c r="L634" s="38"/>
      <c r="Z634" s="38"/>
    </row>
    <row r="635" spans="12:26" x14ac:dyDescent="0.25">
      <c r="L635" s="38"/>
      <c r="Z635" s="38"/>
    </row>
    <row r="636" spans="12:26" x14ac:dyDescent="0.25">
      <c r="L636" s="38"/>
      <c r="Z636" s="38"/>
    </row>
    <row r="637" spans="12:26" x14ac:dyDescent="0.25">
      <c r="L637" s="38"/>
      <c r="Z637" s="38"/>
    </row>
    <row r="638" spans="12:26" x14ac:dyDescent="0.25">
      <c r="L638" s="38"/>
      <c r="Z638" s="38"/>
    </row>
    <row r="639" spans="12:26" x14ac:dyDescent="0.25">
      <c r="L639" s="38"/>
      <c r="Z639" s="38"/>
    </row>
    <row r="640" spans="12:26" x14ac:dyDescent="0.25">
      <c r="L640" s="38"/>
      <c r="Z640" s="38"/>
    </row>
    <row r="641" spans="12:26" x14ac:dyDescent="0.25">
      <c r="L641" s="38"/>
      <c r="Z641" s="38"/>
    </row>
    <row r="642" spans="12:26" x14ac:dyDescent="0.25">
      <c r="L642" s="38"/>
      <c r="Z642" s="38"/>
    </row>
    <row r="643" spans="12:26" x14ac:dyDescent="0.25">
      <c r="L643" s="38"/>
      <c r="Z643" s="38"/>
    </row>
    <row r="644" spans="12:26" x14ac:dyDescent="0.25">
      <c r="L644" s="38"/>
      <c r="Z644" s="38"/>
    </row>
    <row r="645" spans="12:26" x14ac:dyDescent="0.25">
      <c r="L645" s="38"/>
      <c r="Z645" s="38"/>
    </row>
    <row r="646" spans="12:26" x14ac:dyDescent="0.25">
      <c r="L646" s="38"/>
      <c r="Z646" s="38"/>
    </row>
    <row r="647" spans="12:26" x14ac:dyDescent="0.25">
      <c r="L647" s="38"/>
      <c r="Z647" s="38"/>
    </row>
    <row r="648" spans="12:26" x14ac:dyDescent="0.25">
      <c r="L648" s="38"/>
      <c r="Z648" s="38"/>
    </row>
    <row r="649" spans="12:26" x14ac:dyDescent="0.25">
      <c r="L649" s="38"/>
      <c r="Z649" s="38"/>
    </row>
    <row r="650" spans="12:26" x14ac:dyDescent="0.25">
      <c r="L650" s="38"/>
      <c r="Z650" s="38"/>
    </row>
    <row r="651" spans="12:26" x14ac:dyDescent="0.25">
      <c r="L651" s="38"/>
      <c r="Z651" s="38"/>
    </row>
    <row r="652" spans="12:26" x14ac:dyDescent="0.25">
      <c r="L652" s="38"/>
      <c r="Z652" s="38"/>
    </row>
    <row r="653" spans="12:26" x14ac:dyDescent="0.25">
      <c r="L653" s="38"/>
      <c r="Z653" s="38"/>
    </row>
    <row r="654" spans="12:26" x14ac:dyDescent="0.25">
      <c r="L654" s="38"/>
      <c r="Z654" s="38"/>
    </row>
    <row r="655" spans="12:26" x14ac:dyDescent="0.25">
      <c r="L655" s="38"/>
      <c r="Z655" s="38"/>
    </row>
    <row r="656" spans="12:26" x14ac:dyDescent="0.25">
      <c r="L656" s="38"/>
      <c r="Z656" s="38"/>
    </row>
    <row r="657" spans="12:26" x14ac:dyDescent="0.25">
      <c r="L657" s="38"/>
      <c r="Z657" s="38"/>
    </row>
    <row r="658" spans="12:26" x14ac:dyDescent="0.25">
      <c r="L658" s="38"/>
      <c r="Z658" s="38"/>
    </row>
    <row r="659" spans="12:26" x14ac:dyDescent="0.25">
      <c r="L659" s="38"/>
      <c r="Z659" s="38"/>
    </row>
    <row r="660" spans="12:26" x14ac:dyDescent="0.25">
      <c r="L660" s="38"/>
      <c r="Z660" s="38"/>
    </row>
    <row r="661" spans="12:26" x14ac:dyDescent="0.25">
      <c r="L661" s="38"/>
      <c r="Z661" s="38"/>
    </row>
    <row r="662" spans="12:26" x14ac:dyDescent="0.25">
      <c r="L662" s="38"/>
      <c r="Z662" s="38"/>
    </row>
    <row r="663" spans="12:26" x14ac:dyDescent="0.25">
      <c r="L663" s="38"/>
      <c r="Z663" s="38"/>
    </row>
    <row r="664" spans="12:26" x14ac:dyDescent="0.25">
      <c r="L664" s="38"/>
      <c r="Z664" s="38"/>
    </row>
    <row r="665" spans="12:26" x14ac:dyDescent="0.25">
      <c r="L665" s="38"/>
      <c r="Z665" s="38"/>
    </row>
    <row r="666" spans="12:26" x14ac:dyDescent="0.25">
      <c r="L666" s="38"/>
      <c r="Z666" s="38"/>
    </row>
    <row r="667" spans="12:26" x14ac:dyDescent="0.25">
      <c r="L667" s="38"/>
      <c r="Z667" s="38"/>
    </row>
    <row r="668" spans="12:26" x14ac:dyDescent="0.25">
      <c r="L668" s="38"/>
      <c r="Z668" s="38"/>
    </row>
    <row r="669" spans="12:26" x14ac:dyDescent="0.25">
      <c r="L669" s="38"/>
      <c r="Z669" s="38"/>
    </row>
    <row r="670" spans="12:26" x14ac:dyDescent="0.25">
      <c r="L670" s="38"/>
      <c r="Z670" s="38"/>
    </row>
    <row r="671" spans="12:26" x14ac:dyDescent="0.25">
      <c r="L671" s="38"/>
      <c r="Z671" s="38"/>
    </row>
    <row r="672" spans="12:26" x14ac:dyDescent="0.25">
      <c r="L672" s="38"/>
      <c r="Z672" s="38"/>
    </row>
    <row r="673" spans="12:26" x14ac:dyDescent="0.25">
      <c r="L673" s="38"/>
      <c r="Z673" s="38"/>
    </row>
    <row r="674" spans="12:26" x14ac:dyDescent="0.25">
      <c r="L674" s="38"/>
      <c r="Z674" s="38"/>
    </row>
    <row r="675" spans="12:26" x14ac:dyDescent="0.25">
      <c r="L675" s="38"/>
      <c r="Z675" s="38"/>
    </row>
    <row r="676" spans="12:26" x14ac:dyDescent="0.25">
      <c r="L676" s="38"/>
      <c r="Z676" s="38"/>
    </row>
    <row r="677" spans="12:26" x14ac:dyDescent="0.25">
      <c r="L677" s="38"/>
      <c r="Z677" s="38"/>
    </row>
    <row r="678" spans="12:26" x14ac:dyDescent="0.25">
      <c r="L678" s="38"/>
      <c r="Z678" s="38"/>
    </row>
    <row r="679" spans="12:26" x14ac:dyDescent="0.25">
      <c r="L679" s="38"/>
      <c r="Z679" s="38"/>
    </row>
    <row r="680" spans="12:26" x14ac:dyDescent="0.25">
      <c r="L680" s="38"/>
      <c r="Z680" s="38"/>
    </row>
    <row r="681" spans="12:26" x14ac:dyDescent="0.25">
      <c r="L681" s="38"/>
      <c r="Z681" s="38"/>
    </row>
    <row r="682" spans="12:26" x14ac:dyDescent="0.25">
      <c r="L682" s="38"/>
      <c r="Z682" s="38"/>
    </row>
    <row r="683" spans="12:26" x14ac:dyDescent="0.25">
      <c r="L683" s="38"/>
      <c r="Z683" s="38"/>
    </row>
    <row r="684" spans="12:26" x14ac:dyDescent="0.25">
      <c r="L684" s="38"/>
      <c r="Z684" s="38"/>
    </row>
    <row r="685" spans="12:26" x14ac:dyDescent="0.25">
      <c r="L685" s="38"/>
      <c r="Z685" s="38"/>
    </row>
    <row r="686" spans="12:26" x14ac:dyDescent="0.25">
      <c r="L686" s="38"/>
      <c r="Z686" s="38"/>
    </row>
    <row r="687" spans="12:26" x14ac:dyDescent="0.25">
      <c r="L687" s="38"/>
      <c r="Z687" s="38"/>
    </row>
    <row r="688" spans="12:26" x14ac:dyDescent="0.25">
      <c r="L688" s="38"/>
      <c r="Z688" s="38"/>
    </row>
    <row r="689" spans="12:26" x14ac:dyDescent="0.25">
      <c r="L689" s="38"/>
      <c r="Z689" s="38"/>
    </row>
    <row r="690" spans="12:26" x14ac:dyDescent="0.25">
      <c r="L690" s="38"/>
      <c r="Z690" s="38"/>
    </row>
    <row r="691" spans="12:26" x14ac:dyDescent="0.25">
      <c r="L691" s="38"/>
      <c r="Z691" s="38"/>
    </row>
    <row r="692" spans="12:26" x14ac:dyDescent="0.25">
      <c r="L692" s="38"/>
      <c r="Z692" s="38"/>
    </row>
    <row r="693" spans="12:26" x14ac:dyDescent="0.25">
      <c r="L693" s="38"/>
      <c r="Z693" s="38"/>
    </row>
    <row r="694" spans="12:26" x14ac:dyDescent="0.25">
      <c r="L694" s="38"/>
      <c r="Z694" s="38"/>
    </row>
    <row r="695" spans="12:26" x14ac:dyDescent="0.25">
      <c r="L695" s="38"/>
      <c r="Z695" s="38"/>
    </row>
    <row r="696" spans="12:26" x14ac:dyDescent="0.25">
      <c r="L696" s="38"/>
      <c r="Z696" s="38"/>
    </row>
    <row r="697" spans="12:26" x14ac:dyDescent="0.25">
      <c r="L697" s="38"/>
      <c r="Z697" s="38"/>
    </row>
    <row r="698" spans="12:26" x14ac:dyDescent="0.25">
      <c r="L698" s="38"/>
      <c r="Z698" s="38"/>
    </row>
    <row r="699" spans="12:26" x14ac:dyDescent="0.25">
      <c r="L699" s="38"/>
      <c r="Z699" s="38"/>
    </row>
    <row r="700" spans="12:26" x14ac:dyDescent="0.25">
      <c r="L700" s="38"/>
      <c r="Z700" s="38"/>
    </row>
    <row r="701" spans="12:26" x14ac:dyDescent="0.25">
      <c r="L701" s="38"/>
      <c r="Z701" s="38"/>
    </row>
    <row r="702" spans="12:26" x14ac:dyDescent="0.25">
      <c r="L702" s="38"/>
      <c r="Z702" s="38"/>
    </row>
    <row r="703" spans="12:26" x14ac:dyDescent="0.25">
      <c r="L703" s="38"/>
      <c r="Z703" s="38"/>
    </row>
    <row r="704" spans="12:26" x14ac:dyDescent="0.25">
      <c r="L704" s="38"/>
      <c r="Z704" s="38"/>
    </row>
    <row r="705" spans="12:26" x14ac:dyDescent="0.25">
      <c r="L705" s="38"/>
      <c r="Z705" s="38"/>
    </row>
    <row r="706" spans="12:26" x14ac:dyDescent="0.25">
      <c r="L706" s="38"/>
      <c r="Z706" s="38"/>
    </row>
    <row r="707" spans="12:26" x14ac:dyDescent="0.25">
      <c r="L707" s="38"/>
      <c r="Z707" s="38"/>
    </row>
    <row r="708" spans="12:26" x14ac:dyDescent="0.25">
      <c r="L708" s="38"/>
      <c r="Z708" s="38"/>
    </row>
    <row r="709" spans="12:26" x14ac:dyDescent="0.25">
      <c r="L709" s="38"/>
      <c r="Z709" s="38"/>
    </row>
    <row r="710" spans="12:26" x14ac:dyDescent="0.25">
      <c r="L710" s="38"/>
      <c r="Z710" s="38"/>
    </row>
    <row r="711" spans="12:26" x14ac:dyDescent="0.25">
      <c r="L711" s="38"/>
      <c r="Z711" s="38"/>
    </row>
    <row r="712" spans="12:26" x14ac:dyDescent="0.25">
      <c r="L712" s="38"/>
      <c r="Z712" s="38"/>
    </row>
    <row r="713" spans="12:26" x14ac:dyDescent="0.25">
      <c r="L713" s="38"/>
      <c r="Z713" s="38"/>
    </row>
    <row r="714" spans="12:26" x14ac:dyDescent="0.25">
      <c r="L714" s="38"/>
      <c r="Z714" s="38"/>
    </row>
    <row r="715" spans="12:26" x14ac:dyDescent="0.25">
      <c r="L715" s="38"/>
      <c r="Z715" s="38"/>
    </row>
    <row r="716" spans="12:26" x14ac:dyDescent="0.25">
      <c r="L716" s="38"/>
      <c r="Z716" s="38"/>
    </row>
    <row r="717" spans="12:26" x14ac:dyDescent="0.25">
      <c r="L717" s="38"/>
      <c r="Z717" s="38"/>
    </row>
    <row r="718" spans="12:26" x14ac:dyDescent="0.25">
      <c r="L718" s="38"/>
      <c r="Z718" s="38"/>
    </row>
    <row r="719" spans="12:26" x14ac:dyDescent="0.25">
      <c r="L719" s="38"/>
      <c r="Z719" s="38"/>
    </row>
    <row r="720" spans="12:26" x14ac:dyDescent="0.25">
      <c r="L720" s="38"/>
      <c r="Z720" s="38"/>
    </row>
    <row r="721" spans="12:26" x14ac:dyDescent="0.25">
      <c r="L721" s="38"/>
      <c r="Z721" s="38"/>
    </row>
    <row r="722" spans="12:26" x14ac:dyDescent="0.25">
      <c r="L722" s="38"/>
      <c r="Z722" s="38"/>
    </row>
    <row r="723" spans="12:26" x14ac:dyDescent="0.25">
      <c r="L723" s="38"/>
      <c r="Z723" s="38"/>
    </row>
    <row r="724" spans="12:26" x14ac:dyDescent="0.25">
      <c r="L724" s="38"/>
      <c r="Z724" s="38"/>
    </row>
    <row r="725" spans="12:26" x14ac:dyDescent="0.25">
      <c r="L725" s="38"/>
      <c r="Z725" s="38"/>
    </row>
    <row r="726" spans="12:26" x14ac:dyDescent="0.25">
      <c r="L726" s="38"/>
      <c r="Z726" s="38"/>
    </row>
    <row r="727" spans="12:26" x14ac:dyDescent="0.25">
      <c r="L727" s="38"/>
      <c r="Z727" s="38"/>
    </row>
    <row r="728" spans="12:26" x14ac:dyDescent="0.25">
      <c r="L728" s="38"/>
      <c r="Z728" s="38"/>
    </row>
    <row r="729" spans="12:26" x14ac:dyDescent="0.25">
      <c r="L729" s="38"/>
      <c r="Z729" s="38"/>
    </row>
    <row r="730" spans="12:26" x14ac:dyDescent="0.25">
      <c r="L730" s="38"/>
      <c r="Z730" s="38"/>
    </row>
    <row r="731" spans="12:26" x14ac:dyDescent="0.25">
      <c r="L731" s="38"/>
      <c r="Z731" s="38"/>
    </row>
    <row r="732" spans="12:26" x14ac:dyDescent="0.25">
      <c r="L732" s="38"/>
      <c r="Z732" s="38"/>
    </row>
    <row r="733" spans="12:26" x14ac:dyDescent="0.25">
      <c r="L733" s="38"/>
      <c r="Z733" s="38"/>
    </row>
    <row r="734" spans="12:26" x14ac:dyDescent="0.25">
      <c r="L734" s="38"/>
      <c r="Z734" s="38"/>
    </row>
    <row r="735" spans="12:26" x14ac:dyDescent="0.25">
      <c r="L735" s="38"/>
      <c r="Z735" s="38"/>
    </row>
    <row r="736" spans="12:26" x14ac:dyDescent="0.25">
      <c r="L736" s="38"/>
      <c r="Z736" s="38"/>
    </row>
    <row r="737" spans="12:26" x14ac:dyDescent="0.25">
      <c r="L737" s="38"/>
      <c r="Z737" s="38"/>
    </row>
    <row r="738" spans="12:26" x14ac:dyDescent="0.25">
      <c r="L738" s="38"/>
      <c r="Z738" s="38"/>
    </row>
    <row r="739" spans="12:26" x14ac:dyDescent="0.25">
      <c r="L739" s="38"/>
      <c r="Z739" s="38"/>
    </row>
    <row r="740" spans="12:26" x14ac:dyDescent="0.25">
      <c r="L740" s="38"/>
      <c r="Z740" s="38"/>
    </row>
    <row r="741" spans="12:26" x14ac:dyDescent="0.25">
      <c r="L741" s="38"/>
      <c r="Z741" s="38"/>
    </row>
    <row r="742" spans="12:26" x14ac:dyDescent="0.25">
      <c r="L742" s="38"/>
      <c r="Z742" s="38"/>
    </row>
    <row r="743" spans="12:26" x14ac:dyDescent="0.25">
      <c r="L743" s="38"/>
      <c r="Z743" s="38"/>
    </row>
    <row r="744" spans="12:26" x14ac:dyDescent="0.25">
      <c r="L744" s="38"/>
      <c r="Z744" s="38"/>
    </row>
    <row r="745" spans="12:26" x14ac:dyDescent="0.25">
      <c r="L745" s="38"/>
      <c r="Z745" s="38"/>
    </row>
    <row r="746" spans="12:26" x14ac:dyDescent="0.25">
      <c r="L746" s="38"/>
      <c r="Z746" s="38"/>
    </row>
    <row r="747" spans="12:26" x14ac:dyDescent="0.25">
      <c r="L747" s="38"/>
      <c r="Z747" s="38"/>
    </row>
    <row r="748" spans="12:26" x14ac:dyDescent="0.25">
      <c r="L748" s="38"/>
      <c r="Z748" s="38"/>
    </row>
    <row r="749" spans="12:26" x14ac:dyDescent="0.25">
      <c r="L749" s="38"/>
      <c r="Z749" s="38"/>
    </row>
    <row r="750" spans="12:26" x14ac:dyDescent="0.25">
      <c r="L750" s="38"/>
      <c r="Z750" s="38"/>
    </row>
    <row r="751" spans="12:26" x14ac:dyDescent="0.25">
      <c r="L751" s="38"/>
      <c r="Z751" s="38"/>
    </row>
    <row r="752" spans="12:26" x14ac:dyDescent="0.25">
      <c r="L752" s="38"/>
      <c r="Z752" s="38"/>
    </row>
    <row r="753" spans="12:26" x14ac:dyDescent="0.25">
      <c r="L753" s="38"/>
      <c r="Z753" s="38"/>
    </row>
    <row r="754" spans="12:26" x14ac:dyDescent="0.25">
      <c r="L754" s="38"/>
      <c r="Z754" s="38"/>
    </row>
    <row r="755" spans="12:26" x14ac:dyDescent="0.25">
      <c r="L755" s="38"/>
      <c r="Z755" s="38"/>
    </row>
    <row r="756" spans="12:26" x14ac:dyDescent="0.25">
      <c r="L756" s="38"/>
      <c r="Z756" s="38"/>
    </row>
    <row r="757" spans="12:26" x14ac:dyDescent="0.25">
      <c r="L757" s="38"/>
      <c r="Z757" s="38"/>
    </row>
    <row r="758" spans="12:26" x14ac:dyDescent="0.25">
      <c r="L758" s="38"/>
      <c r="Z758" s="38"/>
    </row>
    <row r="759" spans="12:26" x14ac:dyDescent="0.25">
      <c r="L759" s="38"/>
      <c r="Z759" s="38"/>
    </row>
    <row r="760" spans="12:26" x14ac:dyDescent="0.25">
      <c r="L760" s="38"/>
      <c r="Z760" s="38"/>
    </row>
    <row r="761" spans="12:26" x14ac:dyDescent="0.25">
      <c r="L761" s="38"/>
      <c r="Z761" s="38"/>
    </row>
    <row r="762" spans="12:26" x14ac:dyDescent="0.25">
      <c r="L762" s="38"/>
      <c r="Z762" s="38"/>
    </row>
    <row r="763" spans="12:26" x14ac:dyDescent="0.25">
      <c r="L763" s="38"/>
      <c r="Z763" s="38"/>
    </row>
    <row r="764" spans="12:26" x14ac:dyDescent="0.25">
      <c r="L764" s="38"/>
      <c r="Z764" s="38"/>
    </row>
    <row r="765" spans="12:26" x14ac:dyDescent="0.25">
      <c r="L765" s="38"/>
      <c r="Z765" s="38"/>
    </row>
    <row r="766" spans="12:26" x14ac:dyDescent="0.25">
      <c r="L766" s="38"/>
      <c r="Z766" s="38"/>
    </row>
    <row r="767" spans="12:26" x14ac:dyDescent="0.25">
      <c r="L767" s="38"/>
      <c r="Z767" s="38"/>
    </row>
    <row r="768" spans="12:26" x14ac:dyDescent="0.25">
      <c r="L768" s="38"/>
      <c r="Z768" s="38"/>
    </row>
    <row r="769" spans="12:26" x14ac:dyDescent="0.25">
      <c r="L769" s="38"/>
      <c r="Z769" s="38"/>
    </row>
    <row r="770" spans="12:26" x14ac:dyDescent="0.25">
      <c r="L770" s="38"/>
      <c r="Z770" s="38"/>
    </row>
    <row r="771" spans="12:26" x14ac:dyDescent="0.25">
      <c r="L771" s="38"/>
      <c r="Z771" s="38"/>
    </row>
    <row r="772" spans="12:26" x14ac:dyDescent="0.25">
      <c r="L772" s="38"/>
      <c r="Z772" s="38"/>
    </row>
    <row r="773" spans="12:26" x14ac:dyDescent="0.25">
      <c r="L773" s="38"/>
      <c r="Z773" s="38"/>
    </row>
    <row r="774" spans="12:26" x14ac:dyDescent="0.25">
      <c r="L774" s="38"/>
      <c r="Z774" s="38"/>
    </row>
    <row r="775" spans="12:26" x14ac:dyDescent="0.25">
      <c r="L775" s="38"/>
      <c r="Z775" s="38"/>
    </row>
    <row r="776" spans="12:26" x14ac:dyDescent="0.25">
      <c r="L776" s="38"/>
      <c r="Z776" s="38"/>
    </row>
    <row r="777" spans="12:26" x14ac:dyDescent="0.25">
      <c r="L777" s="38"/>
      <c r="Z777" s="38"/>
    </row>
    <row r="778" spans="12:26" x14ac:dyDescent="0.25">
      <c r="L778" s="38"/>
      <c r="Z778" s="38"/>
    </row>
    <row r="779" spans="12:26" x14ac:dyDescent="0.25">
      <c r="L779" s="38"/>
      <c r="Z779" s="38"/>
    </row>
    <row r="780" spans="12:26" x14ac:dyDescent="0.25">
      <c r="L780" s="38"/>
      <c r="Z780" s="38"/>
    </row>
    <row r="781" spans="12:26" x14ac:dyDescent="0.25">
      <c r="L781" s="38"/>
      <c r="Z781" s="38"/>
    </row>
    <row r="782" spans="12:26" x14ac:dyDescent="0.25">
      <c r="L782" s="38"/>
      <c r="Z782" s="38"/>
    </row>
    <row r="783" spans="12:26" x14ac:dyDescent="0.25">
      <c r="L783" s="38"/>
      <c r="Z783" s="38"/>
    </row>
    <row r="784" spans="12:26" x14ac:dyDescent="0.25">
      <c r="L784" s="38"/>
      <c r="Z784" s="38"/>
    </row>
    <row r="785" spans="12:26" x14ac:dyDescent="0.25">
      <c r="L785" s="38"/>
      <c r="Z785" s="38"/>
    </row>
    <row r="786" spans="12:26" x14ac:dyDescent="0.25">
      <c r="L786" s="38"/>
      <c r="Z786" s="38"/>
    </row>
    <row r="787" spans="12:26" x14ac:dyDescent="0.25">
      <c r="L787" s="38"/>
      <c r="Z787" s="38"/>
    </row>
    <row r="788" spans="12:26" x14ac:dyDescent="0.25">
      <c r="L788" s="38"/>
      <c r="Z788" s="38"/>
    </row>
    <row r="789" spans="12:26" x14ac:dyDescent="0.25">
      <c r="L789" s="38"/>
      <c r="Z789" s="38"/>
    </row>
    <row r="790" spans="12:26" x14ac:dyDescent="0.25">
      <c r="L790" s="38"/>
      <c r="Z790" s="38"/>
    </row>
    <row r="791" spans="12:26" x14ac:dyDescent="0.25">
      <c r="L791" s="38"/>
      <c r="Z791" s="38"/>
    </row>
    <row r="792" spans="12:26" x14ac:dyDescent="0.25">
      <c r="L792" s="38"/>
      <c r="Z792" s="38"/>
    </row>
    <row r="793" spans="12:26" x14ac:dyDescent="0.25">
      <c r="L793" s="38"/>
      <c r="Z793" s="38"/>
    </row>
    <row r="794" spans="12:26" x14ac:dyDescent="0.25">
      <c r="L794" s="38"/>
      <c r="Z794" s="38"/>
    </row>
    <row r="795" spans="12:26" x14ac:dyDescent="0.25">
      <c r="L795" s="38"/>
      <c r="Z795" s="38"/>
    </row>
    <row r="796" spans="12:26" x14ac:dyDescent="0.25">
      <c r="L796" s="38"/>
      <c r="Z796" s="38"/>
    </row>
    <row r="797" spans="12:26" x14ac:dyDescent="0.25">
      <c r="L797" s="38"/>
      <c r="Z797" s="38"/>
    </row>
    <row r="798" spans="12:26" x14ac:dyDescent="0.25">
      <c r="L798" s="38"/>
      <c r="Z798" s="38"/>
    </row>
    <row r="799" spans="12:26" x14ac:dyDescent="0.25">
      <c r="L799" s="38"/>
      <c r="Z799" s="38"/>
    </row>
    <row r="800" spans="12:26" x14ac:dyDescent="0.25">
      <c r="L800" s="38"/>
      <c r="Z800" s="38"/>
    </row>
    <row r="801" spans="12:26" x14ac:dyDescent="0.25">
      <c r="L801" s="38"/>
      <c r="Z801" s="38"/>
    </row>
    <row r="802" spans="12:26" x14ac:dyDescent="0.25">
      <c r="L802" s="38"/>
      <c r="Z802" s="38"/>
    </row>
    <row r="803" spans="12:26" x14ac:dyDescent="0.25">
      <c r="L803" s="38"/>
      <c r="Z803" s="38"/>
    </row>
    <row r="804" spans="12:26" x14ac:dyDescent="0.25">
      <c r="L804" s="38"/>
      <c r="Z804" s="38"/>
    </row>
    <row r="805" spans="12:26" x14ac:dyDescent="0.25">
      <c r="L805" s="38"/>
      <c r="Z805" s="38"/>
    </row>
    <row r="806" spans="12:26" x14ac:dyDescent="0.25">
      <c r="L806" s="38"/>
      <c r="Z806" s="38"/>
    </row>
    <row r="807" spans="12:26" x14ac:dyDescent="0.25">
      <c r="L807" s="38"/>
      <c r="Z807" s="38"/>
    </row>
    <row r="808" spans="12:26" x14ac:dyDescent="0.25">
      <c r="L808" s="38"/>
      <c r="Z808" s="38"/>
    </row>
    <row r="809" spans="12:26" x14ac:dyDescent="0.25">
      <c r="L809" s="38"/>
      <c r="Z809" s="38"/>
    </row>
    <row r="810" spans="12:26" x14ac:dyDescent="0.25">
      <c r="L810" s="38"/>
      <c r="Z810" s="38"/>
    </row>
    <row r="811" spans="12:26" x14ac:dyDescent="0.25">
      <c r="L811" s="38"/>
      <c r="Z811" s="38"/>
    </row>
    <row r="812" spans="12:26" x14ac:dyDescent="0.25">
      <c r="L812" s="38"/>
      <c r="Z812" s="38"/>
    </row>
    <row r="813" spans="12:26" x14ac:dyDescent="0.25">
      <c r="L813" s="38"/>
      <c r="Z813" s="38"/>
    </row>
    <row r="814" spans="12:26" x14ac:dyDescent="0.25">
      <c r="L814" s="38"/>
      <c r="Z814" s="38"/>
    </row>
    <row r="815" spans="12:26" x14ac:dyDescent="0.25">
      <c r="L815" s="38"/>
      <c r="Z815" s="38"/>
    </row>
    <row r="816" spans="12:26" x14ac:dyDescent="0.25">
      <c r="L816" s="38"/>
      <c r="Z816" s="38"/>
    </row>
    <row r="817" spans="12:26" x14ac:dyDescent="0.25">
      <c r="L817" s="38"/>
      <c r="Z817" s="38"/>
    </row>
    <row r="818" spans="12:26" x14ac:dyDescent="0.25">
      <c r="L818" s="38"/>
      <c r="Z818" s="38"/>
    </row>
    <row r="819" spans="12:26" x14ac:dyDescent="0.25">
      <c r="L819" s="38"/>
      <c r="Z819" s="38"/>
    </row>
    <row r="820" spans="12:26" x14ac:dyDescent="0.25">
      <c r="L820" s="38"/>
      <c r="Z820" s="38"/>
    </row>
    <row r="821" spans="12:26" x14ac:dyDescent="0.25">
      <c r="L821" s="38"/>
      <c r="Z821" s="38"/>
    </row>
    <row r="822" spans="12:26" x14ac:dyDescent="0.25">
      <c r="L822" s="38"/>
      <c r="Z822" s="38"/>
    </row>
    <row r="823" spans="12:26" x14ac:dyDescent="0.25">
      <c r="L823" s="38"/>
      <c r="Z823" s="38"/>
    </row>
    <row r="824" spans="12:26" x14ac:dyDescent="0.25">
      <c r="L824" s="38"/>
      <c r="Z824" s="38"/>
    </row>
    <row r="825" spans="12:26" x14ac:dyDescent="0.25">
      <c r="L825" s="38"/>
      <c r="Z825" s="38"/>
    </row>
    <row r="826" spans="12:26" x14ac:dyDescent="0.25">
      <c r="L826" s="38"/>
      <c r="Z826" s="38"/>
    </row>
    <row r="827" spans="12:26" x14ac:dyDescent="0.25">
      <c r="L827" s="38"/>
      <c r="Z827" s="38"/>
    </row>
    <row r="828" spans="12:26" x14ac:dyDescent="0.25">
      <c r="L828" s="38"/>
      <c r="Z828" s="38"/>
    </row>
    <row r="829" spans="12:26" x14ac:dyDescent="0.25">
      <c r="L829" s="38"/>
      <c r="Z829" s="38"/>
    </row>
    <row r="830" spans="12:26" x14ac:dyDescent="0.25">
      <c r="L830" s="38"/>
      <c r="Z830" s="38"/>
    </row>
    <row r="831" spans="12:26" x14ac:dyDescent="0.25">
      <c r="L831" s="38"/>
      <c r="Z831" s="38"/>
    </row>
    <row r="832" spans="12:26" x14ac:dyDescent="0.25">
      <c r="L832" s="38"/>
      <c r="Z832" s="38"/>
    </row>
    <row r="833" spans="12:26" x14ac:dyDescent="0.25">
      <c r="L833" s="38"/>
      <c r="Z833" s="38"/>
    </row>
    <row r="834" spans="12:26" x14ac:dyDescent="0.25">
      <c r="L834" s="38"/>
      <c r="Z834" s="38"/>
    </row>
    <row r="835" spans="12:26" x14ac:dyDescent="0.25">
      <c r="L835" s="38"/>
      <c r="Z835" s="38"/>
    </row>
    <row r="836" spans="12:26" x14ac:dyDescent="0.25">
      <c r="L836" s="38"/>
      <c r="Z836" s="38"/>
    </row>
    <row r="837" spans="12:26" x14ac:dyDescent="0.25">
      <c r="L837" s="38"/>
      <c r="Z837" s="38"/>
    </row>
    <row r="838" spans="12:26" x14ac:dyDescent="0.25">
      <c r="L838" s="38"/>
      <c r="Z838" s="38"/>
    </row>
    <row r="839" spans="12:26" x14ac:dyDescent="0.25">
      <c r="L839" s="38"/>
      <c r="Z839" s="38"/>
    </row>
    <row r="840" spans="12:26" x14ac:dyDescent="0.25">
      <c r="L840" s="38"/>
      <c r="Z840" s="38"/>
    </row>
    <row r="841" spans="12:26" x14ac:dyDescent="0.25">
      <c r="L841" s="38"/>
      <c r="Z841" s="38"/>
    </row>
    <row r="842" spans="12:26" x14ac:dyDescent="0.25">
      <c r="L842" s="38"/>
      <c r="Z842" s="38"/>
    </row>
    <row r="843" spans="12:26" x14ac:dyDescent="0.25">
      <c r="L843" s="38"/>
      <c r="Z843" s="38"/>
    </row>
    <row r="844" spans="12:26" x14ac:dyDescent="0.25">
      <c r="L844" s="38"/>
      <c r="Z844" s="38"/>
    </row>
    <row r="845" spans="12:26" x14ac:dyDescent="0.25">
      <c r="L845" s="38"/>
      <c r="Z845" s="38"/>
    </row>
    <row r="846" spans="12:26" x14ac:dyDescent="0.25">
      <c r="L846" s="38"/>
      <c r="Z846" s="38"/>
    </row>
    <row r="847" spans="12:26" x14ac:dyDescent="0.25">
      <c r="L847" s="38"/>
      <c r="Z847" s="38"/>
    </row>
    <row r="848" spans="12:26" x14ac:dyDescent="0.25">
      <c r="L848" s="38"/>
      <c r="Z848" s="38"/>
    </row>
    <row r="849" spans="12:26" x14ac:dyDescent="0.25">
      <c r="L849" s="38"/>
      <c r="Z849" s="38"/>
    </row>
    <row r="850" spans="12:26" x14ac:dyDescent="0.25">
      <c r="L850" s="38"/>
      <c r="Z850" s="38"/>
    </row>
    <row r="851" spans="12:26" x14ac:dyDescent="0.25">
      <c r="L851" s="38"/>
      <c r="Z851" s="38"/>
    </row>
    <row r="852" spans="12:26" x14ac:dyDescent="0.25">
      <c r="L852" s="38"/>
      <c r="Z852" s="38"/>
    </row>
    <row r="853" spans="12:26" x14ac:dyDescent="0.25">
      <c r="L853" s="38"/>
      <c r="Z853" s="38"/>
    </row>
    <row r="854" spans="12:26" x14ac:dyDescent="0.25">
      <c r="L854" s="38"/>
      <c r="Z854" s="38"/>
    </row>
    <row r="855" spans="12:26" x14ac:dyDescent="0.25">
      <c r="L855" s="38"/>
      <c r="Z855" s="38"/>
    </row>
    <row r="856" spans="12:26" x14ac:dyDescent="0.25">
      <c r="L856" s="38"/>
      <c r="Z856" s="38"/>
    </row>
    <row r="857" spans="12:26" x14ac:dyDescent="0.25">
      <c r="L857" s="38"/>
      <c r="Z857" s="38"/>
    </row>
    <row r="858" spans="12:26" x14ac:dyDescent="0.25">
      <c r="L858" s="38"/>
      <c r="Z858" s="38"/>
    </row>
    <row r="859" spans="12:26" x14ac:dyDescent="0.25">
      <c r="L859" s="38"/>
      <c r="Z859" s="38"/>
    </row>
    <row r="860" spans="12:26" x14ac:dyDescent="0.25">
      <c r="L860" s="38"/>
      <c r="Z860" s="38"/>
    </row>
    <row r="861" spans="12:26" x14ac:dyDescent="0.25">
      <c r="L861" s="38"/>
      <c r="Z861" s="38"/>
    </row>
    <row r="862" spans="12:26" x14ac:dyDescent="0.25">
      <c r="L862" s="38"/>
      <c r="Z862" s="38"/>
    </row>
    <row r="863" spans="12:26" x14ac:dyDescent="0.25">
      <c r="L863" s="38"/>
      <c r="Z863" s="38"/>
    </row>
    <row r="864" spans="12:26" x14ac:dyDescent="0.25">
      <c r="L864" s="38"/>
      <c r="Z864" s="38"/>
    </row>
    <row r="865" spans="12:26" x14ac:dyDescent="0.25">
      <c r="L865" s="38"/>
      <c r="Z865" s="38"/>
    </row>
    <row r="866" spans="12:26" x14ac:dyDescent="0.25">
      <c r="L866" s="38"/>
      <c r="Z866" s="38"/>
    </row>
    <row r="867" spans="12:26" x14ac:dyDescent="0.25">
      <c r="L867" s="38"/>
      <c r="Z867" s="38"/>
    </row>
    <row r="868" spans="12:26" x14ac:dyDescent="0.25">
      <c r="L868" s="38"/>
      <c r="Z868" s="38"/>
    </row>
    <row r="869" spans="12:26" x14ac:dyDescent="0.25">
      <c r="L869" s="38"/>
      <c r="Z869" s="38"/>
    </row>
    <row r="870" spans="12:26" x14ac:dyDescent="0.25">
      <c r="L870" s="38"/>
      <c r="Z870" s="38"/>
    </row>
    <row r="871" spans="12:26" x14ac:dyDescent="0.25">
      <c r="L871" s="38"/>
      <c r="Z871" s="38"/>
    </row>
    <row r="872" spans="12:26" x14ac:dyDescent="0.25">
      <c r="L872" s="38"/>
      <c r="Z872" s="38"/>
    </row>
    <row r="873" spans="12:26" x14ac:dyDescent="0.25">
      <c r="L873" s="38"/>
      <c r="Z873" s="38"/>
    </row>
    <row r="874" spans="12:26" x14ac:dyDescent="0.25">
      <c r="L874" s="38"/>
      <c r="Z874" s="38"/>
    </row>
    <row r="875" spans="12:26" x14ac:dyDescent="0.25">
      <c r="L875" s="38"/>
      <c r="Z875" s="38"/>
    </row>
    <row r="876" spans="12:26" x14ac:dyDescent="0.25">
      <c r="L876" s="38"/>
      <c r="Z876" s="38"/>
    </row>
    <row r="877" spans="12:26" x14ac:dyDescent="0.25">
      <c r="L877" s="38"/>
      <c r="Z877" s="38"/>
    </row>
    <row r="878" spans="12:26" x14ac:dyDescent="0.25">
      <c r="L878" s="38"/>
      <c r="Z878" s="38"/>
    </row>
    <row r="879" spans="12:26" x14ac:dyDescent="0.25">
      <c r="L879" s="38"/>
      <c r="Z879" s="38"/>
    </row>
    <row r="880" spans="12:26" x14ac:dyDescent="0.25">
      <c r="L880" s="38"/>
      <c r="Z880" s="38"/>
    </row>
    <row r="881" spans="12:26" x14ac:dyDescent="0.25">
      <c r="L881" s="38"/>
      <c r="Z881" s="38"/>
    </row>
    <row r="882" spans="12:26" x14ac:dyDescent="0.25">
      <c r="L882" s="38"/>
      <c r="Z882" s="38"/>
    </row>
    <row r="883" spans="12:26" x14ac:dyDescent="0.25">
      <c r="L883" s="38"/>
      <c r="Z883" s="38"/>
    </row>
    <row r="884" spans="12:26" x14ac:dyDescent="0.25">
      <c r="L884" s="38"/>
      <c r="Z884" s="38"/>
    </row>
    <row r="885" spans="12:26" x14ac:dyDescent="0.25">
      <c r="L885" s="38"/>
      <c r="Z885" s="38"/>
    </row>
    <row r="886" spans="12:26" x14ac:dyDescent="0.25">
      <c r="L886" s="38"/>
      <c r="Z886" s="38"/>
    </row>
    <row r="887" spans="12:26" x14ac:dyDescent="0.25">
      <c r="L887" s="38"/>
      <c r="Z887" s="38"/>
    </row>
    <row r="888" spans="12:26" x14ac:dyDescent="0.25">
      <c r="L888" s="38"/>
      <c r="Z888" s="38"/>
    </row>
    <row r="889" spans="12:26" x14ac:dyDescent="0.25">
      <c r="L889" s="38"/>
      <c r="Z889" s="38"/>
    </row>
    <row r="890" spans="12:26" x14ac:dyDescent="0.25">
      <c r="L890" s="38"/>
      <c r="Z890" s="38"/>
    </row>
    <row r="891" spans="12:26" x14ac:dyDescent="0.25">
      <c r="L891" s="38"/>
      <c r="Z891" s="38"/>
    </row>
    <row r="892" spans="12:26" x14ac:dyDescent="0.25">
      <c r="L892" s="38"/>
      <c r="Z892" s="38"/>
    </row>
    <row r="893" spans="12:26" x14ac:dyDescent="0.25">
      <c r="L893" s="38"/>
      <c r="Z893" s="38"/>
    </row>
    <row r="894" spans="12:26" x14ac:dyDescent="0.25">
      <c r="L894" s="38"/>
      <c r="Z894" s="38"/>
    </row>
    <row r="895" spans="12:26" x14ac:dyDescent="0.25">
      <c r="L895" s="38"/>
      <c r="Z895" s="38"/>
    </row>
    <row r="896" spans="12:26" x14ac:dyDescent="0.25">
      <c r="L896" s="38"/>
      <c r="Z896" s="38"/>
    </row>
    <row r="897" spans="12:26" x14ac:dyDescent="0.25">
      <c r="L897" s="38"/>
      <c r="Z897" s="38"/>
    </row>
    <row r="898" spans="12:26" x14ac:dyDescent="0.25">
      <c r="L898" s="38"/>
      <c r="Z898" s="38"/>
    </row>
    <row r="899" spans="12:26" x14ac:dyDescent="0.25">
      <c r="L899" s="38"/>
      <c r="Z899" s="38"/>
    </row>
    <row r="900" spans="12:26" x14ac:dyDescent="0.25">
      <c r="L900" s="38"/>
      <c r="Z900" s="38"/>
    </row>
    <row r="901" spans="12:26" x14ac:dyDescent="0.25">
      <c r="L901" s="38"/>
      <c r="Z901" s="38"/>
    </row>
    <row r="902" spans="12:26" x14ac:dyDescent="0.25">
      <c r="L902" s="38"/>
      <c r="Z902" s="38"/>
    </row>
    <row r="903" spans="12:26" x14ac:dyDescent="0.25">
      <c r="L903" s="38"/>
      <c r="Z903" s="38"/>
    </row>
    <row r="904" spans="12:26" x14ac:dyDescent="0.25">
      <c r="L904" s="38"/>
      <c r="Z904" s="38"/>
    </row>
    <row r="905" spans="12:26" x14ac:dyDescent="0.25">
      <c r="L905" s="38"/>
      <c r="Z905" s="38"/>
    </row>
    <row r="906" spans="12:26" x14ac:dyDescent="0.25">
      <c r="L906" s="38"/>
      <c r="Z906" s="38"/>
    </row>
    <row r="907" spans="12:26" x14ac:dyDescent="0.25">
      <c r="L907" s="38"/>
      <c r="Z907" s="38"/>
    </row>
    <row r="908" spans="12:26" x14ac:dyDescent="0.25">
      <c r="L908" s="38"/>
      <c r="Z908" s="38"/>
    </row>
    <row r="909" spans="12:26" x14ac:dyDescent="0.25">
      <c r="L909" s="38"/>
      <c r="Z909" s="38"/>
    </row>
    <row r="910" spans="12:26" x14ac:dyDescent="0.25">
      <c r="L910" s="38"/>
      <c r="Z910" s="38"/>
    </row>
    <row r="911" spans="12:26" x14ac:dyDescent="0.25">
      <c r="L911" s="38"/>
      <c r="Z911" s="38"/>
    </row>
    <row r="912" spans="12:26" x14ac:dyDescent="0.25">
      <c r="L912" s="38"/>
      <c r="Z912" s="38"/>
    </row>
    <row r="913" spans="12:26" x14ac:dyDescent="0.25">
      <c r="L913" s="38"/>
      <c r="Z913" s="38"/>
    </row>
    <row r="914" spans="12:26" x14ac:dyDescent="0.25">
      <c r="L914" s="38"/>
      <c r="Z914" s="38"/>
    </row>
    <row r="915" spans="12:26" x14ac:dyDescent="0.25">
      <c r="L915" s="38"/>
      <c r="Z915" s="38"/>
    </row>
    <row r="916" spans="12:26" x14ac:dyDescent="0.25">
      <c r="L916" s="38"/>
      <c r="Z916" s="38"/>
    </row>
    <row r="917" spans="12:26" x14ac:dyDescent="0.25">
      <c r="L917" s="38"/>
      <c r="Z917" s="38"/>
    </row>
    <row r="918" spans="12:26" x14ac:dyDescent="0.25">
      <c r="L918" s="38"/>
      <c r="Z918" s="38"/>
    </row>
    <row r="919" spans="12:26" x14ac:dyDescent="0.25">
      <c r="L919" s="38"/>
      <c r="Z919" s="38"/>
    </row>
    <row r="920" spans="12:26" x14ac:dyDescent="0.25">
      <c r="L920" s="38"/>
      <c r="Z920" s="38"/>
    </row>
    <row r="921" spans="12:26" x14ac:dyDescent="0.25">
      <c r="L921" s="38"/>
      <c r="Z921" s="38"/>
    </row>
    <row r="922" spans="12:26" x14ac:dyDescent="0.25">
      <c r="L922" s="38"/>
      <c r="Z922" s="38"/>
    </row>
    <row r="923" spans="12:26" x14ac:dyDescent="0.25">
      <c r="L923" s="38"/>
      <c r="Z923" s="38"/>
    </row>
    <row r="924" spans="12:26" x14ac:dyDescent="0.25">
      <c r="L924" s="38"/>
      <c r="Z924" s="38"/>
    </row>
    <row r="925" spans="12:26" x14ac:dyDescent="0.25">
      <c r="L925" s="38"/>
      <c r="Z925" s="38"/>
    </row>
    <row r="926" spans="12:26" x14ac:dyDescent="0.25">
      <c r="L926" s="38"/>
      <c r="Z926" s="38"/>
    </row>
    <row r="927" spans="12:26" x14ac:dyDescent="0.25">
      <c r="L927" s="38"/>
      <c r="Z927" s="38"/>
    </row>
    <row r="928" spans="12:26" x14ac:dyDescent="0.25">
      <c r="L928" s="38"/>
      <c r="Z928" s="38"/>
    </row>
    <row r="929" spans="12:26" x14ac:dyDescent="0.25">
      <c r="L929" s="38"/>
      <c r="Z929" s="38"/>
    </row>
    <row r="930" spans="12:26" x14ac:dyDescent="0.25">
      <c r="L930" s="38"/>
      <c r="Z930" s="38"/>
    </row>
    <row r="931" spans="12:26" x14ac:dyDescent="0.25">
      <c r="L931" s="38"/>
      <c r="Z931" s="38"/>
    </row>
    <row r="932" spans="12:26" x14ac:dyDescent="0.25">
      <c r="L932" s="38"/>
      <c r="Z932" s="38"/>
    </row>
    <row r="933" spans="12:26" x14ac:dyDescent="0.25">
      <c r="L933" s="38"/>
      <c r="Z933" s="38"/>
    </row>
    <row r="934" spans="12:26" x14ac:dyDescent="0.25">
      <c r="L934" s="38"/>
      <c r="Z934" s="38"/>
    </row>
    <row r="935" spans="12:26" x14ac:dyDescent="0.25">
      <c r="L935" s="38"/>
      <c r="Z935" s="38"/>
    </row>
    <row r="936" spans="12:26" x14ac:dyDescent="0.25">
      <c r="L936" s="38"/>
      <c r="Z936" s="38"/>
    </row>
    <row r="937" spans="12:26" x14ac:dyDescent="0.25">
      <c r="L937" s="38"/>
      <c r="Z937" s="38"/>
    </row>
    <row r="938" spans="12:26" x14ac:dyDescent="0.25">
      <c r="L938" s="38"/>
      <c r="Z938" s="38"/>
    </row>
    <row r="939" spans="12:26" x14ac:dyDescent="0.25">
      <c r="L939" s="38"/>
      <c r="Z939" s="38"/>
    </row>
    <row r="940" spans="12:26" x14ac:dyDescent="0.25">
      <c r="L940" s="38"/>
      <c r="Z940" s="38"/>
    </row>
    <row r="941" spans="12:26" x14ac:dyDescent="0.25">
      <c r="L941" s="38"/>
      <c r="Z941" s="38"/>
    </row>
    <row r="942" spans="12:26" x14ac:dyDescent="0.25">
      <c r="L942" s="38"/>
      <c r="Z942" s="38"/>
    </row>
    <row r="943" spans="12:26" x14ac:dyDescent="0.25">
      <c r="L943" s="38"/>
      <c r="Z943" s="38"/>
    </row>
    <row r="944" spans="12:26" x14ac:dyDescent="0.25">
      <c r="L944" s="38"/>
      <c r="Z944" s="38"/>
    </row>
    <row r="945" spans="12:26" x14ac:dyDescent="0.25">
      <c r="L945" s="38"/>
      <c r="Z945" s="38"/>
    </row>
    <row r="946" spans="12:26" x14ac:dyDescent="0.25">
      <c r="L946" s="38"/>
      <c r="Z946" s="38"/>
    </row>
    <row r="947" spans="12:26" x14ac:dyDescent="0.25">
      <c r="L947" s="38"/>
      <c r="Z947" s="38"/>
    </row>
    <row r="948" spans="12:26" x14ac:dyDescent="0.25">
      <c r="L948" s="38"/>
      <c r="Z948" s="38"/>
    </row>
    <row r="949" spans="12:26" x14ac:dyDescent="0.25">
      <c r="L949" s="38"/>
      <c r="Z949" s="38"/>
    </row>
    <row r="950" spans="12:26" x14ac:dyDescent="0.25">
      <c r="L950" s="38"/>
      <c r="Z950" s="38"/>
    </row>
    <row r="951" spans="12:26" x14ac:dyDescent="0.25">
      <c r="L951" s="38"/>
      <c r="Z951" s="38"/>
    </row>
    <row r="952" spans="12:26" x14ac:dyDescent="0.25">
      <c r="L952" s="38"/>
      <c r="Z952" s="38"/>
    </row>
    <row r="953" spans="12:26" x14ac:dyDescent="0.25">
      <c r="L953" s="38"/>
      <c r="Z953" s="38"/>
    </row>
    <row r="954" spans="12:26" x14ac:dyDescent="0.25">
      <c r="L954" s="38"/>
      <c r="Z954" s="38"/>
    </row>
    <row r="955" spans="12:26" x14ac:dyDescent="0.25">
      <c r="L955" s="38"/>
      <c r="Z955" s="38"/>
    </row>
    <row r="956" spans="12:26" x14ac:dyDescent="0.25">
      <c r="L956" s="38"/>
      <c r="Z956" s="38"/>
    </row>
    <row r="957" spans="12:26" x14ac:dyDescent="0.25">
      <c r="L957" s="38"/>
      <c r="Z957" s="38"/>
    </row>
    <row r="958" spans="12:26" x14ac:dyDescent="0.25">
      <c r="L958" s="38"/>
      <c r="Z958" s="38"/>
    </row>
    <row r="959" spans="12:26" x14ac:dyDescent="0.25">
      <c r="L959" s="38"/>
      <c r="Z959" s="38"/>
    </row>
    <row r="960" spans="12:26" x14ac:dyDescent="0.25">
      <c r="L960" s="38"/>
      <c r="Z960" s="38"/>
    </row>
    <row r="961" spans="12:26" x14ac:dyDescent="0.25">
      <c r="L961" s="38"/>
      <c r="Z961" s="38"/>
    </row>
    <row r="962" spans="12:26" x14ac:dyDescent="0.25">
      <c r="L962" s="38"/>
      <c r="Z962" s="38"/>
    </row>
    <row r="963" spans="12:26" x14ac:dyDescent="0.25">
      <c r="L963" s="38"/>
      <c r="Z963" s="38"/>
    </row>
    <row r="964" spans="12:26" x14ac:dyDescent="0.25">
      <c r="L964" s="38"/>
      <c r="Z964" s="38"/>
    </row>
    <row r="965" spans="12:26" x14ac:dyDescent="0.25">
      <c r="L965" s="38"/>
      <c r="Z965" s="38"/>
    </row>
    <row r="966" spans="12:26" x14ac:dyDescent="0.25">
      <c r="L966" s="38"/>
      <c r="Z966" s="38"/>
    </row>
    <row r="967" spans="12:26" x14ac:dyDescent="0.25">
      <c r="L967" s="38"/>
      <c r="Z967" s="38"/>
    </row>
    <row r="968" spans="12:26" x14ac:dyDescent="0.25">
      <c r="L968" s="38"/>
      <c r="Z968" s="38"/>
    </row>
    <row r="969" spans="12:26" x14ac:dyDescent="0.25">
      <c r="L969" s="38"/>
      <c r="Z969" s="38"/>
    </row>
    <row r="970" spans="12:26" x14ac:dyDescent="0.25">
      <c r="L970" s="38"/>
      <c r="Z970" s="38"/>
    </row>
    <row r="971" spans="12:26" x14ac:dyDescent="0.25">
      <c r="L971" s="38"/>
      <c r="Z971" s="38"/>
    </row>
    <row r="972" spans="12:26" x14ac:dyDescent="0.25">
      <c r="L972" s="38"/>
      <c r="Z972" s="38"/>
    </row>
    <row r="973" spans="12:26" x14ac:dyDescent="0.25">
      <c r="L973" s="38"/>
      <c r="Z973" s="38"/>
    </row>
    <row r="974" spans="12:26" x14ac:dyDescent="0.25">
      <c r="L974" s="38"/>
      <c r="Z974" s="38"/>
    </row>
    <row r="975" spans="12:26" x14ac:dyDescent="0.25">
      <c r="L975" s="38"/>
      <c r="Z975" s="38"/>
    </row>
    <row r="976" spans="12:26" x14ac:dyDescent="0.25">
      <c r="L976" s="38"/>
      <c r="Z976" s="38"/>
    </row>
    <row r="977" spans="12:26" x14ac:dyDescent="0.25">
      <c r="L977" s="38"/>
      <c r="Z977" s="38"/>
    </row>
    <row r="978" spans="12:26" x14ac:dyDescent="0.25">
      <c r="L978" s="38"/>
      <c r="Z978" s="38"/>
    </row>
    <row r="979" spans="12:26" x14ac:dyDescent="0.25">
      <c r="L979" s="38"/>
      <c r="Z979" s="38"/>
    </row>
    <row r="980" spans="12:26" x14ac:dyDescent="0.25">
      <c r="L980" s="38"/>
      <c r="Z980" s="38"/>
    </row>
    <row r="981" spans="12:26" x14ac:dyDescent="0.25">
      <c r="L981" s="38"/>
      <c r="Z981" s="38"/>
    </row>
    <row r="982" spans="12:26" x14ac:dyDescent="0.25">
      <c r="L982" s="38"/>
      <c r="Z982" s="38"/>
    </row>
    <row r="983" spans="12:26" x14ac:dyDescent="0.25">
      <c r="L983" s="38"/>
      <c r="Z983" s="38"/>
    </row>
    <row r="984" spans="12:26" x14ac:dyDescent="0.25">
      <c r="L984" s="38"/>
      <c r="Z984" s="38"/>
    </row>
    <row r="985" spans="12:26" x14ac:dyDescent="0.25">
      <c r="L985" s="38"/>
      <c r="Z985" s="38"/>
    </row>
    <row r="986" spans="12:26" x14ac:dyDescent="0.25">
      <c r="L986" s="38"/>
      <c r="Z986" s="38"/>
    </row>
    <row r="987" spans="12:26" x14ac:dyDescent="0.25">
      <c r="L987" s="38"/>
      <c r="Z987" s="38"/>
    </row>
    <row r="988" spans="12:26" x14ac:dyDescent="0.25">
      <c r="L988" s="38"/>
      <c r="Z988" s="38"/>
    </row>
    <row r="989" spans="12:26" x14ac:dyDescent="0.25">
      <c r="L989" s="38"/>
      <c r="Z989" s="38"/>
    </row>
    <row r="990" spans="12:26" x14ac:dyDescent="0.25">
      <c r="L990" s="38"/>
      <c r="Z990" s="38"/>
    </row>
    <row r="991" spans="12:26" x14ac:dyDescent="0.25">
      <c r="L991" s="38"/>
      <c r="Z991" s="38"/>
    </row>
    <row r="992" spans="12:26" x14ac:dyDescent="0.25">
      <c r="L992" s="38"/>
      <c r="Z992" s="38"/>
    </row>
    <row r="993" spans="12:26" x14ac:dyDescent="0.25">
      <c r="L993" s="38"/>
      <c r="Z993" s="38"/>
    </row>
    <row r="994" spans="12:26" x14ac:dyDescent="0.25">
      <c r="L994" s="38"/>
      <c r="Z994" s="38"/>
    </row>
    <row r="995" spans="12:26" x14ac:dyDescent="0.25">
      <c r="L995" s="38"/>
      <c r="Z995" s="38"/>
    </row>
    <row r="996" spans="12:26" x14ac:dyDescent="0.25">
      <c r="L996" s="38"/>
      <c r="Z996" s="38"/>
    </row>
    <row r="997" spans="12:26" x14ac:dyDescent="0.25">
      <c r="L997" s="38"/>
      <c r="Z997" s="38"/>
    </row>
    <row r="998" spans="12:26" x14ac:dyDescent="0.25">
      <c r="L998" s="38"/>
      <c r="Z998" s="38"/>
    </row>
    <row r="999" spans="12:26" x14ac:dyDescent="0.25">
      <c r="L999" s="38"/>
      <c r="Z999" s="38"/>
    </row>
    <row r="1000" spans="12:26" x14ac:dyDescent="0.25">
      <c r="L1000" s="38"/>
      <c r="Z1000" s="38"/>
    </row>
    <row r="1001" spans="12:26" x14ac:dyDescent="0.25">
      <c r="L1001" s="38"/>
      <c r="Z1001" s="38"/>
    </row>
    <row r="1002" spans="12:26" x14ac:dyDescent="0.25">
      <c r="L1002" s="38"/>
      <c r="Z1002" s="38"/>
    </row>
    <row r="1003" spans="12:26" x14ac:dyDescent="0.25">
      <c r="L1003" s="38"/>
      <c r="Z1003" s="38"/>
    </row>
    <row r="1004" spans="12:26" x14ac:dyDescent="0.25">
      <c r="L1004" s="38"/>
      <c r="Z1004" s="38"/>
    </row>
    <row r="1005" spans="12:26" x14ac:dyDescent="0.25">
      <c r="L1005" s="38"/>
      <c r="Z1005" s="38"/>
    </row>
    <row r="1006" spans="12:26" x14ac:dyDescent="0.25">
      <c r="L1006" s="38"/>
      <c r="Z1006" s="38"/>
    </row>
    <row r="1007" spans="12:26" x14ac:dyDescent="0.25">
      <c r="L1007" s="38"/>
      <c r="Z1007" s="38"/>
    </row>
    <row r="1008" spans="12:26" x14ac:dyDescent="0.25">
      <c r="L1008" s="38"/>
      <c r="Z1008" s="38"/>
    </row>
    <row r="1009" spans="12:26" x14ac:dyDescent="0.25">
      <c r="L1009" s="38"/>
      <c r="Z1009" s="38"/>
    </row>
    <row r="1010" spans="12:26" x14ac:dyDescent="0.25">
      <c r="L1010" s="38"/>
      <c r="Z1010" s="38"/>
    </row>
    <row r="1011" spans="12:26" x14ac:dyDescent="0.25">
      <c r="L1011" s="38"/>
      <c r="Z1011" s="38"/>
    </row>
    <row r="1012" spans="12:26" x14ac:dyDescent="0.25">
      <c r="L1012" s="38"/>
      <c r="Z1012" s="38"/>
    </row>
    <row r="1013" spans="12:26" x14ac:dyDescent="0.25">
      <c r="L1013" s="38"/>
      <c r="Z1013" s="38"/>
    </row>
    <row r="1014" spans="12:26" x14ac:dyDescent="0.25">
      <c r="L1014" s="38"/>
      <c r="Z1014" s="38"/>
    </row>
    <row r="1015" spans="12:26" x14ac:dyDescent="0.25">
      <c r="L1015" s="38"/>
      <c r="Z1015" s="38"/>
    </row>
    <row r="1016" spans="12:26" x14ac:dyDescent="0.25">
      <c r="L1016" s="38"/>
      <c r="Z1016" s="38"/>
    </row>
    <row r="1017" spans="12:26" x14ac:dyDescent="0.25">
      <c r="L1017" s="38"/>
      <c r="Z1017" s="38"/>
    </row>
    <row r="1018" spans="12:26" x14ac:dyDescent="0.25">
      <c r="L1018" s="38"/>
      <c r="Z1018" s="38"/>
    </row>
    <row r="1019" spans="12:26" x14ac:dyDescent="0.25">
      <c r="L1019" s="38"/>
      <c r="Z1019" s="38"/>
    </row>
    <row r="1020" spans="12:26" x14ac:dyDescent="0.25">
      <c r="L1020" s="38"/>
      <c r="Z1020" s="38"/>
    </row>
    <row r="1021" spans="12:26" x14ac:dyDescent="0.25">
      <c r="L1021" s="38"/>
      <c r="Z1021" s="38"/>
    </row>
    <row r="1022" spans="12:26" x14ac:dyDescent="0.25">
      <c r="L1022" s="38"/>
      <c r="Z1022" s="38"/>
    </row>
    <row r="1023" spans="12:26" x14ac:dyDescent="0.25">
      <c r="L1023" s="38"/>
      <c r="Z1023" s="38"/>
    </row>
    <row r="1024" spans="12:26" x14ac:dyDescent="0.25">
      <c r="L1024" s="38"/>
      <c r="Z1024" s="38"/>
    </row>
    <row r="1025" spans="12:26" x14ac:dyDescent="0.25">
      <c r="L1025" s="38"/>
      <c r="Z1025" s="38"/>
    </row>
    <row r="1026" spans="12:26" x14ac:dyDescent="0.25">
      <c r="L1026" s="38"/>
      <c r="Z1026" s="38"/>
    </row>
    <row r="1027" spans="12:26" x14ac:dyDescent="0.25">
      <c r="L1027" s="38"/>
      <c r="Z1027" s="38"/>
    </row>
    <row r="1028" spans="12:26" x14ac:dyDescent="0.25">
      <c r="L1028" s="38"/>
      <c r="Z1028" s="38"/>
    </row>
    <row r="1029" spans="12:26" x14ac:dyDescent="0.25">
      <c r="L1029" s="38"/>
      <c r="Z1029" s="38"/>
    </row>
    <row r="1030" spans="12:26" x14ac:dyDescent="0.25">
      <c r="L1030" s="38"/>
      <c r="Z1030" s="38"/>
    </row>
    <row r="1031" spans="12:26" x14ac:dyDescent="0.25">
      <c r="L1031" s="38"/>
      <c r="Z1031" s="38"/>
    </row>
    <row r="1032" spans="12:26" x14ac:dyDescent="0.25">
      <c r="L1032" s="38"/>
      <c r="Z1032" s="38"/>
    </row>
    <row r="1033" spans="12:26" x14ac:dyDescent="0.25">
      <c r="L1033" s="38"/>
      <c r="Z1033" s="38"/>
    </row>
    <row r="1034" spans="12:26" x14ac:dyDescent="0.25">
      <c r="L1034" s="38"/>
      <c r="Z1034" s="38"/>
    </row>
    <row r="1035" spans="12:26" x14ac:dyDescent="0.25">
      <c r="L1035" s="38"/>
      <c r="Z1035" s="38"/>
    </row>
    <row r="1036" spans="12:26" x14ac:dyDescent="0.25">
      <c r="L1036" s="38"/>
      <c r="Z1036" s="38"/>
    </row>
    <row r="1037" spans="12:26" x14ac:dyDescent="0.25">
      <c r="L1037" s="38"/>
      <c r="Z1037" s="38"/>
    </row>
    <row r="1038" spans="12:26" x14ac:dyDescent="0.25">
      <c r="L1038" s="38"/>
      <c r="Z1038" s="38"/>
    </row>
    <row r="1039" spans="12:26" x14ac:dyDescent="0.25">
      <c r="L1039" s="38"/>
      <c r="Z1039" s="38"/>
    </row>
    <row r="1040" spans="12:26" x14ac:dyDescent="0.25">
      <c r="L1040" s="38"/>
      <c r="Z1040" s="38"/>
    </row>
    <row r="1041" spans="12:26" x14ac:dyDescent="0.25">
      <c r="L1041" s="38"/>
      <c r="Z1041" s="38"/>
    </row>
    <row r="1042" spans="12:26" x14ac:dyDescent="0.25">
      <c r="L1042" s="38"/>
      <c r="Z1042" s="38"/>
    </row>
    <row r="1043" spans="12:26" x14ac:dyDescent="0.25">
      <c r="L1043" s="38"/>
      <c r="Z1043" s="38"/>
    </row>
    <row r="1044" spans="12:26" x14ac:dyDescent="0.25">
      <c r="L1044" s="38"/>
      <c r="Z1044" s="38"/>
    </row>
    <row r="1045" spans="12:26" x14ac:dyDescent="0.25">
      <c r="L1045" s="38"/>
      <c r="Z1045" s="38"/>
    </row>
    <row r="1046" spans="12:26" x14ac:dyDescent="0.25">
      <c r="L1046" s="38"/>
      <c r="Z1046" s="38"/>
    </row>
    <row r="1047" spans="12:26" x14ac:dyDescent="0.25">
      <c r="L1047" s="38"/>
      <c r="Z1047" s="38"/>
    </row>
    <row r="1048" spans="12:26" x14ac:dyDescent="0.25">
      <c r="L1048" s="38"/>
      <c r="Z1048" s="38"/>
    </row>
    <row r="1049" spans="12:26" x14ac:dyDescent="0.25">
      <c r="L1049" s="38"/>
      <c r="Z1049" s="38"/>
    </row>
    <row r="1050" spans="12:26" x14ac:dyDescent="0.25">
      <c r="L1050" s="38"/>
      <c r="Z1050" s="38"/>
    </row>
    <row r="1051" spans="12:26" x14ac:dyDescent="0.25">
      <c r="L1051" s="38"/>
      <c r="Z1051" s="38"/>
    </row>
    <row r="1052" spans="12:26" x14ac:dyDescent="0.25">
      <c r="L1052" s="38"/>
      <c r="Z1052" s="38"/>
    </row>
    <row r="1053" spans="12:26" x14ac:dyDescent="0.25">
      <c r="L1053" s="38"/>
      <c r="Z1053" s="38"/>
    </row>
    <row r="1054" spans="12:26" x14ac:dyDescent="0.25">
      <c r="L1054" s="38"/>
      <c r="Z1054" s="38"/>
    </row>
    <row r="1055" spans="12:26" x14ac:dyDescent="0.25">
      <c r="L1055" s="38"/>
      <c r="Z1055" s="38"/>
    </row>
    <row r="1056" spans="12:26" x14ac:dyDescent="0.25">
      <c r="L1056" s="38"/>
      <c r="Z1056" s="38"/>
    </row>
    <row r="1057" spans="12:26" x14ac:dyDescent="0.25">
      <c r="L1057" s="38"/>
      <c r="Z1057" s="38"/>
    </row>
    <row r="1058" spans="12:26" x14ac:dyDescent="0.25">
      <c r="L1058" s="38"/>
      <c r="Z1058" s="38"/>
    </row>
    <row r="1059" spans="12:26" x14ac:dyDescent="0.25">
      <c r="L1059" s="38"/>
      <c r="Z1059" s="38"/>
    </row>
    <row r="1060" spans="12:26" x14ac:dyDescent="0.25">
      <c r="L1060" s="38"/>
      <c r="Z1060" s="38"/>
    </row>
    <row r="1061" spans="12:26" x14ac:dyDescent="0.25">
      <c r="L1061" s="38"/>
      <c r="Z1061" s="38"/>
    </row>
    <row r="1062" spans="12:26" x14ac:dyDescent="0.25">
      <c r="L1062" s="38"/>
      <c r="Z1062" s="38"/>
    </row>
    <row r="1063" spans="12:26" x14ac:dyDescent="0.25">
      <c r="L1063" s="38"/>
      <c r="Z1063" s="38"/>
    </row>
    <row r="1064" spans="12:26" x14ac:dyDescent="0.25">
      <c r="L1064" s="38"/>
      <c r="Z1064" s="38"/>
    </row>
    <row r="1065" spans="12:26" x14ac:dyDescent="0.25">
      <c r="L1065" s="38"/>
      <c r="Z1065" s="38"/>
    </row>
    <row r="1066" spans="12:26" x14ac:dyDescent="0.25">
      <c r="L1066" s="38"/>
      <c r="Z1066" s="38"/>
    </row>
    <row r="1067" spans="12:26" x14ac:dyDescent="0.25">
      <c r="L1067" s="38"/>
      <c r="Z1067" s="38"/>
    </row>
    <row r="1068" spans="12:26" x14ac:dyDescent="0.25">
      <c r="L1068" s="38"/>
      <c r="Z1068" s="38"/>
    </row>
    <row r="1069" spans="12:26" x14ac:dyDescent="0.25">
      <c r="L1069" s="38"/>
      <c r="Z1069" s="38"/>
    </row>
    <row r="1070" spans="12:26" x14ac:dyDescent="0.25">
      <c r="L1070" s="38"/>
      <c r="Z1070" s="38"/>
    </row>
    <row r="1071" spans="12:26" x14ac:dyDescent="0.25">
      <c r="L1071" s="38"/>
      <c r="Z1071" s="38"/>
    </row>
    <row r="1072" spans="12:26" x14ac:dyDescent="0.25">
      <c r="L1072" s="38"/>
      <c r="Z1072" s="38"/>
    </row>
    <row r="1073" spans="12:26" x14ac:dyDescent="0.25">
      <c r="L1073" s="38"/>
      <c r="Z1073" s="38"/>
    </row>
    <row r="1074" spans="12:26" x14ac:dyDescent="0.25">
      <c r="L1074" s="38"/>
      <c r="Z1074" s="38"/>
    </row>
    <row r="1075" spans="12:26" x14ac:dyDescent="0.25">
      <c r="L1075" s="38"/>
      <c r="Z1075" s="38"/>
    </row>
    <row r="1076" spans="12:26" x14ac:dyDescent="0.25">
      <c r="L1076" s="38"/>
      <c r="Z1076" s="38"/>
    </row>
    <row r="1077" spans="12:26" x14ac:dyDescent="0.25">
      <c r="L1077" s="38"/>
      <c r="Z1077" s="38"/>
    </row>
    <row r="1078" spans="12:26" x14ac:dyDescent="0.25">
      <c r="L1078" s="38"/>
      <c r="Z1078" s="38"/>
    </row>
    <row r="1079" spans="12:26" x14ac:dyDescent="0.25">
      <c r="L1079" s="38"/>
      <c r="Z1079" s="38"/>
    </row>
    <row r="1080" spans="12:26" x14ac:dyDescent="0.25">
      <c r="L1080" s="38"/>
      <c r="Z1080" s="38"/>
    </row>
    <row r="1081" spans="12:26" x14ac:dyDescent="0.25">
      <c r="L1081" s="38"/>
      <c r="Z1081" s="38"/>
    </row>
    <row r="1082" spans="12:26" x14ac:dyDescent="0.25">
      <c r="L1082" s="38"/>
      <c r="Z1082" s="38"/>
    </row>
    <row r="1083" spans="12:26" x14ac:dyDescent="0.25">
      <c r="L1083" s="38"/>
      <c r="Z1083" s="38"/>
    </row>
    <row r="1084" spans="12:26" x14ac:dyDescent="0.25">
      <c r="L1084" s="38"/>
      <c r="Z1084" s="38"/>
    </row>
    <row r="1085" spans="12:26" x14ac:dyDescent="0.25">
      <c r="L1085" s="38"/>
      <c r="Z1085" s="38"/>
    </row>
    <row r="1086" spans="12:26" x14ac:dyDescent="0.25">
      <c r="L1086" s="38"/>
      <c r="Z1086" s="38"/>
    </row>
    <row r="1087" spans="12:26" x14ac:dyDescent="0.25">
      <c r="L1087" s="38"/>
      <c r="Z1087" s="38"/>
    </row>
    <row r="1088" spans="12:26" x14ac:dyDescent="0.25">
      <c r="L1088" s="38"/>
      <c r="Z1088" s="38"/>
    </row>
    <row r="1089" spans="12:26" x14ac:dyDescent="0.25">
      <c r="L1089" s="38"/>
      <c r="Z1089" s="38"/>
    </row>
    <row r="1090" spans="12:26" x14ac:dyDescent="0.25">
      <c r="L1090" s="38"/>
      <c r="Z1090" s="38"/>
    </row>
    <row r="1091" spans="12:26" x14ac:dyDescent="0.25">
      <c r="L1091" s="38"/>
      <c r="Z1091" s="38"/>
    </row>
    <row r="1092" spans="12:26" x14ac:dyDescent="0.25">
      <c r="L1092" s="38"/>
      <c r="Z1092" s="38"/>
    </row>
    <row r="1093" spans="12:26" x14ac:dyDescent="0.25">
      <c r="L1093" s="38"/>
      <c r="Z1093" s="38"/>
    </row>
    <row r="1094" spans="12:26" x14ac:dyDescent="0.25">
      <c r="L1094" s="38"/>
      <c r="Z1094" s="38"/>
    </row>
    <row r="1095" spans="12:26" x14ac:dyDescent="0.25">
      <c r="L1095" s="38"/>
      <c r="Z1095" s="38"/>
    </row>
    <row r="1096" spans="12:26" x14ac:dyDescent="0.25">
      <c r="L1096" s="38"/>
      <c r="Z1096" s="38"/>
    </row>
    <row r="1097" spans="12:26" x14ac:dyDescent="0.25">
      <c r="L1097" s="38"/>
      <c r="Z1097" s="38"/>
    </row>
    <row r="1098" spans="12:26" x14ac:dyDescent="0.25">
      <c r="L1098" s="38"/>
      <c r="Z1098" s="38"/>
    </row>
    <row r="1099" spans="12:26" x14ac:dyDescent="0.25">
      <c r="L1099" s="38"/>
      <c r="Z1099" s="38"/>
    </row>
    <row r="1100" spans="12:26" x14ac:dyDescent="0.25">
      <c r="L1100" s="38"/>
      <c r="Z1100" s="38"/>
    </row>
    <row r="1101" spans="12:26" x14ac:dyDescent="0.25">
      <c r="L1101" s="38"/>
      <c r="Z1101" s="38"/>
    </row>
    <row r="1102" spans="12:26" x14ac:dyDescent="0.25">
      <c r="L1102" s="38"/>
      <c r="Z1102" s="38"/>
    </row>
    <row r="1103" spans="12:26" x14ac:dyDescent="0.25">
      <c r="L1103" s="38"/>
      <c r="Z1103" s="38"/>
    </row>
    <row r="1104" spans="12:26" x14ac:dyDescent="0.25">
      <c r="L1104" s="38"/>
      <c r="Z1104" s="38"/>
    </row>
    <row r="1105" spans="12:26" x14ac:dyDescent="0.25">
      <c r="L1105" s="38"/>
      <c r="Z1105" s="38"/>
    </row>
    <row r="1106" spans="12:26" x14ac:dyDescent="0.25">
      <c r="L1106" s="38"/>
      <c r="Z1106" s="38"/>
    </row>
    <row r="1107" spans="12:26" x14ac:dyDescent="0.25">
      <c r="L1107" s="38"/>
      <c r="Z1107" s="38"/>
    </row>
    <row r="1108" spans="12:26" x14ac:dyDescent="0.25">
      <c r="L1108" s="38"/>
      <c r="Z1108" s="38"/>
    </row>
    <row r="1109" spans="12:26" x14ac:dyDescent="0.25">
      <c r="L1109" s="38"/>
      <c r="Z1109" s="38"/>
    </row>
    <row r="1110" spans="12:26" x14ac:dyDescent="0.25">
      <c r="L1110" s="38"/>
      <c r="Z1110" s="38"/>
    </row>
    <row r="1111" spans="12:26" x14ac:dyDescent="0.25">
      <c r="L1111" s="38"/>
      <c r="Z1111" s="38"/>
    </row>
    <row r="1112" spans="12:26" x14ac:dyDescent="0.25">
      <c r="L1112" s="38"/>
      <c r="Z1112" s="38"/>
    </row>
    <row r="1113" spans="12:26" x14ac:dyDescent="0.25">
      <c r="L1113" s="38"/>
      <c r="Z1113" s="38"/>
    </row>
    <row r="1114" spans="12:26" x14ac:dyDescent="0.25">
      <c r="L1114" s="38"/>
      <c r="Z1114" s="38"/>
    </row>
    <row r="1115" spans="12:26" x14ac:dyDescent="0.25">
      <c r="L1115" s="38"/>
      <c r="Z1115" s="38"/>
    </row>
    <row r="1116" spans="12:26" x14ac:dyDescent="0.25">
      <c r="L1116" s="38"/>
      <c r="Z1116" s="38"/>
    </row>
    <row r="1117" spans="12:26" x14ac:dyDescent="0.25">
      <c r="L1117" s="38"/>
      <c r="Z1117" s="38"/>
    </row>
    <row r="1118" spans="12:26" x14ac:dyDescent="0.25">
      <c r="L1118" s="38"/>
      <c r="Z1118" s="38"/>
    </row>
    <row r="1119" spans="12:26" x14ac:dyDescent="0.25">
      <c r="L1119" s="38"/>
      <c r="Z1119" s="38"/>
    </row>
    <row r="1120" spans="12:26" x14ac:dyDescent="0.25">
      <c r="L1120" s="38"/>
      <c r="Z1120" s="38"/>
    </row>
    <row r="1121" spans="12:26" x14ac:dyDescent="0.25">
      <c r="L1121" s="38"/>
      <c r="Z1121" s="38"/>
    </row>
    <row r="1122" spans="12:26" x14ac:dyDescent="0.25">
      <c r="L1122" s="38"/>
      <c r="Z1122" s="38"/>
    </row>
    <row r="1123" spans="12:26" x14ac:dyDescent="0.25">
      <c r="L1123" s="38"/>
      <c r="Z1123" s="38"/>
    </row>
    <row r="1124" spans="12:26" x14ac:dyDescent="0.25">
      <c r="L1124" s="38"/>
      <c r="Z1124" s="38"/>
    </row>
    <row r="1125" spans="12:26" x14ac:dyDescent="0.25">
      <c r="L1125" s="38"/>
      <c r="Z1125" s="38"/>
    </row>
    <row r="1126" spans="12:26" x14ac:dyDescent="0.25">
      <c r="L1126" s="38"/>
      <c r="Z1126" s="38"/>
    </row>
    <row r="1127" spans="12:26" x14ac:dyDescent="0.25">
      <c r="L1127" s="38"/>
      <c r="Z1127" s="38"/>
    </row>
    <row r="1128" spans="12:26" x14ac:dyDescent="0.25">
      <c r="L1128" s="38"/>
      <c r="Z1128" s="38"/>
    </row>
    <row r="1129" spans="12:26" x14ac:dyDescent="0.25">
      <c r="L1129" s="38"/>
      <c r="Z1129" s="38"/>
    </row>
    <row r="1130" spans="12:26" x14ac:dyDescent="0.25">
      <c r="L1130" s="38"/>
      <c r="Z1130" s="38"/>
    </row>
    <row r="1131" spans="12:26" x14ac:dyDescent="0.25">
      <c r="L1131" s="38"/>
      <c r="Z1131" s="38"/>
    </row>
    <row r="1132" spans="12:26" x14ac:dyDescent="0.25">
      <c r="L1132" s="38"/>
      <c r="Z1132" s="38"/>
    </row>
    <row r="1133" spans="12:26" x14ac:dyDescent="0.25">
      <c r="L1133" s="38"/>
      <c r="Z1133" s="38"/>
    </row>
    <row r="1134" spans="12:26" x14ac:dyDescent="0.25">
      <c r="L1134" s="38"/>
      <c r="Z1134" s="38"/>
    </row>
    <row r="1135" spans="12:26" x14ac:dyDescent="0.25">
      <c r="L1135" s="38"/>
      <c r="Z1135" s="38"/>
    </row>
    <row r="1136" spans="12:26" x14ac:dyDescent="0.25">
      <c r="L1136" s="38"/>
      <c r="Z1136" s="38"/>
    </row>
    <row r="1137" spans="12:26" x14ac:dyDescent="0.25">
      <c r="L1137" s="38"/>
      <c r="Z1137" s="38"/>
    </row>
    <row r="1138" spans="12:26" x14ac:dyDescent="0.25">
      <c r="L1138" s="38"/>
      <c r="Z1138" s="38"/>
    </row>
    <row r="1139" spans="12:26" x14ac:dyDescent="0.25">
      <c r="L1139" s="38"/>
      <c r="Z1139" s="38"/>
    </row>
    <row r="1140" spans="12:26" x14ac:dyDescent="0.25">
      <c r="L1140" s="38"/>
      <c r="Z1140" s="38"/>
    </row>
    <row r="1141" spans="12:26" x14ac:dyDescent="0.25">
      <c r="L1141" s="38"/>
      <c r="Z1141" s="38"/>
    </row>
    <row r="1142" spans="12:26" x14ac:dyDescent="0.25">
      <c r="L1142" s="38"/>
      <c r="Z1142" s="38"/>
    </row>
    <row r="1143" spans="12:26" x14ac:dyDescent="0.25">
      <c r="L1143" s="38"/>
      <c r="Z1143" s="38"/>
    </row>
    <row r="1144" spans="12:26" x14ac:dyDescent="0.25">
      <c r="L1144" s="38"/>
      <c r="Z1144" s="38"/>
    </row>
    <row r="1145" spans="12:26" x14ac:dyDescent="0.25">
      <c r="L1145" s="38"/>
      <c r="Z1145" s="38"/>
    </row>
    <row r="1146" spans="12:26" x14ac:dyDescent="0.25">
      <c r="L1146" s="38"/>
      <c r="Z1146" s="38"/>
    </row>
    <row r="1147" spans="12:26" x14ac:dyDescent="0.25">
      <c r="L1147" s="38"/>
      <c r="Z1147" s="38"/>
    </row>
    <row r="1148" spans="12:26" x14ac:dyDescent="0.25">
      <c r="L1148" s="38"/>
      <c r="Z1148" s="38"/>
    </row>
    <row r="1149" spans="12:26" x14ac:dyDescent="0.25">
      <c r="L1149" s="38"/>
      <c r="Z1149" s="38"/>
    </row>
    <row r="1150" spans="12:26" x14ac:dyDescent="0.25">
      <c r="L1150" s="38"/>
      <c r="Z1150" s="38"/>
    </row>
    <row r="1151" spans="12:26" x14ac:dyDescent="0.25">
      <c r="L1151" s="38"/>
      <c r="Z1151" s="38"/>
    </row>
    <row r="1152" spans="12:26" x14ac:dyDescent="0.25">
      <c r="L1152" s="38"/>
      <c r="Z1152" s="38"/>
    </row>
    <row r="1153" spans="12:26" x14ac:dyDescent="0.25">
      <c r="L1153" s="38"/>
      <c r="Z1153" s="38"/>
    </row>
    <row r="1154" spans="12:26" x14ac:dyDescent="0.25">
      <c r="L1154" s="38"/>
      <c r="Z1154" s="38"/>
    </row>
    <row r="1155" spans="12:26" x14ac:dyDescent="0.25">
      <c r="L1155" s="38"/>
      <c r="Z1155" s="38"/>
    </row>
    <row r="1156" spans="12:26" x14ac:dyDescent="0.25">
      <c r="L1156" s="38"/>
      <c r="Z1156" s="38"/>
    </row>
    <row r="1157" spans="12:26" x14ac:dyDescent="0.25">
      <c r="L1157" s="38"/>
      <c r="Z1157" s="38"/>
    </row>
    <row r="1158" spans="12:26" x14ac:dyDescent="0.25">
      <c r="L1158" s="38"/>
      <c r="Z1158" s="38"/>
    </row>
    <row r="1159" spans="12:26" x14ac:dyDescent="0.25">
      <c r="L1159" s="38"/>
      <c r="Z1159" s="38"/>
    </row>
    <row r="1160" spans="12:26" x14ac:dyDescent="0.25">
      <c r="L1160" s="38"/>
      <c r="Z1160" s="38"/>
    </row>
    <row r="1161" spans="12:26" x14ac:dyDescent="0.25">
      <c r="L1161" s="38"/>
      <c r="Z1161" s="38"/>
    </row>
    <row r="1162" spans="12:26" x14ac:dyDescent="0.25">
      <c r="L1162" s="38"/>
      <c r="Z1162" s="38"/>
    </row>
    <row r="1163" spans="12:26" x14ac:dyDescent="0.25">
      <c r="L1163" s="38"/>
      <c r="Z1163" s="38"/>
    </row>
    <row r="1164" spans="12:26" x14ac:dyDescent="0.25">
      <c r="L1164" s="38"/>
      <c r="Z1164" s="38"/>
    </row>
    <row r="1165" spans="12:26" x14ac:dyDescent="0.25">
      <c r="L1165" s="38"/>
      <c r="Z1165" s="38"/>
    </row>
    <row r="1166" spans="12:26" x14ac:dyDescent="0.25">
      <c r="L1166" s="38"/>
      <c r="Z1166" s="38"/>
    </row>
    <row r="1167" spans="12:26" x14ac:dyDescent="0.25">
      <c r="L1167" s="38"/>
      <c r="Z1167" s="38"/>
    </row>
    <row r="1168" spans="12:26" x14ac:dyDescent="0.25">
      <c r="L1168" s="38"/>
      <c r="Z1168" s="38"/>
    </row>
    <row r="1169" spans="12:26" x14ac:dyDescent="0.25">
      <c r="L1169" s="38"/>
      <c r="Z1169" s="38"/>
    </row>
    <row r="1170" spans="12:26" x14ac:dyDescent="0.25">
      <c r="L1170" s="38"/>
      <c r="Z1170" s="38"/>
    </row>
    <row r="1171" spans="12:26" x14ac:dyDescent="0.25">
      <c r="L1171" s="38"/>
      <c r="Z1171" s="38"/>
    </row>
    <row r="1172" spans="12:26" x14ac:dyDescent="0.25">
      <c r="L1172" s="38"/>
      <c r="Z1172" s="38"/>
    </row>
    <row r="1173" spans="12:26" x14ac:dyDescent="0.25">
      <c r="L1173" s="38"/>
      <c r="Z1173" s="38"/>
    </row>
    <row r="1174" spans="12:26" x14ac:dyDescent="0.25">
      <c r="L1174" s="38"/>
      <c r="Z1174" s="38"/>
    </row>
    <row r="1175" spans="12:26" x14ac:dyDescent="0.25">
      <c r="L1175" s="38"/>
      <c r="Z1175" s="38"/>
    </row>
    <row r="1176" spans="12:26" x14ac:dyDescent="0.25">
      <c r="L1176" s="38"/>
      <c r="Z1176" s="38"/>
    </row>
    <row r="1177" spans="12:26" x14ac:dyDescent="0.25">
      <c r="L1177" s="38"/>
      <c r="Z1177" s="38"/>
    </row>
    <row r="1178" spans="12:26" x14ac:dyDescent="0.25">
      <c r="L1178" s="38"/>
      <c r="Z1178" s="38"/>
    </row>
    <row r="1179" spans="12:26" x14ac:dyDescent="0.25">
      <c r="L1179" s="38"/>
      <c r="Z1179" s="38"/>
    </row>
    <row r="1180" spans="12:26" x14ac:dyDescent="0.25">
      <c r="L1180" s="38"/>
      <c r="Z1180" s="38"/>
    </row>
    <row r="1181" spans="12:26" x14ac:dyDescent="0.25">
      <c r="L1181" s="38"/>
      <c r="Z1181" s="38"/>
    </row>
    <row r="1182" spans="12:26" x14ac:dyDescent="0.25">
      <c r="L1182" s="38"/>
      <c r="Z1182" s="38"/>
    </row>
    <row r="1183" spans="12:26" x14ac:dyDescent="0.25">
      <c r="L1183" s="38"/>
      <c r="Z1183" s="38"/>
    </row>
    <row r="1184" spans="12:26" x14ac:dyDescent="0.25">
      <c r="L1184" s="38"/>
      <c r="Z1184" s="38"/>
    </row>
    <row r="1185" spans="12:26" x14ac:dyDescent="0.25">
      <c r="L1185" s="38"/>
      <c r="Z1185" s="38"/>
    </row>
    <row r="1186" spans="12:26" x14ac:dyDescent="0.25">
      <c r="L1186" s="38"/>
      <c r="Z1186" s="38"/>
    </row>
    <row r="1187" spans="12:26" x14ac:dyDescent="0.25">
      <c r="L1187" s="38"/>
      <c r="Z1187" s="38"/>
    </row>
    <row r="1188" spans="12:26" x14ac:dyDescent="0.25">
      <c r="L1188" s="38"/>
      <c r="Z1188" s="38"/>
    </row>
    <row r="1189" spans="12:26" x14ac:dyDescent="0.25">
      <c r="L1189" s="38"/>
      <c r="Z1189" s="38"/>
    </row>
    <row r="1190" spans="12:26" x14ac:dyDescent="0.25">
      <c r="L1190" s="38"/>
      <c r="Z1190" s="38"/>
    </row>
    <row r="1191" spans="12:26" x14ac:dyDescent="0.25">
      <c r="L1191" s="38"/>
      <c r="Z1191" s="38"/>
    </row>
    <row r="1192" spans="12:26" x14ac:dyDescent="0.25">
      <c r="L1192" s="38"/>
      <c r="Z1192" s="38"/>
    </row>
    <row r="1193" spans="12:26" x14ac:dyDescent="0.25">
      <c r="L1193" s="38"/>
      <c r="Z1193" s="38"/>
    </row>
    <row r="1194" spans="12:26" x14ac:dyDescent="0.25">
      <c r="L1194" s="38"/>
      <c r="Z1194" s="38"/>
    </row>
    <row r="1195" spans="12:26" x14ac:dyDescent="0.25">
      <c r="L1195" s="38"/>
      <c r="Z1195" s="38"/>
    </row>
    <row r="1196" spans="12:26" x14ac:dyDescent="0.25">
      <c r="L1196" s="38"/>
      <c r="Z1196" s="38"/>
    </row>
    <row r="1197" spans="12:26" x14ac:dyDescent="0.25">
      <c r="L1197" s="38"/>
      <c r="Z1197" s="38"/>
    </row>
    <row r="1198" spans="12:26" x14ac:dyDescent="0.25">
      <c r="L1198" s="38"/>
      <c r="Z1198" s="38"/>
    </row>
    <row r="1199" spans="12:26" x14ac:dyDescent="0.25">
      <c r="L1199" s="38"/>
      <c r="Z1199" s="38"/>
    </row>
    <row r="1200" spans="12:26" x14ac:dyDescent="0.25">
      <c r="L1200" s="38"/>
      <c r="Z1200" s="38"/>
    </row>
    <row r="1201" spans="12:26" x14ac:dyDescent="0.25">
      <c r="L1201" s="38"/>
      <c r="Z1201" s="38"/>
    </row>
    <row r="1202" spans="12:26" x14ac:dyDescent="0.25">
      <c r="L1202" s="38"/>
      <c r="Z1202" s="38"/>
    </row>
    <row r="1203" spans="12:26" x14ac:dyDescent="0.25">
      <c r="L1203" s="38"/>
      <c r="Z1203" s="38"/>
    </row>
    <row r="1204" spans="12:26" x14ac:dyDescent="0.25">
      <c r="L1204" s="38"/>
      <c r="Z1204" s="38"/>
    </row>
    <row r="1205" spans="12:26" x14ac:dyDescent="0.25">
      <c r="L1205" s="38"/>
      <c r="Z1205" s="38"/>
    </row>
    <row r="1206" spans="12:26" x14ac:dyDescent="0.25">
      <c r="L1206" s="38"/>
      <c r="Z1206" s="38"/>
    </row>
    <row r="1207" spans="12:26" x14ac:dyDescent="0.25">
      <c r="L1207" s="38"/>
      <c r="Z1207" s="38"/>
    </row>
    <row r="1208" spans="12:26" x14ac:dyDescent="0.25">
      <c r="L1208" s="38"/>
      <c r="Z1208" s="38"/>
    </row>
    <row r="1209" spans="12:26" x14ac:dyDescent="0.25">
      <c r="L1209" s="38"/>
      <c r="Z1209" s="38"/>
    </row>
    <row r="1210" spans="12:26" x14ac:dyDescent="0.25">
      <c r="L1210" s="38"/>
      <c r="Z1210" s="38"/>
    </row>
    <row r="1211" spans="12:26" x14ac:dyDescent="0.25">
      <c r="L1211" s="38"/>
      <c r="Z1211" s="38"/>
    </row>
    <row r="1212" spans="12:26" x14ac:dyDescent="0.25">
      <c r="L1212" s="38"/>
      <c r="Z1212" s="38"/>
    </row>
    <row r="1213" spans="12:26" x14ac:dyDescent="0.25">
      <c r="L1213" s="38"/>
      <c r="Z1213" s="38"/>
    </row>
    <row r="1214" spans="12:26" x14ac:dyDescent="0.25">
      <c r="L1214" s="38"/>
      <c r="Z1214" s="38"/>
    </row>
    <row r="1215" spans="12:26" x14ac:dyDescent="0.25">
      <c r="L1215" s="38"/>
      <c r="Z1215" s="38"/>
    </row>
    <row r="1216" spans="12:26" x14ac:dyDescent="0.25">
      <c r="L1216" s="38"/>
      <c r="Z1216" s="38"/>
    </row>
    <row r="1217" spans="12:26" x14ac:dyDescent="0.25">
      <c r="L1217" s="38"/>
      <c r="Z1217" s="38"/>
    </row>
    <row r="1218" spans="12:26" x14ac:dyDescent="0.25">
      <c r="L1218" s="38"/>
      <c r="Z1218" s="38"/>
    </row>
    <row r="1219" spans="12:26" x14ac:dyDescent="0.25">
      <c r="L1219" s="38"/>
      <c r="Z1219" s="38"/>
    </row>
    <row r="1220" spans="12:26" x14ac:dyDescent="0.25">
      <c r="L1220" s="38"/>
      <c r="Z1220" s="38"/>
    </row>
    <row r="1221" spans="12:26" x14ac:dyDescent="0.25">
      <c r="L1221" s="38"/>
      <c r="Z1221" s="38"/>
    </row>
    <row r="1222" spans="12:26" x14ac:dyDescent="0.25">
      <c r="L1222" s="38"/>
      <c r="Z1222" s="38"/>
    </row>
    <row r="1223" spans="12:26" x14ac:dyDescent="0.25">
      <c r="L1223" s="38"/>
      <c r="Z1223" s="38"/>
    </row>
    <row r="1224" spans="12:26" x14ac:dyDescent="0.25">
      <c r="L1224" s="38"/>
      <c r="Z1224" s="38"/>
    </row>
    <row r="1225" spans="12:26" x14ac:dyDescent="0.25">
      <c r="L1225" s="38"/>
      <c r="Z1225" s="38"/>
    </row>
    <row r="1226" spans="12:26" x14ac:dyDescent="0.25">
      <c r="L1226" s="38"/>
      <c r="Z1226" s="38"/>
    </row>
    <row r="1227" spans="12:26" x14ac:dyDescent="0.25">
      <c r="L1227" s="38"/>
      <c r="Z1227" s="38"/>
    </row>
    <row r="1228" spans="12:26" x14ac:dyDescent="0.25">
      <c r="L1228" s="38"/>
      <c r="Z1228" s="38"/>
    </row>
    <row r="1229" spans="12:26" x14ac:dyDescent="0.25">
      <c r="L1229" s="38"/>
      <c r="Z1229" s="38"/>
    </row>
    <row r="1230" spans="12:26" x14ac:dyDescent="0.25">
      <c r="L1230" s="38"/>
      <c r="Z1230" s="38"/>
    </row>
    <row r="1231" spans="12:26" x14ac:dyDescent="0.25">
      <c r="L1231" s="38"/>
      <c r="Z1231" s="38"/>
    </row>
    <row r="1232" spans="12:26" x14ac:dyDescent="0.25">
      <c r="L1232" s="38"/>
      <c r="Z1232" s="38"/>
    </row>
    <row r="1233" spans="12:26" x14ac:dyDescent="0.25">
      <c r="L1233" s="38"/>
      <c r="Z1233" s="38"/>
    </row>
    <row r="1234" spans="12:26" x14ac:dyDescent="0.25">
      <c r="L1234" s="38"/>
      <c r="Z1234" s="38"/>
    </row>
    <row r="1235" spans="12:26" x14ac:dyDescent="0.25">
      <c r="L1235" s="38"/>
      <c r="Z1235" s="38"/>
    </row>
    <row r="1236" spans="12:26" x14ac:dyDescent="0.25">
      <c r="L1236" s="38"/>
      <c r="Z1236" s="38"/>
    </row>
    <row r="1237" spans="12:26" x14ac:dyDescent="0.25">
      <c r="L1237" s="38"/>
      <c r="Z1237" s="38"/>
    </row>
    <row r="1238" spans="12:26" x14ac:dyDescent="0.25">
      <c r="L1238" s="38"/>
      <c r="Z1238" s="38"/>
    </row>
    <row r="1239" spans="12:26" x14ac:dyDescent="0.25">
      <c r="L1239" s="38"/>
      <c r="Z1239" s="38"/>
    </row>
    <row r="1240" spans="12:26" x14ac:dyDescent="0.25">
      <c r="L1240" s="38"/>
      <c r="Z1240" s="38"/>
    </row>
    <row r="1241" spans="12:26" x14ac:dyDescent="0.25">
      <c r="L1241" s="38"/>
      <c r="Z1241" s="38"/>
    </row>
    <row r="1242" spans="12:26" x14ac:dyDescent="0.25">
      <c r="L1242" s="38"/>
      <c r="Z1242" s="38"/>
    </row>
    <row r="1243" spans="12:26" x14ac:dyDescent="0.25">
      <c r="L1243" s="38"/>
      <c r="Z1243" s="38"/>
    </row>
    <row r="1244" spans="12:26" x14ac:dyDescent="0.25">
      <c r="L1244" s="38"/>
      <c r="Z1244" s="38"/>
    </row>
    <row r="1245" spans="12:26" x14ac:dyDescent="0.25">
      <c r="L1245" s="38"/>
      <c r="Z1245" s="38"/>
    </row>
    <row r="1246" spans="12:26" x14ac:dyDescent="0.25">
      <c r="L1246" s="38"/>
      <c r="Z1246" s="38"/>
    </row>
    <row r="1247" spans="12:26" x14ac:dyDescent="0.25">
      <c r="L1247" s="38"/>
      <c r="Z1247" s="38"/>
    </row>
    <row r="1248" spans="12:26" x14ac:dyDescent="0.25">
      <c r="L1248" s="38"/>
      <c r="Z1248" s="38"/>
    </row>
    <row r="1249" spans="12:26" x14ac:dyDescent="0.25">
      <c r="L1249" s="38"/>
      <c r="Z1249" s="38"/>
    </row>
    <row r="1250" spans="12:26" x14ac:dyDescent="0.25">
      <c r="L1250" s="38"/>
      <c r="Z1250" s="38"/>
    </row>
    <row r="1251" spans="12:26" x14ac:dyDescent="0.25">
      <c r="L1251" s="38"/>
      <c r="Z1251" s="38"/>
    </row>
    <row r="1252" spans="12:26" x14ac:dyDescent="0.25">
      <c r="L1252" s="38"/>
      <c r="Z1252" s="38"/>
    </row>
    <row r="1253" spans="12:26" x14ac:dyDescent="0.25">
      <c r="L1253" s="38"/>
      <c r="Z1253" s="38"/>
    </row>
    <row r="1254" spans="12:26" x14ac:dyDescent="0.25">
      <c r="L1254" s="38"/>
      <c r="Z1254" s="38"/>
    </row>
    <row r="1255" spans="12:26" x14ac:dyDescent="0.25">
      <c r="L1255" s="38"/>
      <c r="Z1255" s="38"/>
    </row>
    <row r="1256" spans="12:26" x14ac:dyDescent="0.25">
      <c r="L1256" s="38"/>
      <c r="Z1256" s="38"/>
    </row>
    <row r="1257" spans="12:26" x14ac:dyDescent="0.25">
      <c r="L1257" s="38"/>
      <c r="Z1257" s="38"/>
    </row>
    <row r="1258" spans="12:26" x14ac:dyDescent="0.25">
      <c r="L1258" s="38"/>
      <c r="Z1258" s="38"/>
    </row>
    <row r="1259" spans="12:26" x14ac:dyDescent="0.25">
      <c r="L1259" s="38"/>
      <c r="Z1259" s="38"/>
    </row>
    <row r="1260" spans="12:26" x14ac:dyDescent="0.25">
      <c r="L1260" s="38"/>
      <c r="Z1260" s="38"/>
    </row>
    <row r="1261" spans="12:26" x14ac:dyDescent="0.25">
      <c r="L1261" s="38"/>
      <c r="Z1261" s="38"/>
    </row>
    <row r="1262" spans="12:26" x14ac:dyDescent="0.25">
      <c r="L1262" s="38"/>
      <c r="Z1262" s="38"/>
    </row>
    <row r="1263" spans="12:26" x14ac:dyDescent="0.25">
      <c r="L1263" s="38"/>
      <c r="Z1263" s="38"/>
    </row>
    <row r="1264" spans="12:26" x14ac:dyDescent="0.25">
      <c r="L1264" s="38"/>
      <c r="Z1264" s="38"/>
    </row>
    <row r="1265" spans="12:26" x14ac:dyDescent="0.25">
      <c r="L1265" s="38"/>
      <c r="Z1265" s="38"/>
    </row>
    <row r="1266" spans="12:26" x14ac:dyDescent="0.25">
      <c r="L1266" s="38"/>
      <c r="Z1266" s="38"/>
    </row>
    <row r="1267" spans="12:26" x14ac:dyDescent="0.25">
      <c r="L1267" s="38"/>
      <c r="Z1267" s="38"/>
    </row>
    <row r="1268" spans="12:26" x14ac:dyDescent="0.25">
      <c r="L1268" s="38"/>
      <c r="Z1268" s="38"/>
    </row>
    <row r="1269" spans="12:26" x14ac:dyDescent="0.25">
      <c r="L1269" s="38"/>
      <c r="Z1269" s="38"/>
    </row>
    <row r="1270" spans="12:26" x14ac:dyDescent="0.25">
      <c r="L1270" s="38"/>
      <c r="Z1270" s="38"/>
    </row>
    <row r="1271" spans="12:26" x14ac:dyDescent="0.25">
      <c r="L1271" s="38"/>
      <c r="Z1271" s="38"/>
    </row>
    <row r="1272" spans="12:26" x14ac:dyDescent="0.25">
      <c r="L1272" s="38"/>
      <c r="Z1272" s="38"/>
    </row>
    <row r="1273" spans="12:26" x14ac:dyDescent="0.25">
      <c r="L1273" s="38"/>
      <c r="Z1273" s="38"/>
    </row>
    <row r="1274" spans="12:26" x14ac:dyDescent="0.25">
      <c r="L1274" s="38"/>
      <c r="Z1274" s="38"/>
    </row>
    <row r="1275" spans="12:26" x14ac:dyDescent="0.25">
      <c r="L1275" s="38"/>
      <c r="Z1275" s="38"/>
    </row>
    <row r="1276" spans="12:26" x14ac:dyDescent="0.25">
      <c r="L1276" s="38"/>
      <c r="Z1276" s="38"/>
    </row>
    <row r="1277" spans="12:26" x14ac:dyDescent="0.25">
      <c r="L1277" s="38"/>
      <c r="Z1277" s="38"/>
    </row>
    <row r="1278" spans="12:26" x14ac:dyDescent="0.25">
      <c r="L1278" s="38"/>
      <c r="Z1278" s="38"/>
    </row>
    <row r="1279" spans="12:26" x14ac:dyDescent="0.25">
      <c r="L1279" s="38"/>
      <c r="Z1279" s="38"/>
    </row>
    <row r="1280" spans="12:26" x14ac:dyDescent="0.25">
      <c r="L1280" s="38"/>
      <c r="Z1280" s="38"/>
    </row>
    <row r="1281" spans="12:26" x14ac:dyDescent="0.25">
      <c r="L1281" s="38"/>
      <c r="Z1281" s="38"/>
    </row>
    <row r="1282" spans="12:26" x14ac:dyDescent="0.25">
      <c r="L1282" s="38"/>
      <c r="Z1282" s="38"/>
    </row>
    <row r="1283" spans="12:26" x14ac:dyDescent="0.25">
      <c r="L1283" s="38"/>
      <c r="Z1283" s="38"/>
    </row>
    <row r="1284" spans="12:26" x14ac:dyDescent="0.25">
      <c r="L1284" s="38"/>
      <c r="Z1284" s="38"/>
    </row>
    <row r="1285" spans="12:26" x14ac:dyDescent="0.25">
      <c r="L1285" s="38"/>
      <c r="Z1285" s="38"/>
    </row>
    <row r="1286" spans="12:26" x14ac:dyDescent="0.25">
      <c r="L1286" s="38"/>
      <c r="Z1286" s="38"/>
    </row>
    <row r="1287" spans="12:26" x14ac:dyDescent="0.25">
      <c r="L1287" s="38"/>
      <c r="Z1287" s="38"/>
    </row>
    <row r="1288" spans="12:26" x14ac:dyDescent="0.25">
      <c r="L1288" s="38"/>
      <c r="Z1288" s="38"/>
    </row>
    <row r="1289" spans="12:26" x14ac:dyDescent="0.25">
      <c r="L1289" s="38"/>
      <c r="Z1289" s="38"/>
    </row>
    <row r="1290" spans="12:26" x14ac:dyDescent="0.25">
      <c r="L1290" s="38"/>
      <c r="Z1290" s="38"/>
    </row>
    <row r="1291" spans="12:26" x14ac:dyDescent="0.25">
      <c r="L1291" s="38"/>
      <c r="Z1291" s="38"/>
    </row>
    <row r="1292" spans="12:26" x14ac:dyDescent="0.25">
      <c r="L1292" s="38"/>
      <c r="Z1292" s="38"/>
    </row>
    <row r="1293" spans="12:26" x14ac:dyDescent="0.25">
      <c r="L1293" s="38"/>
      <c r="Z1293" s="38"/>
    </row>
    <row r="1294" spans="12:26" x14ac:dyDescent="0.25">
      <c r="L1294" s="38"/>
      <c r="Z1294" s="38"/>
    </row>
    <row r="1295" spans="12:26" x14ac:dyDescent="0.25">
      <c r="L1295" s="38"/>
      <c r="Z1295" s="38"/>
    </row>
    <row r="1296" spans="12:26" x14ac:dyDescent="0.25">
      <c r="L1296" s="38"/>
      <c r="Z1296" s="38"/>
    </row>
    <row r="1297" spans="12:26" x14ac:dyDescent="0.25">
      <c r="L1297" s="38"/>
      <c r="Z1297" s="38"/>
    </row>
    <row r="1298" spans="12:26" x14ac:dyDescent="0.25">
      <c r="L1298" s="38"/>
      <c r="Z1298" s="38"/>
    </row>
    <row r="1299" spans="12:26" x14ac:dyDescent="0.25">
      <c r="L1299" s="38"/>
      <c r="Z1299" s="38"/>
    </row>
    <row r="1300" spans="12:26" x14ac:dyDescent="0.25">
      <c r="L1300" s="38"/>
      <c r="Z1300" s="38"/>
    </row>
    <row r="1301" spans="12:26" x14ac:dyDescent="0.25">
      <c r="L1301" s="38"/>
      <c r="Z1301" s="38"/>
    </row>
    <row r="1302" spans="12:26" x14ac:dyDescent="0.25">
      <c r="L1302" s="38"/>
      <c r="Z1302" s="38"/>
    </row>
    <row r="1303" spans="12:26" x14ac:dyDescent="0.25">
      <c r="L1303" s="38"/>
      <c r="Z1303" s="38"/>
    </row>
    <row r="1304" spans="12:26" x14ac:dyDescent="0.25">
      <c r="L1304" s="38"/>
      <c r="Z1304" s="38"/>
    </row>
    <row r="1305" spans="12:26" x14ac:dyDescent="0.25">
      <c r="L1305" s="38"/>
      <c r="Z1305" s="38"/>
    </row>
    <row r="1306" spans="12:26" x14ac:dyDescent="0.25">
      <c r="L1306" s="38"/>
      <c r="Z1306" s="38"/>
    </row>
    <row r="1307" spans="12:26" x14ac:dyDescent="0.25">
      <c r="L1307" s="38"/>
      <c r="Z1307" s="38"/>
    </row>
    <row r="1308" spans="12:26" x14ac:dyDescent="0.25">
      <c r="L1308" s="38"/>
      <c r="Z1308" s="38"/>
    </row>
    <row r="1309" spans="12:26" x14ac:dyDescent="0.25">
      <c r="L1309" s="38"/>
      <c r="Z1309" s="38"/>
    </row>
    <row r="1310" spans="12:26" x14ac:dyDescent="0.25">
      <c r="L1310" s="38"/>
      <c r="Z1310" s="38"/>
    </row>
    <row r="1311" spans="12:26" x14ac:dyDescent="0.25">
      <c r="L1311" s="38"/>
      <c r="Z1311" s="38"/>
    </row>
    <row r="1312" spans="12:26" x14ac:dyDescent="0.25">
      <c r="L1312" s="38"/>
      <c r="Z1312" s="38"/>
    </row>
    <row r="1313" spans="12:26" x14ac:dyDescent="0.25">
      <c r="L1313" s="38"/>
      <c r="Z1313" s="38"/>
    </row>
    <row r="1314" spans="12:26" x14ac:dyDescent="0.25">
      <c r="L1314" s="38"/>
      <c r="Z1314" s="38"/>
    </row>
    <row r="1315" spans="12:26" x14ac:dyDescent="0.25">
      <c r="L1315" s="38"/>
      <c r="Z1315" s="38"/>
    </row>
    <row r="1316" spans="12:26" x14ac:dyDescent="0.25">
      <c r="L1316" s="38"/>
      <c r="Z1316" s="38"/>
    </row>
    <row r="1317" spans="12:26" x14ac:dyDescent="0.25">
      <c r="L1317" s="38"/>
      <c r="Z1317" s="38"/>
    </row>
    <row r="1318" spans="12:26" x14ac:dyDescent="0.25">
      <c r="L1318" s="38"/>
      <c r="Z1318" s="38"/>
    </row>
    <row r="1319" spans="12:26" x14ac:dyDescent="0.25">
      <c r="L1319" s="38"/>
      <c r="Z1319" s="38"/>
    </row>
    <row r="1320" spans="12:26" x14ac:dyDescent="0.25">
      <c r="L1320" s="38"/>
      <c r="Z1320" s="38"/>
    </row>
    <row r="1321" spans="12:26" x14ac:dyDescent="0.25">
      <c r="L1321" s="38"/>
      <c r="Z1321" s="38"/>
    </row>
    <row r="1322" spans="12:26" x14ac:dyDescent="0.25">
      <c r="L1322" s="38"/>
      <c r="Z1322" s="38"/>
    </row>
    <row r="1323" spans="12:26" x14ac:dyDescent="0.25">
      <c r="L1323" s="38"/>
      <c r="Z1323" s="38"/>
    </row>
    <row r="1324" spans="12:26" x14ac:dyDescent="0.25">
      <c r="L1324" s="38"/>
      <c r="Z1324" s="38"/>
    </row>
    <row r="1325" spans="12:26" x14ac:dyDescent="0.25">
      <c r="L1325" s="38"/>
      <c r="Z1325" s="38"/>
    </row>
    <row r="1326" spans="12:26" x14ac:dyDescent="0.25">
      <c r="L1326" s="38"/>
      <c r="Z1326" s="38"/>
    </row>
    <row r="1327" spans="12:26" x14ac:dyDescent="0.25">
      <c r="L1327" s="38"/>
      <c r="Z1327" s="38"/>
    </row>
    <row r="1328" spans="12:26" x14ac:dyDescent="0.25">
      <c r="L1328" s="38"/>
      <c r="Z1328" s="38"/>
    </row>
    <row r="1329" spans="12:26" x14ac:dyDescent="0.25">
      <c r="L1329" s="38"/>
      <c r="Z1329" s="38"/>
    </row>
    <row r="1330" spans="12:26" x14ac:dyDescent="0.25">
      <c r="L1330" s="38"/>
      <c r="Z1330" s="38"/>
    </row>
    <row r="1331" spans="12:26" x14ac:dyDescent="0.25">
      <c r="L1331" s="38"/>
      <c r="Z1331" s="38"/>
    </row>
    <row r="1332" spans="12:26" x14ac:dyDescent="0.25">
      <c r="L1332" s="38"/>
      <c r="Z1332" s="38"/>
    </row>
    <row r="1333" spans="12:26" x14ac:dyDescent="0.25">
      <c r="L1333" s="38"/>
      <c r="Z1333" s="38"/>
    </row>
    <row r="1334" spans="12:26" x14ac:dyDescent="0.25">
      <c r="L1334" s="38"/>
      <c r="Z1334" s="38"/>
    </row>
    <row r="1335" spans="12:26" x14ac:dyDescent="0.25">
      <c r="L1335" s="38"/>
      <c r="Z1335" s="38"/>
    </row>
    <row r="1336" spans="12:26" x14ac:dyDescent="0.25">
      <c r="L1336" s="38"/>
      <c r="Z1336" s="38"/>
    </row>
    <row r="1337" spans="12:26" x14ac:dyDescent="0.25">
      <c r="L1337" s="38"/>
      <c r="Z1337" s="38"/>
    </row>
    <row r="1338" spans="12:26" x14ac:dyDescent="0.25">
      <c r="L1338" s="38"/>
      <c r="Z1338" s="38"/>
    </row>
    <row r="1339" spans="12:26" x14ac:dyDescent="0.25">
      <c r="L1339" s="38"/>
      <c r="Z1339" s="38"/>
    </row>
    <row r="1340" spans="12:26" x14ac:dyDescent="0.25">
      <c r="L1340" s="38"/>
      <c r="Z1340" s="38"/>
    </row>
    <row r="1341" spans="12:26" x14ac:dyDescent="0.25">
      <c r="L1341" s="38"/>
      <c r="Z1341" s="38"/>
    </row>
    <row r="1342" spans="12:26" x14ac:dyDescent="0.25">
      <c r="L1342" s="38"/>
      <c r="Z1342" s="38"/>
    </row>
    <row r="1343" spans="12:26" x14ac:dyDescent="0.25">
      <c r="L1343" s="38"/>
      <c r="Z1343" s="38"/>
    </row>
    <row r="1344" spans="12:26" x14ac:dyDescent="0.25">
      <c r="L1344" s="38"/>
      <c r="Z1344" s="38"/>
    </row>
    <row r="1345" spans="12:26" x14ac:dyDescent="0.25">
      <c r="L1345" s="38"/>
      <c r="Z1345" s="38"/>
    </row>
    <row r="1346" spans="12:26" x14ac:dyDescent="0.25">
      <c r="L1346" s="38"/>
      <c r="Z1346" s="38"/>
    </row>
    <row r="1347" spans="12:26" x14ac:dyDescent="0.25">
      <c r="L1347" s="38"/>
      <c r="Z1347" s="38"/>
    </row>
    <row r="1348" spans="12:26" x14ac:dyDescent="0.25">
      <c r="L1348" s="38"/>
      <c r="Z1348" s="38"/>
    </row>
    <row r="1349" spans="12:26" x14ac:dyDescent="0.25">
      <c r="L1349" s="38"/>
      <c r="Z1349" s="38"/>
    </row>
    <row r="1350" spans="12:26" x14ac:dyDescent="0.25">
      <c r="L1350" s="38"/>
      <c r="Z1350" s="38"/>
    </row>
    <row r="1351" spans="12:26" x14ac:dyDescent="0.25">
      <c r="L1351" s="38"/>
      <c r="Z1351" s="38"/>
    </row>
    <row r="1352" spans="12:26" x14ac:dyDescent="0.25">
      <c r="L1352" s="38"/>
      <c r="Z1352" s="38"/>
    </row>
    <row r="1353" spans="12:26" x14ac:dyDescent="0.25">
      <c r="L1353" s="38"/>
      <c r="Z1353" s="38"/>
    </row>
    <row r="1354" spans="12:26" x14ac:dyDescent="0.25">
      <c r="L1354" s="38"/>
      <c r="Z1354" s="38"/>
    </row>
    <row r="1355" spans="12:26" x14ac:dyDescent="0.25">
      <c r="L1355" s="38"/>
      <c r="Z1355" s="38"/>
    </row>
    <row r="1356" spans="12:26" x14ac:dyDescent="0.25">
      <c r="L1356" s="38"/>
      <c r="Z1356" s="38"/>
    </row>
    <row r="1357" spans="12:26" x14ac:dyDescent="0.25">
      <c r="L1357" s="38"/>
      <c r="Z1357" s="38"/>
    </row>
    <row r="1358" spans="12:26" x14ac:dyDescent="0.25">
      <c r="L1358" s="38"/>
      <c r="Z1358" s="38"/>
    </row>
    <row r="1359" spans="12:26" x14ac:dyDescent="0.25">
      <c r="L1359" s="38"/>
      <c r="Z1359" s="38"/>
    </row>
    <row r="1360" spans="12:26" x14ac:dyDescent="0.25">
      <c r="L1360" s="38"/>
      <c r="Z1360" s="38"/>
    </row>
    <row r="1361" spans="12:26" x14ac:dyDescent="0.25">
      <c r="L1361" s="38"/>
      <c r="Z1361" s="38"/>
    </row>
    <row r="1362" spans="12:26" x14ac:dyDescent="0.25">
      <c r="L1362" s="38"/>
      <c r="Z1362" s="38"/>
    </row>
    <row r="1363" spans="12:26" x14ac:dyDescent="0.25">
      <c r="L1363" s="38"/>
      <c r="Z1363" s="38"/>
    </row>
    <row r="1364" spans="12:26" x14ac:dyDescent="0.25">
      <c r="L1364" s="38"/>
      <c r="Z1364" s="38"/>
    </row>
    <row r="1365" spans="12:26" x14ac:dyDescent="0.25">
      <c r="L1365" s="38"/>
      <c r="Z1365" s="38"/>
    </row>
    <row r="1366" spans="12:26" x14ac:dyDescent="0.25">
      <c r="L1366" s="38"/>
      <c r="Z1366" s="38"/>
    </row>
    <row r="1367" spans="12:26" x14ac:dyDescent="0.25">
      <c r="L1367" s="38"/>
      <c r="Z1367" s="38"/>
    </row>
    <row r="1368" spans="12:26" x14ac:dyDescent="0.25">
      <c r="L1368" s="38"/>
      <c r="Z1368" s="38"/>
    </row>
    <row r="1369" spans="12:26" x14ac:dyDescent="0.25">
      <c r="L1369" s="38"/>
      <c r="Z1369" s="38"/>
    </row>
    <row r="1370" spans="12:26" x14ac:dyDescent="0.25">
      <c r="L1370" s="38"/>
      <c r="Z1370" s="38"/>
    </row>
    <row r="1371" spans="12:26" x14ac:dyDescent="0.25">
      <c r="L1371" s="38"/>
      <c r="Z1371" s="38"/>
    </row>
    <row r="1372" spans="12:26" x14ac:dyDescent="0.25">
      <c r="L1372" s="38"/>
      <c r="Z1372" s="38"/>
    </row>
    <row r="1373" spans="12:26" x14ac:dyDescent="0.25">
      <c r="L1373" s="38"/>
      <c r="Z1373" s="38"/>
    </row>
    <row r="1374" spans="12:26" x14ac:dyDescent="0.25">
      <c r="L1374" s="38"/>
      <c r="Z1374" s="38"/>
    </row>
    <row r="1375" spans="12:26" x14ac:dyDescent="0.25">
      <c r="L1375" s="38"/>
      <c r="Z1375" s="38"/>
    </row>
    <row r="1376" spans="12:26" x14ac:dyDescent="0.25">
      <c r="L1376" s="38"/>
      <c r="Z1376" s="38"/>
    </row>
    <row r="1377" spans="12:26" x14ac:dyDescent="0.25">
      <c r="L1377" s="38"/>
      <c r="Z1377" s="38"/>
    </row>
    <row r="1378" spans="12:26" x14ac:dyDescent="0.25">
      <c r="L1378" s="38"/>
      <c r="Z1378" s="38"/>
    </row>
    <row r="1379" spans="12:26" x14ac:dyDescent="0.25">
      <c r="L1379" s="38"/>
      <c r="Z1379" s="38"/>
    </row>
    <row r="1380" spans="12:26" x14ac:dyDescent="0.25">
      <c r="L1380" s="38"/>
      <c r="Z1380" s="38"/>
    </row>
    <row r="1381" spans="12:26" x14ac:dyDescent="0.25">
      <c r="L1381" s="38"/>
      <c r="Z1381" s="38"/>
    </row>
    <row r="1382" spans="12:26" x14ac:dyDescent="0.25">
      <c r="L1382" s="38"/>
      <c r="Z1382" s="38"/>
    </row>
    <row r="1383" spans="12:26" x14ac:dyDescent="0.25">
      <c r="L1383" s="38"/>
      <c r="Z1383" s="38"/>
    </row>
    <row r="1384" spans="12:26" x14ac:dyDescent="0.25">
      <c r="L1384" s="38"/>
      <c r="Z1384" s="38"/>
    </row>
    <row r="1385" spans="12:26" x14ac:dyDescent="0.25">
      <c r="L1385" s="38"/>
      <c r="Z1385" s="38"/>
    </row>
    <row r="1386" spans="12:26" x14ac:dyDescent="0.25">
      <c r="L1386" s="38"/>
      <c r="Z1386" s="38"/>
    </row>
    <row r="1387" spans="12:26" x14ac:dyDescent="0.25">
      <c r="L1387" s="38"/>
      <c r="Z1387" s="38"/>
    </row>
    <row r="1388" spans="12:26" x14ac:dyDescent="0.25">
      <c r="L1388" s="38"/>
      <c r="Z1388" s="38"/>
    </row>
    <row r="1389" spans="12:26" x14ac:dyDescent="0.25">
      <c r="L1389" s="38"/>
      <c r="Z1389" s="38"/>
    </row>
    <row r="1390" spans="12:26" x14ac:dyDescent="0.25">
      <c r="L1390" s="38"/>
      <c r="Z1390" s="38"/>
    </row>
    <row r="1391" spans="12:26" x14ac:dyDescent="0.25">
      <c r="L1391" s="38"/>
      <c r="Z1391" s="38"/>
    </row>
    <row r="1392" spans="12:26" x14ac:dyDescent="0.25">
      <c r="L1392" s="38"/>
      <c r="Z1392" s="38"/>
    </row>
    <row r="1393" spans="12:26" x14ac:dyDescent="0.25">
      <c r="L1393" s="38"/>
      <c r="Z1393" s="38"/>
    </row>
    <row r="1394" spans="12:26" x14ac:dyDescent="0.25">
      <c r="L1394" s="38"/>
      <c r="Z1394" s="38"/>
    </row>
    <row r="1395" spans="12:26" x14ac:dyDescent="0.25">
      <c r="L1395" s="38"/>
      <c r="Z1395" s="38"/>
    </row>
    <row r="1396" spans="12:26" x14ac:dyDescent="0.25">
      <c r="L1396" s="38"/>
      <c r="Z1396" s="38"/>
    </row>
    <row r="1397" spans="12:26" x14ac:dyDescent="0.25">
      <c r="L1397" s="38"/>
      <c r="Z1397" s="38"/>
    </row>
    <row r="1398" spans="12:26" x14ac:dyDescent="0.25">
      <c r="L1398" s="38"/>
      <c r="Z1398" s="38"/>
    </row>
    <row r="1399" spans="12:26" x14ac:dyDescent="0.25">
      <c r="L1399" s="38"/>
      <c r="Z1399" s="38"/>
    </row>
    <row r="1400" spans="12:26" x14ac:dyDescent="0.25">
      <c r="L1400" s="38"/>
      <c r="Z1400" s="38"/>
    </row>
    <row r="1401" spans="12:26" x14ac:dyDescent="0.25">
      <c r="L1401" s="38"/>
      <c r="Z1401" s="38"/>
    </row>
    <row r="1402" spans="12:26" x14ac:dyDescent="0.25">
      <c r="L1402" s="38"/>
      <c r="Z1402" s="38"/>
    </row>
    <row r="1403" spans="12:26" x14ac:dyDescent="0.25">
      <c r="L1403" s="38"/>
      <c r="Z1403" s="38"/>
    </row>
    <row r="1404" spans="12:26" x14ac:dyDescent="0.25">
      <c r="L1404" s="38"/>
      <c r="Z1404" s="38"/>
    </row>
    <row r="1405" spans="12:26" x14ac:dyDescent="0.25">
      <c r="L1405" s="38"/>
      <c r="Z1405" s="38"/>
    </row>
    <row r="1406" spans="12:26" x14ac:dyDescent="0.25">
      <c r="L1406" s="38"/>
      <c r="Z1406" s="38"/>
    </row>
    <row r="1407" spans="12:26" x14ac:dyDescent="0.25">
      <c r="L1407" s="38"/>
      <c r="Z1407" s="38"/>
    </row>
    <row r="1408" spans="12:26" x14ac:dyDescent="0.25">
      <c r="L1408" s="38"/>
      <c r="Z1408" s="38"/>
    </row>
    <row r="1409" spans="12:26" x14ac:dyDescent="0.25">
      <c r="L1409" s="38"/>
      <c r="Z1409" s="38"/>
    </row>
    <row r="1410" spans="12:26" x14ac:dyDescent="0.25">
      <c r="L1410" s="38"/>
      <c r="Z1410" s="38"/>
    </row>
    <row r="1411" spans="12:26" x14ac:dyDescent="0.25">
      <c r="L1411" s="38"/>
      <c r="Z1411" s="38"/>
    </row>
    <row r="1412" spans="12:26" x14ac:dyDescent="0.25">
      <c r="L1412" s="38"/>
      <c r="Z1412" s="38"/>
    </row>
    <row r="1413" spans="12:26" x14ac:dyDescent="0.25">
      <c r="L1413" s="38"/>
      <c r="Z1413" s="38"/>
    </row>
    <row r="1414" spans="12:26" x14ac:dyDescent="0.25">
      <c r="L1414" s="38"/>
      <c r="Z1414" s="38"/>
    </row>
    <row r="1415" spans="12:26" x14ac:dyDescent="0.25">
      <c r="L1415" s="38"/>
      <c r="Z1415" s="38"/>
    </row>
    <row r="1416" spans="12:26" x14ac:dyDescent="0.25">
      <c r="L1416" s="38"/>
      <c r="Z1416" s="38"/>
    </row>
    <row r="1417" spans="12:26" x14ac:dyDescent="0.25">
      <c r="L1417" s="38"/>
      <c r="Z1417" s="38"/>
    </row>
    <row r="1418" spans="12:26" x14ac:dyDescent="0.25">
      <c r="L1418" s="38"/>
      <c r="Z1418" s="38"/>
    </row>
    <row r="1419" spans="12:26" x14ac:dyDescent="0.25">
      <c r="L1419" s="38"/>
      <c r="Z1419" s="38"/>
    </row>
    <row r="1420" spans="12:26" x14ac:dyDescent="0.25">
      <c r="L1420" s="38"/>
      <c r="Z1420" s="38"/>
    </row>
    <row r="1421" spans="12:26" x14ac:dyDescent="0.25">
      <c r="L1421" s="38"/>
      <c r="Z1421" s="38"/>
    </row>
    <row r="1422" spans="12:26" x14ac:dyDescent="0.25">
      <c r="L1422" s="38"/>
      <c r="Z1422" s="38"/>
    </row>
    <row r="1423" spans="12:26" x14ac:dyDescent="0.25">
      <c r="L1423" s="38"/>
      <c r="Z1423" s="38"/>
    </row>
    <row r="1424" spans="12:26" x14ac:dyDescent="0.25">
      <c r="L1424" s="38"/>
      <c r="Z1424" s="38"/>
    </row>
    <row r="1425" spans="12:26" x14ac:dyDescent="0.25">
      <c r="L1425" s="38"/>
      <c r="Z1425" s="38"/>
    </row>
    <row r="1426" spans="12:26" x14ac:dyDescent="0.25">
      <c r="L1426" s="38"/>
      <c r="Z1426" s="38"/>
    </row>
    <row r="1427" spans="12:26" x14ac:dyDescent="0.25">
      <c r="L1427" s="38"/>
      <c r="Z1427" s="38"/>
    </row>
    <row r="1428" spans="12:26" x14ac:dyDescent="0.25">
      <c r="L1428" s="38"/>
      <c r="Z1428" s="38"/>
    </row>
    <row r="1429" spans="12:26" x14ac:dyDescent="0.25">
      <c r="L1429" s="38"/>
      <c r="Z1429" s="38"/>
    </row>
    <row r="1430" spans="12:26" x14ac:dyDescent="0.25">
      <c r="L1430" s="38"/>
      <c r="Z1430" s="38"/>
    </row>
    <row r="1431" spans="12:26" x14ac:dyDescent="0.25">
      <c r="L1431" s="38"/>
      <c r="Z1431" s="38"/>
    </row>
    <row r="1432" spans="12:26" x14ac:dyDescent="0.25">
      <c r="L1432" s="38"/>
      <c r="Z1432" s="38"/>
    </row>
    <row r="1433" spans="12:26" x14ac:dyDescent="0.25">
      <c r="L1433" s="38"/>
      <c r="Z1433" s="38"/>
    </row>
    <row r="1434" spans="12:26" x14ac:dyDescent="0.25">
      <c r="L1434" s="38"/>
      <c r="Z1434" s="38"/>
    </row>
    <row r="1435" spans="12:26" x14ac:dyDescent="0.25">
      <c r="L1435" s="38"/>
      <c r="Z1435" s="38"/>
    </row>
    <row r="1436" spans="12:26" x14ac:dyDescent="0.25">
      <c r="L1436" s="38"/>
      <c r="Z1436" s="38"/>
    </row>
    <row r="1437" spans="12:26" x14ac:dyDescent="0.25">
      <c r="L1437" s="38"/>
      <c r="Z1437" s="38"/>
    </row>
    <row r="1438" spans="12:26" x14ac:dyDescent="0.25">
      <c r="L1438" s="38"/>
      <c r="Z1438" s="38"/>
    </row>
    <row r="1439" spans="12:26" x14ac:dyDescent="0.25">
      <c r="L1439" s="38"/>
      <c r="Z1439" s="38"/>
    </row>
    <row r="1440" spans="12:26" x14ac:dyDescent="0.25">
      <c r="L1440" s="38"/>
      <c r="Z1440" s="38"/>
    </row>
    <row r="1441" spans="12:26" x14ac:dyDescent="0.25">
      <c r="L1441" s="38"/>
      <c r="Z1441" s="38"/>
    </row>
    <row r="1442" spans="12:26" x14ac:dyDescent="0.25">
      <c r="L1442" s="38"/>
      <c r="Z1442" s="38"/>
    </row>
    <row r="1443" spans="12:26" x14ac:dyDescent="0.25">
      <c r="L1443" s="38"/>
      <c r="Z1443" s="38"/>
    </row>
    <row r="1444" spans="12:26" x14ac:dyDescent="0.25">
      <c r="L1444" s="38"/>
      <c r="Z1444" s="38"/>
    </row>
    <row r="1445" spans="12:26" x14ac:dyDescent="0.25">
      <c r="L1445" s="38"/>
      <c r="Z1445" s="38"/>
    </row>
    <row r="1446" spans="12:26" x14ac:dyDescent="0.25">
      <c r="L1446" s="38"/>
      <c r="Z1446" s="38"/>
    </row>
    <row r="1447" spans="12:26" x14ac:dyDescent="0.25">
      <c r="L1447" s="38"/>
      <c r="Z1447" s="38"/>
    </row>
    <row r="1448" spans="12:26" x14ac:dyDescent="0.25">
      <c r="L1448" s="38"/>
      <c r="Z1448" s="38"/>
    </row>
    <row r="1449" spans="12:26" x14ac:dyDescent="0.25">
      <c r="L1449" s="38"/>
      <c r="Z1449" s="38"/>
    </row>
    <row r="1450" spans="12:26" x14ac:dyDescent="0.25">
      <c r="L1450" s="38"/>
      <c r="Z1450" s="38"/>
    </row>
    <row r="1451" spans="12:26" x14ac:dyDescent="0.25">
      <c r="L1451" s="38"/>
      <c r="Z1451" s="38"/>
    </row>
    <row r="1452" spans="12:26" x14ac:dyDescent="0.25">
      <c r="L1452" s="38"/>
      <c r="Z1452" s="38"/>
    </row>
    <row r="1453" spans="12:26" x14ac:dyDescent="0.25">
      <c r="L1453" s="38"/>
      <c r="Z1453" s="38"/>
    </row>
    <row r="1454" spans="12:26" x14ac:dyDescent="0.25">
      <c r="L1454" s="38"/>
      <c r="Z1454" s="38"/>
    </row>
    <row r="1455" spans="12:26" x14ac:dyDescent="0.25">
      <c r="L1455" s="38"/>
      <c r="Z1455" s="38"/>
    </row>
    <row r="1456" spans="12:26" x14ac:dyDescent="0.25">
      <c r="L1456" s="38"/>
      <c r="Z1456" s="38"/>
    </row>
    <row r="1457" spans="12:26" x14ac:dyDescent="0.25">
      <c r="L1457" s="38"/>
      <c r="Z1457" s="38"/>
    </row>
    <row r="1458" spans="12:26" x14ac:dyDescent="0.25">
      <c r="L1458" s="38"/>
      <c r="Z1458" s="38"/>
    </row>
    <row r="1459" spans="12:26" x14ac:dyDescent="0.25">
      <c r="L1459" s="38"/>
      <c r="Z1459" s="38"/>
    </row>
    <row r="1460" spans="12:26" x14ac:dyDescent="0.25">
      <c r="L1460" s="38"/>
      <c r="Z1460" s="38"/>
    </row>
    <row r="1461" spans="12:26" x14ac:dyDescent="0.25">
      <c r="L1461" s="38"/>
      <c r="Z1461" s="38"/>
    </row>
    <row r="1462" spans="12:26" x14ac:dyDescent="0.25">
      <c r="L1462" s="38"/>
      <c r="Z1462" s="38"/>
    </row>
    <row r="1463" spans="12:26" x14ac:dyDescent="0.25">
      <c r="L1463" s="38"/>
      <c r="Z1463" s="38"/>
    </row>
    <row r="1464" spans="12:26" x14ac:dyDescent="0.25">
      <c r="L1464" s="38"/>
      <c r="Z1464" s="38"/>
    </row>
    <row r="1465" spans="12:26" x14ac:dyDescent="0.25">
      <c r="L1465" s="38"/>
      <c r="Z1465" s="38"/>
    </row>
    <row r="1466" spans="12:26" x14ac:dyDescent="0.25">
      <c r="L1466" s="38"/>
      <c r="Z1466" s="38"/>
    </row>
    <row r="1467" spans="12:26" x14ac:dyDescent="0.25">
      <c r="L1467" s="38"/>
      <c r="Z1467" s="38"/>
    </row>
    <row r="1468" spans="12:26" x14ac:dyDescent="0.25">
      <c r="L1468" s="38"/>
      <c r="Z1468" s="38"/>
    </row>
    <row r="1469" spans="12:26" x14ac:dyDescent="0.25">
      <c r="L1469" s="38"/>
      <c r="Z1469" s="38"/>
    </row>
    <row r="1470" spans="12:26" x14ac:dyDescent="0.25">
      <c r="L1470" s="38"/>
      <c r="Z1470" s="38"/>
    </row>
    <row r="1471" spans="12:26" x14ac:dyDescent="0.25">
      <c r="L1471" s="38"/>
      <c r="Z1471" s="38"/>
    </row>
    <row r="1472" spans="12:26" x14ac:dyDescent="0.25">
      <c r="L1472" s="38"/>
      <c r="Z1472" s="38"/>
    </row>
    <row r="1473" spans="12:26" x14ac:dyDescent="0.25">
      <c r="L1473" s="38"/>
      <c r="Z1473" s="38"/>
    </row>
    <row r="1474" spans="12:26" x14ac:dyDescent="0.25">
      <c r="L1474" s="38"/>
      <c r="Z1474" s="38"/>
    </row>
    <row r="1475" spans="12:26" x14ac:dyDescent="0.25">
      <c r="L1475" s="38"/>
      <c r="Z1475" s="38"/>
    </row>
    <row r="1476" spans="12:26" x14ac:dyDescent="0.25">
      <c r="L1476" s="38"/>
      <c r="Z1476" s="38"/>
    </row>
    <row r="1477" spans="12:26" x14ac:dyDescent="0.25">
      <c r="L1477" s="38"/>
      <c r="Z1477" s="38"/>
    </row>
    <row r="1478" spans="12:26" x14ac:dyDescent="0.25">
      <c r="L1478" s="38"/>
      <c r="Z1478" s="38"/>
    </row>
    <row r="1479" spans="12:26" x14ac:dyDescent="0.25">
      <c r="L1479" s="38"/>
      <c r="Z1479" s="38"/>
    </row>
    <row r="1480" spans="12:26" x14ac:dyDescent="0.25">
      <c r="L1480" s="38"/>
      <c r="Z1480" s="38"/>
    </row>
    <row r="1481" spans="12:26" x14ac:dyDescent="0.25">
      <c r="L1481" s="38"/>
      <c r="Z1481" s="38"/>
    </row>
    <row r="1482" spans="12:26" x14ac:dyDescent="0.25">
      <c r="L1482" s="38"/>
      <c r="Z1482" s="38"/>
    </row>
    <row r="1483" spans="12:26" x14ac:dyDescent="0.25">
      <c r="L1483" s="38"/>
      <c r="Z1483" s="38"/>
    </row>
    <row r="1484" spans="12:26" x14ac:dyDescent="0.25">
      <c r="L1484" s="38"/>
      <c r="Z1484" s="38"/>
    </row>
    <row r="1485" spans="12:26" x14ac:dyDescent="0.25">
      <c r="L1485" s="38"/>
      <c r="Z1485" s="38"/>
    </row>
    <row r="1486" spans="12:26" x14ac:dyDescent="0.25">
      <c r="L1486" s="38"/>
      <c r="Z1486" s="38"/>
    </row>
    <row r="1487" spans="12:26" x14ac:dyDescent="0.25">
      <c r="L1487" s="38"/>
      <c r="Z1487" s="38"/>
    </row>
    <row r="1488" spans="12:26" x14ac:dyDescent="0.25">
      <c r="L1488" s="38"/>
      <c r="Z1488" s="38"/>
    </row>
    <row r="1489" spans="12:26" x14ac:dyDescent="0.25">
      <c r="L1489" s="38"/>
      <c r="Z1489" s="38"/>
    </row>
    <row r="1490" spans="12:26" x14ac:dyDescent="0.25">
      <c r="L1490" s="38"/>
      <c r="Z1490" s="38"/>
    </row>
    <row r="1491" spans="12:26" x14ac:dyDescent="0.25">
      <c r="L1491" s="38"/>
      <c r="Z1491" s="38"/>
    </row>
    <row r="1492" spans="12:26" x14ac:dyDescent="0.25">
      <c r="L1492" s="38"/>
      <c r="Z1492" s="38"/>
    </row>
    <row r="1493" spans="12:26" x14ac:dyDescent="0.25">
      <c r="L1493" s="38"/>
      <c r="Z1493" s="38"/>
    </row>
    <row r="1494" spans="12:26" x14ac:dyDescent="0.25">
      <c r="L1494" s="38"/>
      <c r="Z1494" s="38"/>
    </row>
    <row r="1495" spans="12:26" x14ac:dyDescent="0.25">
      <c r="L1495" s="38"/>
      <c r="Z1495" s="38"/>
    </row>
    <row r="1496" spans="12:26" x14ac:dyDescent="0.25">
      <c r="L1496" s="38"/>
      <c r="Z1496" s="38"/>
    </row>
    <row r="1497" spans="12:26" x14ac:dyDescent="0.25">
      <c r="L1497" s="38"/>
      <c r="Z1497" s="38"/>
    </row>
    <row r="1498" spans="12:26" x14ac:dyDescent="0.25">
      <c r="L1498" s="38"/>
      <c r="Z1498" s="38"/>
    </row>
    <row r="1499" spans="12:26" x14ac:dyDescent="0.25">
      <c r="L1499" s="38"/>
      <c r="Z1499" s="38"/>
    </row>
    <row r="1500" spans="12:26" x14ac:dyDescent="0.25">
      <c r="L1500" s="38"/>
      <c r="Z1500" s="38"/>
    </row>
    <row r="1501" spans="12:26" x14ac:dyDescent="0.25">
      <c r="L1501" s="38"/>
      <c r="Z1501" s="38"/>
    </row>
    <row r="1502" spans="12:26" x14ac:dyDescent="0.25">
      <c r="L1502" s="38"/>
      <c r="Z1502" s="38"/>
    </row>
    <row r="1503" spans="12:26" x14ac:dyDescent="0.25">
      <c r="L1503" s="38"/>
      <c r="Z1503" s="38"/>
    </row>
    <row r="1504" spans="12:26" x14ac:dyDescent="0.25">
      <c r="L1504" s="38"/>
      <c r="Z1504" s="38"/>
    </row>
    <row r="1505" spans="12:26" x14ac:dyDescent="0.25">
      <c r="L1505" s="38"/>
      <c r="Z1505" s="38"/>
    </row>
    <row r="1506" spans="12:26" x14ac:dyDescent="0.25">
      <c r="L1506" s="38"/>
      <c r="Z1506" s="38"/>
    </row>
    <row r="1507" spans="12:26" x14ac:dyDescent="0.25">
      <c r="L1507" s="38"/>
      <c r="Z1507" s="38"/>
    </row>
    <row r="1508" spans="12:26" x14ac:dyDescent="0.25">
      <c r="L1508" s="38"/>
      <c r="Z1508" s="38"/>
    </row>
    <row r="1509" spans="12:26" x14ac:dyDescent="0.25">
      <c r="L1509" s="38"/>
      <c r="Z1509" s="38"/>
    </row>
    <row r="1510" spans="12:26" x14ac:dyDescent="0.25">
      <c r="L1510" s="38"/>
      <c r="Z1510" s="38"/>
    </row>
    <row r="1511" spans="12:26" x14ac:dyDescent="0.25">
      <c r="L1511" s="38"/>
      <c r="Z1511" s="38"/>
    </row>
    <row r="1512" spans="12:26" x14ac:dyDescent="0.25">
      <c r="L1512" s="38"/>
      <c r="Z1512" s="38"/>
    </row>
    <row r="1513" spans="12:26" x14ac:dyDescent="0.25">
      <c r="L1513" s="38"/>
      <c r="Z1513" s="38"/>
    </row>
    <row r="1514" spans="12:26" x14ac:dyDescent="0.25">
      <c r="L1514" s="38"/>
      <c r="Z1514" s="38"/>
    </row>
    <row r="1515" spans="12:26" x14ac:dyDescent="0.25">
      <c r="L1515" s="38"/>
      <c r="Z1515" s="38"/>
    </row>
    <row r="1516" spans="12:26" x14ac:dyDescent="0.25">
      <c r="L1516" s="38"/>
      <c r="Z1516" s="38"/>
    </row>
    <row r="1517" spans="12:26" x14ac:dyDescent="0.25">
      <c r="L1517" s="38"/>
      <c r="Z1517" s="38"/>
    </row>
    <row r="1518" spans="12:26" x14ac:dyDescent="0.25">
      <c r="L1518" s="38"/>
      <c r="Z1518" s="38"/>
    </row>
    <row r="1519" spans="12:26" x14ac:dyDescent="0.25">
      <c r="L1519" s="38"/>
      <c r="Z1519" s="38"/>
    </row>
    <row r="1520" spans="12:26" x14ac:dyDescent="0.25">
      <c r="L1520" s="38"/>
      <c r="Z1520" s="38"/>
    </row>
    <row r="1521" spans="12:26" x14ac:dyDescent="0.25">
      <c r="L1521" s="38"/>
      <c r="Z1521" s="38"/>
    </row>
    <row r="1522" spans="12:26" x14ac:dyDescent="0.25">
      <c r="L1522" s="38"/>
      <c r="Z1522" s="38"/>
    </row>
    <row r="1523" spans="12:26" x14ac:dyDescent="0.25">
      <c r="L1523" s="38"/>
      <c r="Z1523" s="38"/>
    </row>
    <row r="1524" spans="12:26" x14ac:dyDescent="0.25">
      <c r="L1524" s="38"/>
      <c r="Z1524" s="38"/>
    </row>
    <row r="1525" spans="12:26" x14ac:dyDescent="0.25">
      <c r="L1525" s="38"/>
      <c r="Z1525" s="38"/>
    </row>
    <row r="1526" spans="12:26" x14ac:dyDescent="0.25">
      <c r="L1526" s="38"/>
      <c r="Z1526" s="38"/>
    </row>
    <row r="1527" spans="12:26" x14ac:dyDescent="0.25">
      <c r="L1527" s="38"/>
      <c r="Z1527" s="38"/>
    </row>
    <row r="1528" spans="12:26" x14ac:dyDescent="0.25">
      <c r="L1528" s="38"/>
      <c r="Z1528" s="38"/>
    </row>
    <row r="1529" spans="12:26" x14ac:dyDescent="0.25">
      <c r="L1529" s="38"/>
      <c r="Z1529" s="38"/>
    </row>
    <row r="1530" spans="12:26" x14ac:dyDescent="0.25">
      <c r="L1530" s="38"/>
      <c r="Z1530" s="38"/>
    </row>
    <row r="1531" spans="12:26" x14ac:dyDescent="0.25">
      <c r="L1531" s="38"/>
      <c r="Z1531" s="38"/>
    </row>
    <row r="1532" spans="12:26" x14ac:dyDescent="0.25">
      <c r="L1532" s="38"/>
      <c r="Z1532" s="38"/>
    </row>
    <row r="1533" spans="12:26" x14ac:dyDescent="0.25">
      <c r="L1533" s="38"/>
      <c r="Z1533" s="38"/>
    </row>
    <row r="1534" spans="12:26" x14ac:dyDescent="0.25">
      <c r="L1534" s="38"/>
      <c r="Z1534" s="38"/>
    </row>
    <row r="1535" spans="12:26" x14ac:dyDescent="0.25">
      <c r="L1535" s="38"/>
      <c r="Z1535" s="38"/>
    </row>
    <row r="1536" spans="12:26" x14ac:dyDescent="0.25">
      <c r="L1536" s="38"/>
      <c r="Z1536" s="38"/>
    </row>
    <row r="1537" spans="12:26" x14ac:dyDescent="0.25">
      <c r="L1537" s="38"/>
      <c r="Z1537" s="38"/>
    </row>
    <row r="1538" spans="12:26" x14ac:dyDescent="0.25">
      <c r="L1538" s="38"/>
      <c r="Z1538" s="38"/>
    </row>
    <row r="1539" spans="12:26" x14ac:dyDescent="0.25">
      <c r="L1539" s="38"/>
      <c r="Z1539" s="38"/>
    </row>
    <row r="1540" spans="12:26" x14ac:dyDescent="0.25">
      <c r="L1540" s="38"/>
      <c r="Z1540" s="38"/>
    </row>
    <row r="1541" spans="12:26" x14ac:dyDescent="0.25">
      <c r="L1541" s="38"/>
      <c r="Z1541" s="38"/>
    </row>
    <row r="1542" spans="12:26" x14ac:dyDescent="0.25">
      <c r="L1542" s="38"/>
      <c r="Z1542" s="38"/>
    </row>
    <row r="1543" spans="12:26" x14ac:dyDescent="0.25">
      <c r="L1543" s="38"/>
      <c r="Z1543" s="38"/>
    </row>
    <row r="1544" spans="12:26" x14ac:dyDescent="0.25">
      <c r="L1544" s="38"/>
      <c r="Z1544" s="38"/>
    </row>
    <row r="1545" spans="12:26" x14ac:dyDescent="0.25">
      <c r="L1545" s="38"/>
      <c r="Z1545" s="38"/>
    </row>
    <row r="1546" spans="12:26" x14ac:dyDescent="0.25">
      <c r="L1546" s="38"/>
      <c r="Z1546" s="38"/>
    </row>
    <row r="1547" spans="12:26" x14ac:dyDescent="0.25">
      <c r="L1547" s="38"/>
      <c r="Z1547" s="38"/>
    </row>
    <row r="1548" spans="12:26" x14ac:dyDescent="0.25">
      <c r="L1548" s="38"/>
      <c r="Z1548" s="38"/>
    </row>
    <row r="1549" spans="12:26" x14ac:dyDescent="0.25">
      <c r="L1549" s="38"/>
      <c r="Z1549" s="38"/>
    </row>
    <row r="1550" spans="12:26" x14ac:dyDescent="0.25">
      <c r="L1550" s="38"/>
      <c r="Z1550" s="38"/>
    </row>
    <row r="1551" spans="12:26" x14ac:dyDescent="0.25">
      <c r="L1551" s="38"/>
      <c r="Z1551" s="38"/>
    </row>
    <row r="1552" spans="12:26" x14ac:dyDescent="0.25">
      <c r="L1552" s="38"/>
      <c r="Z1552" s="38"/>
    </row>
    <row r="1553" spans="12:26" x14ac:dyDescent="0.25">
      <c r="L1553" s="38"/>
      <c r="Z1553" s="38"/>
    </row>
    <row r="1554" spans="12:26" x14ac:dyDescent="0.25">
      <c r="L1554" s="38"/>
      <c r="Z1554" s="38"/>
    </row>
    <row r="1555" spans="12:26" x14ac:dyDescent="0.25">
      <c r="L1555" s="38"/>
      <c r="Z1555" s="38"/>
    </row>
    <row r="1556" spans="12:26" x14ac:dyDescent="0.25">
      <c r="L1556" s="38"/>
      <c r="Z1556" s="38"/>
    </row>
    <row r="1557" spans="12:26" x14ac:dyDescent="0.25">
      <c r="L1557" s="38"/>
      <c r="Z1557" s="38"/>
    </row>
    <row r="1558" spans="12:26" x14ac:dyDescent="0.25">
      <c r="L1558" s="38"/>
      <c r="Z1558" s="38"/>
    </row>
    <row r="1559" spans="12:26" x14ac:dyDescent="0.25">
      <c r="L1559" s="38"/>
      <c r="Z1559" s="38"/>
    </row>
    <row r="1560" spans="12:26" x14ac:dyDescent="0.25">
      <c r="L1560" s="38"/>
      <c r="Z1560" s="38"/>
    </row>
    <row r="1561" spans="12:26" x14ac:dyDescent="0.25">
      <c r="L1561" s="38"/>
      <c r="Z1561" s="38"/>
    </row>
    <row r="1562" spans="12:26" x14ac:dyDescent="0.25">
      <c r="L1562" s="38"/>
      <c r="Z1562" s="38"/>
    </row>
    <row r="1563" spans="12:26" x14ac:dyDescent="0.25">
      <c r="L1563" s="38"/>
      <c r="Z1563" s="38"/>
    </row>
    <row r="1564" spans="12:26" x14ac:dyDescent="0.25">
      <c r="L1564" s="38"/>
      <c r="Z1564" s="38"/>
    </row>
    <row r="1565" spans="12:26" x14ac:dyDescent="0.25">
      <c r="L1565" s="38"/>
      <c r="Z1565" s="38"/>
    </row>
    <row r="1566" spans="12:26" x14ac:dyDescent="0.25">
      <c r="L1566" s="38"/>
      <c r="Z1566" s="38"/>
    </row>
    <row r="1567" spans="12:26" x14ac:dyDescent="0.25">
      <c r="L1567" s="38"/>
      <c r="Z1567" s="38"/>
    </row>
    <row r="1568" spans="12:26" x14ac:dyDescent="0.25">
      <c r="L1568" s="38"/>
      <c r="Z1568" s="38"/>
    </row>
    <row r="1569" spans="12:26" x14ac:dyDescent="0.25">
      <c r="L1569" s="38"/>
      <c r="Z1569" s="38"/>
    </row>
    <row r="1570" spans="12:26" x14ac:dyDescent="0.25">
      <c r="L1570" s="38"/>
      <c r="Z1570" s="38"/>
    </row>
    <row r="1571" spans="12:26" x14ac:dyDescent="0.25">
      <c r="L1571" s="38"/>
      <c r="Z1571" s="38"/>
    </row>
    <row r="1572" spans="12:26" x14ac:dyDescent="0.25">
      <c r="L1572" s="38"/>
      <c r="Z1572" s="38"/>
    </row>
    <row r="1573" spans="12:26" x14ac:dyDescent="0.25">
      <c r="L1573" s="38"/>
      <c r="Z1573" s="38"/>
    </row>
    <row r="1574" spans="12:26" x14ac:dyDescent="0.25">
      <c r="L1574" s="38"/>
      <c r="Z1574" s="38"/>
    </row>
    <row r="1575" spans="12:26" x14ac:dyDescent="0.25">
      <c r="L1575" s="38"/>
      <c r="Z1575" s="38"/>
    </row>
    <row r="1576" spans="12:26" x14ac:dyDescent="0.25">
      <c r="L1576" s="38"/>
      <c r="Z1576" s="38"/>
    </row>
    <row r="1577" spans="12:26" x14ac:dyDescent="0.25">
      <c r="L1577" s="38"/>
      <c r="Z1577" s="38"/>
    </row>
    <row r="1578" spans="12:26" x14ac:dyDescent="0.25">
      <c r="L1578" s="38"/>
      <c r="Z1578" s="38"/>
    </row>
    <row r="1579" spans="12:26" x14ac:dyDescent="0.25">
      <c r="L1579" s="38"/>
      <c r="Z1579" s="38"/>
    </row>
    <row r="1580" spans="12:26" x14ac:dyDescent="0.25">
      <c r="L1580" s="38"/>
      <c r="Z1580" s="38"/>
    </row>
    <row r="1581" spans="12:26" x14ac:dyDescent="0.25">
      <c r="L1581" s="38"/>
      <c r="Z1581" s="38"/>
    </row>
    <row r="1582" spans="12:26" x14ac:dyDescent="0.25">
      <c r="L1582" s="38"/>
      <c r="Z1582" s="38"/>
    </row>
    <row r="1583" spans="12:26" x14ac:dyDescent="0.25">
      <c r="L1583" s="38"/>
      <c r="Z1583" s="38"/>
    </row>
    <row r="1584" spans="12:26" x14ac:dyDescent="0.25">
      <c r="L1584" s="38"/>
      <c r="Z1584" s="38"/>
    </row>
    <row r="1585" spans="12:26" x14ac:dyDescent="0.25">
      <c r="L1585" s="38"/>
      <c r="Z1585" s="38"/>
    </row>
    <row r="1586" spans="12:26" x14ac:dyDescent="0.25">
      <c r="L1586" s="38"/>
      <c r="Z1586" s="38"/>
    </row>
    <row r="1587" spans="12:26" x14ac:dyDescent="0.25">
      <c r="L1587" s="38"/>
      <c r="Z1587" s="38"/>
    </row>
    <row r="1588" spans="12:26" x14ac:dyDescent="0.25">
      <c r="L1588" s="38"/>
      <c r="Z1588" s="38"/>
    </row>
    <row r="1589" spans="12:26" x14ac:dyDescent="0.25">
      <c r="L1589" s="38"/>
      <c r="Z1589" s="38"/>
    </row>
    <row r="1590" spans="12:26" x14ac:dyDescent="0.25">
      <c r="L1590" s="38"/>
      <c r="Z1590" s="38"/>
    </row>
    <row r="1591" spans="12:26" x14ac:dyDescent="0.25">
      <c r="L1591" s="38"/>
      <c r="Z1591" s="38"/>
    </row>
    <row r="1592" spans="12:26" x14ac:dyDescent="0.25">
      <c r="L1592" s="38"/>
      <c r="Z1592" s="38"/>
    </row>
    <row r="1593" spans="12:26" x14ac:dyDescent="0.25">
      <c r="L1593" s="38"/>
      <c r="Z1593" s="38"/>
    </row>
    <row r="1594" spans="12:26" x14ac:dyDescent="0.25">
      <c r="L1594" s="38"/>
      <c r="Z1594" s="38"/>
    </row>
    <row r="1595" spans="12:26" x14ac:dyDescent="0.25">
      <c r="L1595" s="38"/>
      <c r="Z1595" s="38"/>
    </row>
    <row r="1596" spans="12:26" x14ac:dyDescent="0.25">
      <c r="L1596" s="38"/>
      <c r="Z1596" s="38"/>
    </row>
    <row r="1597" spans="12:26" x14ac:dyDescent="0.25">
      <c r="L1597" s="38"/>
      <c r="Z1597" s="38"/>
    </row>
    <row r="1598" spans="12:26" x14ac:dyDescent="0.25">
      <c r="L1598" s="38"/>
      <c r="Z1598" s="38"/>
    </row>
    <row r="1599" spans="12:26" x14ac:dyDescent="0.25">
      <c r="L1599" s="38"/>
      <c r="Z1599" s="38"/>
    </row>
    <row r="1600" spans="12:26" x14ac:dyDescent="0.25">
      <c r="L1600" s="38"/>
      <c r="Z1600" s="38"/>
    </row>
    <row r="1601" spans="12:26" x14ac:dyDescent="0.25">
      <c r="L1601" s="38"/>
      <c r="Z1601" s="38"/>
    </row>
    <row r="1602" spans="12:26" x14ac:dyDescent="0.25">
      <c r="L1602" s="38"/>
      <c r="Z1602" s="38"/>
    </row>
    <row r="1603" spans="12:26" x14ac:dyDescent="0.25">
      <c r="L1603" s="38"/>
      <c r="Z1603" s="38"/>
    </row>
    <row r="1604" spans="12:26" x14ac:dyDescent="0.25">
      <c r="L1604" s="38"/>
      <c r="Z1604" s="38"/>
    </row>
    <row r="1605" spans="12:26" x14ac:dyDescent="0.25">
      <c r="L1605" s="38"/>
      <c r="Z1605" s="38"/>
    </row>
    <row r="1606" spans="12:26" x14ac:dyDescent="0.25">
      <c r="L1606" s="38"/>
      <c r="Z1606" s="38"/>
    </row>
    <row r="1607" spans="12:26" x14ac:dyDescent="0.25">
      <c r="L1607" s="38"/>
      <c r="Z1607" s="38"/>
    </row>
    <row r="1608" spans="12:26" x14ac:dyDescent="0.25">
      <c r="L1608" s="38"/>
      <c r="Z1608" s="38"/>
    </row>
    <row r="1609" spans="12:26" x14ac:dyDescent="0.25">
      <c r="L1609" s="38"/>
      <c r="Z1609" s="38"/>
    </row>
    <row r="1610" spans="12:26" x14ac:dyDescent="0.25">
      <c r="L1610" s="38"/>
      <c r="Z1610" s="38"/>
    </row>
    <row r="1611" spans="12:26" x14ac:dyDescent="0.25">
      <c r="L1611" s="38"/>
      <c r="Z1611" s="38"/>
    </row>
    <row r="1612" spans="12:26" x14ac:dyDescent="0.25">
      <c r="L1612" s="38"/>
      <c r="Z1612" s="38"/>
    </row>
    <row r="1613" spans="12:26" x14ac:dyDescent="0.25">
      <c r="L1613" s="38"/>
      <c r="Z1613" s="38"/>
    </row>
    <row r="1614" spans="12:26" x14ac:dyDescent="0.25">
      <c r="L1614" s="38"/>
      <c r="Z1614" s="38"/>
    </row>
    <row r="1615" spans="12:26" x14ac:dyDescent="0.25">
      <c r="L1615" s="38"/>
      <c r="Z1615" s="38"/>
    </row>
    <row r="1616" spans="12:26" x14ac:dyDescent="0.25">
      <c r="L1616" s="38"/>
      <c r="Z1616" s="38"/>
    </row>
    <row r="1617" spans="12:26" x14ac:dyDescent="0.25">
      <c r="L1617" s="38"/>
      <c r="Z1617" s="38"/>
    </row>
    <row r="1618" spans="12:26" x14ac:dyDescent="0.25">
      <c r="L1618" s="38"/>
      <c r="Z1618" s="38"/>
    </row>
    <row r="1619" spans="12:26" x14ac:dyDescent="0.25">
      <c r="L1619" s="38"/>
      <c r="Z1619" s="38"/>
    </row>
    <row r="1620" spans="12:26" x14ac:dyDescent="0.25">
      <c r="L1620" s="38"/>
      <c r="Z1620" s="38"/>
    </row>
    <row r="1621" spans="12:26" x14ac:dyDescent="0.25">
      <c r="L1621" s="38"/>
      <c r="Z1621" s="38"/>
    </row>
    <row r="1622" spans="12:26" x14ac:dyDescent="0.25">
      <c r="L1622" s="38"/>
      <c r="Z1622" s="38"/>
    </row>
    <row r="1623" spans="12:26" x14ac:dyDescent="0.25">
      <c r="L1623" s="38"/>
      <c r="Z1623" s="38"/>
    </row>
    <row r="1624" spans="12:26" x14ac:dyDescent="0.25">
      <c r="L1624" s="38"/>
      <c r="Z1624" s="38"/>
    </row>
    <row r="1625" spans="12:26" x14ac:dyDescent="0.25">
      <c r="L1625" s="38"/>
      <c r="Z1625" s="38"/>
    </row>
    <row r="1626" spans="12:26" x14ac:dyDescent="0.25">
      <c r="L1626" s="38"/>
      <c r="Z1626" s="38"/>
    </row>
    <row r="1627" spans="12:26" x14ac:dyDescent="0.25">
      <c r="L1627" s="38"/>
      <c r="Z1627" s="38"/>
    </row>
    <row r="1628" spans="12:26" x14ac:dyDescent="0.25">
      <c r="L1628" s="38"/>
      <c r="Z1628" s="38"/>
    </row>
    <row r="1629" spans="12:26" x14ac:dyDescent="0.25">
      <c r="L1629" s="38"/>
      <c r="Z1629" s="38"/>
    </row>
    <row r="1630" spans="12:26" x14ac:dyDescent="0.25">
      <c r="L1630" s="38"/>
      <c r="Z1630" s="38"/>
    </row>
    <row r="1631" spans="12:26" x14ac:dyDescent="0.25">
      <c r="L1631" s="38"/>
      <c r="Z1631" s="38"/>
    </row>
    <row r="1632" spans="12:26" x14ac:dyDescent="0.25">
      <c r="L1632" s="38"/>
      <c r="Z1632" s="38"/>
    </row>
    <row r="1633" spans="12:26" x14ac:dyDescent="0.25">
      <c r="L1633" s="38"/>
      <c r="Z1633" s="38"/>
    </row>
    <row r="1634" spans="12:26" x14ac:dyDescent="0.25">
      <c r="L1634" s="38"/>
      <c r="Z1634" s="38"/>
    </row>
    <row r="1635" spans="12:26" x14ac:dyDescent="0.25">
      <c r="L1635" s="38"/>
      <c r="Z1635" s="38"/>
    </row>
    <row r="1636" spans="12:26" x14ac:dyDescent="0.25">
      <c r="L1636" s="38"/>
      <c r="Z1636" s="38"/>
    </row>
    <row r="1637" spans="12:26" x14ac:dyDescent="0.25">
      <c r="L1637" s="38"/>
      <c r="Z1637" s="38"/>
    </row>
    <row r="1638" spans="12:26" x14ac:dyDescent="0.25">
      <c r="L1638" s="38"/>
      <c r="Z1638" s="38"/>
    </row>
    <row r="1639" spans="12:26" x14ac:dyDescent="0.25">
      <c r="L1639" s="38"/>
      <c r="Z1639" s="38"/>
    </row>
    <row r="1640" spans="12:26" x14ac:dyDescent="0.25">
      <c r="L1640" s="38"/>
      <c r="Z1640" s="38"/>
    </row>
    <row r="1641" spans="12:26" x14ac:dyDescent="0.25">
      <c r="L1641" s="38"/>
      <c r="Z1641" s="38"/>
    </row>
    <row r="1642" spans="12:26" x14ac:dyDescent="0.25">
      <c r="L1642" s="38"/>
      <c r="Z1642" s="38"/>
    </row>
    <row r="1643" spans="12:26" x14ac:dyDescent="0.25">
      <c r="L1643" s="38"/>
      <c r="Z1643" s="38"/>
    </row>
    <row r="1644" spans="12:26" x14ac:dyDescent="0.25">
      <c r="L1644" s="38"/>
      <c r="Z1644" s="38"/>
    </row>
    <row r="1645" spans="12:26" x14ac:dyDescent="0.25">
      <c r="L1645" s="38"/>
      <c r="Z1645" s="38"/>
    </row>
    <row r="1646" spans="12:26" x14ac:dyDescent="0.25">
      <c r="L1646" s="38"/>
      <c r="Z1646" s="38"/>
    </row>
    <row r="1647" spans="12:26" x14ac:dyDescent="0.25">
      <c r="L1647" s="38"/>
      <c r="Z1647" s="38"/>
    </row>
    <row r="1648" spans="12:26" x14ac:dyDescent="0.25">
      <c r="L1648" s="38"/>
      <c r="Z1648" s="38"/>
    </row>
    <row r="1649" spans="12:26" x14ac:dyDescent="0.25">
      <c r="L1649" s="38"/>
      <c r="Z1649" s="38"/>
    </row>
    <row r="1650" spans="12:26" x14ac:dyDescent="0.25">
      <c r="L1650" s="38"/>
      <c r="Z1650" s="38"/>
    </row>
    <row r="1651" spans="12:26" x14ac:dyDescent="0.25">
      <c r="L1651" s="38"/>
      <c r="Z1651" s="38"/>
    </row>
    <row r="1652" spans="12:26" x14ac:dyDescent="0.25">
      <c r="L1652" s="38"/>
      <c r="Z1652" s="38"/>
    </row>
    <row r="1653" spans="12:26" x14ac:dyDescent="0.25">
      <c r="L1653" s="38"/>
      <c r="Z1653" s="38"/>
    </row>
    <row r="1654" spans="12:26" x14ac:dyDescent="0.25">
      <c r="L1654" s="38"/>
      <c r="Z1654" s="38"/>
    </row>
    <row r="1655" spans="12:26" x14ac:dyDescent="0.25">
      <c r="L1655" s="38"/>
      <c r="Z1655" s="38"/>
    </row>
    <row r="1656" spans="12:26" x14ac:dyDescent="0.25">
      <c r="L1656" s="38"/>
      <c r="Z1656" s="38"/>
    </row>
    <row r="1657" spans="12:26" x14ac:dyDescent="0.25">
      <c r="L1657" s="38"/>
      <c r="Z1657" s="38"/>
    </row>
    <row r="1658" spans="12:26" x14ac:dyDescent="0.25">
      <c r="L1658" s="38"/>
      <c r="Z1658" s="38"/>
    </row>
    <row r="1659" spans="12:26" x14ac:dyDescent="0.25">
      <c r="L1659" s="38"/>
      <c r="Z1659" s="38"/>
    </row>
    <row r="1660" spans="12:26" x14ac:dyDescent="0.25">
      <c r="L1660" s="38"/>
      <c r="Z1660" s="38"/>
    </row>
    <row r="1661" spans="12:26" x14ac:dyDescent="0.25">
      <c r="L1661" s="38"/>
      <c r="Z1661" s="38"/>
    </row>
    <row r="1662" spans="12:26" x14ac:dyDescent="0.25">
      <c r="L1662" s="38"/>
      <c r="Z1662" s="38"/>
    </row>
    <row r="1663" spans="12:26" x14ac:dyDescent="0.25">
      <c r="L1663" s="38"/>
      <c r="Z1663" s="38"/>
    </row>
    <row r="1664" spans="12:26" x14ac:dyDescent="0.25">
      <c r="L1664" s="38"/>
      <c r="Z1664" s="38"/>
    </row>
    <row r="1665" spans="12:26" x14ac:dyDescent="0.25">
      <c r="L1665" s="38"/>
      <c r="Z1665" s="38"/>
    </row>
    <row r="1666" spans="12:26" x14ac:dyDescent="0.25">
      <c r="L1666" s="38"/>
      <c r="Z1666" s="38"/>
    </row>
    <row r="1667" spans="12:26" x14ac:dyDescent="0.25">
      <c r="L1667" s="38"/>
      <c r="Z1667" s="38"/>
    </row>
    <row r="1668" spans="12:26" x14ac:dyDescent="0.25">
      <c r="L1668" s="38"/>
      <c r="Z1668" s="38"/>
    </row>
    <row r="1669" spans="12:26" x14ac:dyDescent="0.25">
      <c r="L1669" s="38"/>
      <c r="Z1669" s="38"/>
    </row>
    <row r="1670" spans="12:26" x14ac:dyDescent="0.25">
      <c r="L1670" s="38"/>
      <c r="Z1670" s="38"/>
    </row>
    <row r="1671" spans="12:26" x14ac:dyDescent="0.25">
      <c r="L1671" s="38"/>
      <c r="Z1671" s="38"/>
    </row>
    <row r="1672" spans="12:26" x14ac:dyDescent="0.25">
      <c r="L1672" s="38"/>
      <c r="Z1672" s="38"/>
    </row>
    <row r="1673" spans="12:26" x14ac:dyDescent="0.25">
      <c r="L1673" s="38"/>
      <c r="Z1673" s="38"/>
    </row>
    <row r="1674" spans="12:26" x14ac:dyDescent="0.25">
      <c r="L1674" s="38"/>
      <c r="Z1674" s="38"/>
    </row>
    <row r="1675" spans="12:26" x14ac:dyDescent="0.25">
      <c r="L1675" s="38"/>
      <c r="Z1675" s="38"/>
    </row>
    <row r="1676" spans="12:26" x14ac:dyDescent="0.25">
      <c r="L1676" s="38"/>
      <c r="Z1676" s="38"/>
    </row>
    <row r="1677" spans="12:26" x14ac:dyDescent="0.25">
      <c r="L1677" s="38"/>
      <c r="Z1677" s="38"/>
    </row>
    <row r="1678" spans="12:26" x14ac:dyDescent="0.25">
      <c r="L1678" s="38"/>
      <c r="Z1678" s="38"/>
    </row>
    <row r="1679" spans="12:26" x14ac:dyDescent="0.25">
      <c r="L1679" s="38"/>
      <c r="Z1679" s="38"/>
    </row>
    <row r="1680" spans="12:26" x14ac:dyDescent="0.25">
      <c r="L1680" s="38"/>
      <c r="Z1680" s="38"/>
    </row>
    <row r="1681" spans="12:26" x14ac:dyDescent="0.25">
      <c r="L1681" s="38"/>
      <c r="Z1681" s="38"/>
    </row>
    <row r="1682" spans="12:26" x14ac:dyDescent="0.25">
      <c r="L1682" s="38"/>
      <c r="Z1682" s="38"/>
    </row>
    <row r="1683" spans="12:26" x14ac:dyDescent="0.25">
      <c r="L1683" s="38"/>
      <c r="Z1683" s="38"/>
    </row>
    <row r="1684" spans="12:26" x14ac:dyDescent="0.25">
      <c r="L1684" s="38"/>
      <c r="Z1684" s="38"/>
    </row>
    <row r="1685" spans="12:26" x14ac:dyDescent="0.25">
      <c r="L1685" s="38"/>
      <c r="Z1685" s="38"/>
    </row>
    <row r="1686" spans="12:26" x14ac:dyDescent="0.25">
      <c r="L1686" s="38"/>
      <c r="Z1686" s="38"/>
    </row>
    <row r="1687" spans="12:26" x14ac:dyDescent="0.25">
      <c r="L1687" s="38"/>
      <c r="Z1687" s="38"/>
    </row>
    <row r="1688" spans="12:26" x14ac:dyDescent="0.25">
      <c r="L1688" s="38"/>
      <c r="Z1688" s="38"/>
    </row>
    <row r="1689" spans="12:26" x14ac:dyDescent="0.25">
      <c r="L1689" s="38"/>
      <c r="Z1689" s="38"/>
    </row>
    <row r="1690" spans="12:26" x14ac:dyDescent="0.25">
      <c r="L1690" s="38"/>
      <c r="Z1690" s="38"/>
    </row>
    <row r="1691" spans="12:26" x14ac:dyDescent="0.25">
      <c r="L1691" s="38"/>
      <c r="Z1691" s="38"/>
    </row>
    <row r="1692" spans="12:26" x14ac:dyDescent="0.25">
      <c r="L1692" s="38"/>
      <c r="Z1692" s="38"/>
    </row>
    <row r="1693" spans="12:26" x14ac:dyDescent="0.25">
      <c r="L1693" s="38"/>
      <c r="Z1693" s="38"/>
    </row>
    <row r="1694" spans="12:26" x14ac:dyDescent="0.25">
      <c r="L1694" s="38"/>
      <c r="Z1694" s="38"/>
    </row>
    <row r="1695" spans="12:26" x14ac:dyDescent="0.25">
      <c r="L1695" s="38"/>
      <c r="Z1695" s="38"/>
    </row>
    <row r="1696" spans="12:26" x14ac:dyDescent="0.25">
      <c r="L1696" s="38"/>
      <c r="Z1696" s="38"/>
    </row>
    <row r="1697" spans="12:26" x14ac:dyDescent="0.25">
      <c r="L1697" s="38"/>
      <c r="Z1697" s="38"/>
    </row>
    <row r="1698" spans="12:26" x14ac:dyDescent="0.25">
      <c r="L1698" s="38"/>
      <c r="Z1698" s="38"/>
    </row>
    <row r="1699" spans="12:26" x14ac:dyDescent="0.25">
      <c r="L1699" s="38"/>
      <c r="Z1699" s="38"/>
    </row>
    <row r="1700" spans="12:26" x14ac:dyDescent="0.25">
      <c r="L1700" s="38"/>
      <c r="Z1700" s="38"/>
    </row>
    <row r="1701" spans="12:26" x14ac:dyDescent="0.25">
      <c r="L1701" s="38"/>
      <c r="Z1701" s="38"/>
    </row>
    <row r="1702" spans="12:26" x14ac:dyDescent="0.25">
      <c r="L1702" s="38"/>
      <c r="Z1702" s="38"/>
    </row>
    <row r="1703" spans="12:26" x14ac:dyDescent="0.25">
      <c r="L1703" s="38"/>
      <c r="Z1703" s="38"/>
    </row>
    <row r="1704" spans="12:26" x14ac:dyDescent="0.25">
      <c r="L1704" s="38"/>
      <c r="Z1704" s="38"/>
    </row>
    <row r="1705" spans="12:26" x14ac:dyDescent="0.25">
      <c r="L1705" s="38"/>
      <c r="Z1705" s="38"/>
    </row>
    <row r="1706" spans="12:26" x14ac:dyDescent="0.25">
      <c r="L1706" s="38"/>
      <c r="Z1706" s="38"/>
    </row>
    <row r="1707" spans="12:26" x14ac:dyDescent="0.25">
      <c r="L1707" s="38"/>
      <c r="Z1707" s="38"/>
    </row>
    <row r="1708" spans="12:26" x14ac:dyDescent="0.25">
      <c r="L1708" s="38"/>
      <c r="Z1708" s="38"/>
    </row>
    <row r="1709" spans="12:26" x14ac:dyDescent="0.25">
      <c r="L1709" s="38"/>
      <c r="Z1709" s="38"/>
    </row>
    <row r="1710" spans="12:26" x14ac:dyDescent="0.25">
      <c r="L1710" s="38"/>
      <c r="Z1710" s="38"/>
    </row>
    <row r="1711" spans="12:26" x14ac:dyDescent="0.25">
      <c r="L1711" s="38"/>
      <c r="Z1711" s="38"/>
    </row>
    <row r="1712" spans="12:26" x14ac:dyDescent="0.25">
      <c r="L1712" s="38"/>
      <c r="Z1712" s="38"/>
    </row>
    <row r="1713" spans="12:26" x14ac:dyDescent="0.25">
      <c r="L1713" s="38"/>
      <c r="Z1713" s="38"/>
    </row>
    <row r="1714" spans="12:26" x14ac:dyDescent="0.25">
      <c r="L1714" s="38"/>
      <c r="Z1714" s="38"/>
    </row>
    <row r="1715" spans="12:26" x14ac:dyDescent="0.25">
      <c r="L1715" s="38"/>
      <c r="Z1715" s="38"/>
    </row>
    <row r="1716" spans="12:26" x14ac:dyDescent="0.25">
      <c r="L1716" s="38"/>
      <c r="Z1716" s="38"/>
    </row>
    <row r="1717" spans="12:26" x14ac:dyDescent="0.25">
      <c r="L1717" s="38"/>
      <c r="Z1717" s="38"/>
    </row>
    <row r="1718" spans="12:26" x14ac:dyDescent="0.25">
      <c r="L1718" s="38"/>
      <c r="Z1718" s="38"/>
    </row>
    <row r="1719" spans="12:26" x14ac:dyDescent="0.25">
      <c r="L1719" s="38"/>
      <c r="Z1719" s="38"/>
    </row>
    <row r="1720" spans="12:26" x14ac:dyDescent="0.25">
      <c r="L1720" s="38"/>
      <c r="Z1720" s="38"/>
    </row>
    <row r="1721" spans="12:26" x14ac:dyDescent="0.25">
      <c r="L1721" s="38"/>
      <c r="Z1721" s="38"/>
    </row>
    <row r="1722" spans="12:26" x14ac:dyDescent="0.25">
      <c r="L1722" s="38"/>
      <c r="Z1722" s="38"/>
    </row>
    <row r="1723" spans="12:26" x14ac:dyDescent="0.25">
      <c r="L1723" s="38"/>
      <c r="Z1723" s="38"/>
    </row>
    <row r="1724" spans="12:26" x14ac:dyDescent="0.25">
      <c r="L1724" s="38"/>
      <c r="Z1724" s="38"/>
    </row>
    <row r="1725" spans="12:26" x14ac:dyDescent="0.25">
      <c r="L1725" s="38"/>
      <c r="Z1725" s="38"/>
    </row>
    <row r="1726" spans="12:26" x14ac:dyDescent="0.25">
      <c r="L1726" s="38"/>
      <c r="Z1726" s="38"/>
    </row>
    <row r="1727" spans="12:26" x14ac:dyDescent="0.25">
      <c r="L1727" s="38"/>
      <c r="Z1727" s="38"/>
    </row>
    <row r="1728" spans="12:26" x14ac:dyDescent="0.25">
      <c r="L1728" s="38"/>
      <c r="Z1728" s="38"/>
    </row>
    <row r="1729" spans="12:26" x14ac:dyDescent="0.25">
      <c r="L1729" s="38"/>
      <c r="Z1729" s="38"/>
    </row>
    <row r="1730" spans="12:26" x14ac:dyDescent="0.25">
      <c r="L1730" s="38"/>
      <c r="Z1730" s="38"/>
    </row>
    <row r="1731" spans="12:26" x14ac:dyDescent="0.25">
      <c r="L1731" s="38"/>
      <c r="Z1731" s="38"/>
    </row>
    <row r="1732" spans="12:26" x14ac:dyDescent="0.25">
      <c r="L1732" s="38"/>
      <c r="Z1732" s="38"/>
    </row>
    <row r="1733" spans="12:26" x14ac:dyDescent="0.25">
      <c r="L1733" s="38"/>
      <c r="Z1733" s="38"/>
    </row>
    <row r="1734" spans="12:26" x14ac:dyDescent="0.25">
      <c r="L1734" s="38"/>
      <c r="Z1734" s="38"/>
    </row>
    <row r="1735" spans="12:26" x14ac:dyDescent="0.25">
      <c r="L1735" s="38"/>
      <c r="Z1735" s="38"/>
    </row>
    <row r="1736" spans="12:26" x14ac:dyDescent="0.25">
      <c r="L1736" s="38"/>
      <c r="Z1736" s="38"/>
    </row>
    <row r="1737" spans="12:26" x14ac:dyDescent="0.25">
      <c r="L1737" s="38"/>
      <c r="Z1737" s="38"/>
    </row>
    <row r="1738" spans="12:26" x14ac:dyDescent="0.25">
      <c r="L1738" s="38"/>
      <c r="Z1738" s="38"/>
    </row>
    <row r="1739" spans="12:26" x14ac:dyDescent="0.25">
      <c r="L1739" s="38"/>
      <c r="Z1739" s="38"/>
    </row>
    <row r="1740" spans="12:26" x14ac:dyDescent="0.25">
      <c r="L1740" s="38"/>
      <c r="Z1740" s="38"/>
    </row>
    <row r="1741" spans="12:26" x14ac:dyDescent="0.25">
      <c r="L1741" s="38"/>
      <c r="Z1741" s="38"/>
    </row>
    <row r="1742" spans="12:26" x14ac:dyDescent="0.25">
      <c r="L1742" s="38"/>
      <c r="Z1742" s="38"/>
    </row>
    <row r="1743" spans="12:26" x14ac:dyDescent="0.25">
      <c r="L1743" s="38"/>
      <c r="Z1743" s="38"/>
    </row>
    <row r="1744" spans="12:26" x14ac:dyDescent="0.25">
      <c r="L1744" s="38"/>
      <c r="Z1744" s="38"/>
    </row>
    <row r="1745" spans="12:26" x14ac:dyDescent="0.25">
      <c r="L1745" s="38"/>
      <c r="Z1745" s="38"/>
    </row>
    <row r="1746" spans="12:26" x14ac:dyDescent="0.25">
      <c r="L1746" s="38"/>
      <c r="Z1746" s="38"/>
    </row>
    <row r="1747" spans="12:26" x14ac:dyDescent="0.25">
      <c r="L1747" s="38"/>
      <c r="Z1747" s="38"/>
    </row>
    <row r="1748" spans="12:26" x14ac:dyDescent="0.25">
      <c r="L1748" s="38"/>
      <c r="Z1748" s="38"/>
    </row>
    <row r="1749" spans="12:26" x14ac:dyDescent="0.25">
      <c r="L1749" s="38"/>
      <c r="Z1749" s="38"/>
    </row>
    <row r="1750" spans="12:26" x14ac:dyDescent="0.25">
      <c r="L1750" s="38"/>
      <c r="Z1750" s="38"/>
    </row>
    <row r="1751" spans="12:26" x14ac:dyDescent="0.25">
      <c r="L1751" s="38"/>
      <c r="Z1751" s="38"/>
    </row>
    <row r="1752" spans="12:26" x14ac:dyDescent="0.25">
      <c r="L1752" s="38"/>
      <c r="Z1752" s="38"/>
    </row>
    <row r="1753" spans="12:26" x14ac:dyDescent="0.25">
      <c r="L1753" s="38"/>
      <c r="Z1753" s="38"/>
    </row>
    <row r="1754" spans="12:26" x14ac:dyDescent="0.25">
      <c r="L1754" s="38"/>
      <c r="Z1754" s="38"/>
    </row>
    <row r="1755" spans="12:26" x14ac:dyDescent="0.25">
      <c r="L1755" s="38"/>
      <c r="Z1755" s="38"/>
    </row>
    <row r="1756" spans="12:26" x14ac:dyDescent="0.25">
      <c r="L1756" s="38"/>
      <c r="Z1756" s="38"/>
    </row>
    <row r="1757" spans="12:26" x14ac:dyDescent="0.25">
      <c r="L1757" s="38"/>
      <c r="Z1757" s="38"/>
    </row>
    <row r="1758" spans="12:26" x14ac:dyDescent="0.25">
      <c r="L1758" s="38"/>
      <c r="Z1758" s="38"/>
    </row>
    <row r="1759" spans="12:26" x14ac:dyDescent="0.25">
      <c r="L1759" s="38"/>
      <c r="Z1759" s="38"/>
    </row>
    <row r="1760" spans="12:26" x14ac:dyDescent="0.25">
      <c r="L1760" s="38"/>
      <c r="Z1760" s="38"/>
    </row>
    <row r="1761" spans="12:26" x14ac:dyDescent="0.25">
      <c r="L1761" s="38"/>
      <c r="Z1761" s="38"/>
    </row>
    <row r="1762" spans="12:26" x14ac:dyDescent="0.25">
      <c r="L1762" s="38"/>
      <c r="Z1762" s="38"/>
    </row>
    <row r="1763" spans="12:26" x14ac:dyDescent="0.25">
      <c r="L1763" s="38"/>
      <c r="Z1763" s="38"/>
    </row>
    <row r="1764" spans="12:26" x14ac:dyDescent="0.25">
      <c r="L1764" s="38"/>
      <c r="Z1764" s="38"/>
    </row>
    <row r="1765" spans="12:26" x14ac:dyDescent="0.25">
      <c r="L1765" s="38"/>
      <c r="Z1765" s="38"/>
    </row>
    <row r="1766" spans="12:26" x14ac:dyDescent="0.25">
      <c r="L1766" s="38"/>
      <c r="Z1766" s="38"/>
    </row>
    <row r="1767" spans="12:26" x14ac:dyDescent="0.25">
      <c r="L1767" s="38"/>
      <c r="Z1767" s="38"/>
    </row>
    <row r="1768" spans="12:26" x14ac:dyDescent="0.25">
      <c r="L1768" s="38"/>
      <c r="Z1768" s="38"/>
    </row>
    <row r="1769" spans="12:26" x14ac:dyDescent="0.25">
      <c r="L1769" s="38"/>
      <c r="Z1769" s="38"/>
    </row>
    <row r="1770" spans="12:26" x14ac:dyDescent="0.25">
      <c r="L1770" s="38"/>
      <c r="Z1770" s="38"/>
    </row>
    <row r="1771" spans="12:26" x14ac:dyDescent="0.25">
      <c r="L1771" s="38"/>
      <c r="Z1771" s="38"/>
    </row>
    <row r="1772" spans="12:26" x14ac:dyDescent="0.25">
      <c r="L1772" s="38"/>
      <c r="Z1772" s="38"/>
    </row>
    <row r="1773" spans="12:26" x14ac:dyDescent="0.25">
      <c r="L1773" s="38"/>
      <c r="Z1773" s="38"/>
    </row>
    <row r="1774" spans="12:26" x14ac:dyDescent="0.25">
      <c r="L1774" s="38"/>
      <c r="Z1774" s="38"/>
    </row>
    <row r="1775" spans="12:26" x14ac:dyDescent="0.25">
      <c r="L1775" s="38"/>
      <c r="Z1775" s="38"/>
    </row>
    <row r="1776" spans="12:26" x14ac:dyDescent="0.25">
      <c r="L1776" s="38"/>
      <c r="Z1776" s="38"/>
    </row>
    <row r="1777" spans="12:26" x14ac:dyDescent="0.25">
      <c r="L1777" s="38"/>
      <c r="Z1777" s="38"/>
    </row>
    <row r="1778" spans="12:26" x14ac:dyDescent="0.25">
      <c r="L1778" s="38"/>
      <c r="Z1778" s="38"/>
    </row>
    <row r="1779" spans="12:26" x14ac:dyDescent="0.25">
      <c r="L1779" s="38"/>
      <c r="Z1779" s="38"/>
    </row>
    <row r="1780" spans="12:26" x14ac:dyDescent="0.25">
      <c r="L1780" s="38"/>
      <c r="Z1780" s="38"/>
    </row>
    <row r="1781" spans="12:26" x14ac:dyDescent="0.25">
      <c r="L1781" s="38"/>
      <c r="Z1781" s="38"/>
    </row>
    <row r="1782" spans="12:26" x14ac:dyDescent="0.25">
      <c r="L1782" s="38"/>
      <c r="Z1782" s="38"/>
    </row>
    <row r="1783" spans="12:26" x14ac:dyDescent="0.25">
      <c r="L1783" s="38"/>
      <c r="Z1783" s="38"/>
    </row>
    <row r="1784" spans="12:26" x14ac:dyDescent="0.25">
      <c r="L1784" s="38"/>
      <c r="Z1784" s="38"/>
    </row>
    <row r="1785" spans="12:26" x14ac:dyDescent="0.25">
      <c r="L1785" s="38"/>
      <c r="Z1785" s="38"/>
    </row>
    <row r="1786" spans="12:26" x14ac:dyDescent="0.25">
      <c r="L1786" s="38"/>
      <c r="Z1786" s="38"/>
    </row>
    <row r="1787" spans="12:26" x14ac:dyDescent="0.25">
      <c r="L1787" s="38"/>
      <c r="Z1787" s="38"/>
    </row>
    <row r="1788" spans="12:26" x14ac:dyDescent="0.25">
      <c r="L1788" s="38"/>
      <c r="Z1788" s="38"/>
    </row>
    <row r="1789" spans="12:26" x14ac:dyDescent="0.25">
      <c r="L1789" s="38"/>
      <c r="Z1789" s="38"/>
    </row>
    <row r="1790" spans="12:26" x14ac:dyDescent="0.25">
      <c r="L1790" s="38"/>
      <c r="Z1790" s="38"/>
    </row>
    <row r="1791" spans="12:26" x14ac:dyDescent="0.25">
      <c r="L1791" s="38"/>
      <c r="Z1791" s="38"/>
    </row>
    <row r="1792" spans="12:26" x14ac:dyDescent="0.25">
      <c r="L1792" s="38"/>
      <c r="Z1792" s="38"/>
    </row>
    <row r="1793" spans="12:26" x14ac:dyDescent="0.25">
      <c r="L1793" s="38"/>
      <c r="Z1793" s="38"/>
    </row>
    <row r="1794" spans="12:26" x14ac:dyDescent="0.25">
      <c r="L1794" s="38"/>
      <c r="Z1794" s="38"/>
    </row>
    <row r="1795" spans="12:26" x14ac:dyDescent="0.25">
      <c r="L1795" s="38"/>
      <c r="Z1795" s="38"/>
    </row>
    <row r="1796" spans="12:26" x14ac:dyDescent="0.25">
      <c r="L1796" s="38"/>
      <c r="Z1796" s="38"/>
    </row>
    <row r="1797" spans="12:26" x14ac:dyDescent="0.25">
      <c r="L1797" s="38"/>
      <c r="Z1797" s="38"/>
    </row>
    <row r="1798" spans="12:26" x14ac:dyDescent="0.25">
      <c r="L1798" s="38"/>
      <c r="Z1798" s="38"/>
    </row>
    <row r="1799" spans="12:26" x14ac:dyDescent="0.25">
      <c r="L1799" s="38"/>
      <c r="Z1799" s="38"/>
    </row>
    <row r="1800" spans="12:26" x14ac:dyDescent="0.25">
      <c r="L1800" s="38"/>
      <c r="Z1800" s="38"/>
    </row>
    <row r="1801" spans="12:26" x14ac:dyDescent="0.25">
      <c r="L1801" s="38"/>
      <c r="Z1801" s="38"/>
    </row>
    <row r="1802" spans="12:26" x14ac:dyDescent="0.25">
      <c r="L1802" s="38"/>
      <c r="Z1802" s="38"/>
    </row>
    <row r="1803" spans="12:26" x14ac:dyDescent="0.25">
      <c r="L1803" s="38"/>
      <c r="Z1803" s="38"/>
    </row>
    <row r="1804" spans="12:26" x14ac:dyDescent="0.25">
      <c r="L1804" s="38"/>
      <c r="Z1804" s="38"/>
    </row>
    <row r="1805" spans="12:26" x14ac:dyDescent="0.25">
      <c r="L1805" s="38"/>
      <c r="Z1805" s="38"/>
    </row>
    <row r="1806" spans="12:26" x14ac:dyDescent="0.25">
      <c r="L1806" s="38"/>
      <c r="Z1806" s="38"/>
    </row>
    <row r="1807" spans="12:26" x14ac:dyDescent="0.25">
      <c r="L1807" s="38"/>
      <c r="Z1807" s="38"/>
    </row>
    <row r="1808" spans="12:26" x14ac:dyDescent="0.25">
      <c r="L1808" s="38"/>
      <c r="Z1808" s="38"/>
    </row>
    <row r="1809" spans="12:26" x14ac:dyDescent="0.25">
      <c r="L1809" s="38"/>
      <c r="Z1809" s="38"/>
    </row>
    <row r="1810" spans="12:26" x14ac:dyDescent="0.25">
      <c r="L1810" s="38"/>
      <c r="Z1810" s="38"/>
    </row>
    <row r="1811" spans="12:26" x14ac:dyDescent="0.25">
      <c r="L1811" s="38"/>
      <c r="Z1811" s="38"/>
    </row>
    <row r="1812" spans="12:26" x14ac:dyDescent="0.25">
      <c r="L1812" s="38"/>
      <c r="Z1812" s="38"/>
    </row>
    <row r="1813" spans="12:26" x14ac:dyDescent="0.25">
      <c r="L1813" s="38"/>
      <c r="Z1813" s="38"/>
    </row>
    <row r="1814" spans="12:26" x14ac:dyDescent="0.25">
      <c r="L1814" s="38"/>
      <c r="Z1814" s="38"/>
    </row>
    <row r="1815" spans="12:26" x14ac:dyDescent="0.25">
      <c r="L1815" s="38"/>
      <c r="Z1815" s="38"/>
    </row>
    <row r="1816" spans="12:26" x14ac:dyDescent="0.25">
      <c r="L1816" s="38"/>
      <c r="Z1816" s="38"/>
    </row>
    <row r="1817" spans="12:26" x14ac:dyDescent="0.25">
      <c r="L1817" s="38"/>
      <c r="Z1817" s="38"/>
    </row>
    <row r="1818" spans="12:26" x14ac:dyDescent="0.25">
      <c r="L1818" s="38"/>
      <c r="Z1818" s="38"/>
    </row>
    <row r="1819" spans="12:26" x14ac:dyDescent="0.25">
      <c r="L1819" s="38"/>
      <c r="Z1819" s="38"/>
    </row>
    <row r="1820" spans="12:26" x14ac:dyDescent="0.25">
      <c r="L1820" s="38"/>
      <c r="Z1820" s="38"/>
    </row>
    <row r="1821" spans="12:26" x14ac:dyDescent="0.25">
      <c r="L1821" s="38"/>
      <c r="Z1821" s="38"/>
    </row>
    <row r="1822" spans="12:26" x14ac:dyDescent="0.25">
      <c r="L1822" s="38"/>
      <c r="Z1822" s="38"/>
    </row>
    <row r="1823" spans="12:26" x14ac:dyDescent="0.25">
      <c r="L1823" s="38"/>
      <c r="Z1823" s="38"/>
    </row>
    <row r="1824" spans="12:26" x14ac:dyDescent="0.25">
      <c r="L1824" s="38"/>
      <c r="Z1824" s="38"/>
    </row>
    <row r="1825" spans="12:26" x14ac:dyDescent="0.25">
      <c r="L1825" s="38"/>
      <c r="Z1825" s="38"/>
    </row>
    <row r="1826" spans="12:26" x14ac:dyDescent="0.25">
      <c r="L1826" s="38"/>
      <c r="Z1826" s="38"/>
    </row>
    <row r="1827" spans="12:26" x14ac:dyDescent="0.25">
      <c r="L1827" s="38"/>
      <c r="Z1827" s="38"/>
    </row>
    <row r="1828" spans="12:26" x14ac:dyDescent="0.25">
      <c r="L1828" s="38"/>
      <c r="Z1828" s="38"/>
    </row>
    <row r="1829" spans="12:26" x14ac:dyDescent="0.25">
      <c r="L1829" s="38"/>
      <c r="Z1829" s="38"/>
    </row>
    <row r="1830" spans="12:26" x14ac:dyDescent="0.25">
      <c r="L1830" s="38"/>
      <c r="Z1830" s="38"/>
    </row>
    <row r="1831" spans="12:26" x14ac:dyDescent="0.25">
      <c r="L1831" s="38"/>
      <c r="Z1831" s="38"/>
    </row>
    <row r="1832" spans="12:26" x14ac:dyDescent="0.25">
      <c r="L1832" s="38"/>
      <c r="Z1832" s="38"/>
    </row>
    <row r="1833" spans="12:26" x14ac:dyDescent="0.25">
      <c r="L1833" s="38"/>
      <c r="Z1833" s="38"/>
    </row>
    <row r="1834" spans="12:26" x14ac:dyDescent="0.25">
      <c r="L1834" s="38"/>
      <c r="Z1834" s="38"/>
    </row>
    <row r="1835" spans="12:26" x14ac:dyDescent="0.25">
      <c r="L1835" s="38"/>
      <c r="Z1835" s="38"/>
    </row>
    <row r="1836" spans="12:26" x14ac:dyDescent="0.25">
      <c r="L1836" s="38"/>
      <c r="Z1836" s="38"/>
    </row>
    <row r="1837" spans="12:26" x14ac:dyDescent="0.25">
      <c r="L1837" s="38"/>
      <c r="Z1837" s="38"/>
    </row>
    <row r="1838" spans="12:26" x14ac:dyDescent="0.25">
      <c r="L1838" s="38"/>
      <c r="Z1838" s="38"/>
    </row>
    <row r="1839" spans="12:26" x14ac:dyDescent="0.25">
      <c r="L1839" s="38"/>
      <c r="Z1839" s="38"/>
    </row>
    <row r="1840" spans="12:26" x14ac:dyDescent="0.25">
      <c r="L1840" s="38"/>
      <c r="Z1840" s="38"/>
    </row>
    <row r="1841" spans="12:26" x14ac:dyDescent="0.25">
      <c r="L1841" s="38"/>
      <c r="Z1841" s="38"/>
    </row>
    <row r="1842" spans="12:26" x14ac:dyDescent="0.25">
      <c r="L1842" s="38"/>
      <c r="Z1842" s="38"/>
    </row>
    <row r="1843" spans="12:26" x14ac:dyDescent="0.25">
      <c r="L1843" s="38"/>
      <c r="Z1843" s="38"/>
    </row>
    <row r="1844" spans="12:26" x14ac:dyDescent="0.25">
      <c r="L1844" s="38"/>
      <c r="Z1844" s="38"/>
    </row>
    <row r="1845" spans="12:26" x14ac:dyDescent="0.25">
      <c r="L1845" s="38"/>
      <c r="Z1845" s="38"/>
    </row>
    <row r="1846" spans="12:26" x14ac:dyDescent="0.25">
      <c r="L1846" s="38"/>
      <c r="Z1846" s="38"/>
    </row>
    <row r="1847" spans="12:26" x14ac:dyDescent="0.25">
      <c r="L1847" s="38"/>
      <c r="Z1847" s="38"/>
    </row>
    <row r="1848" spans="12:26" x14ac:dyDescent="0.25">
      <c r="L1848" s="38"/>
      <c r="Z1848" s="38"/>
    </row>
    <row r="1849" spans="12:26" x14ac:dyDescent="0.25">
      <c r="L1849" s="38"/>
      <c r="Z1849" s="38"/>
    </row>
    <row r="1850" spans="12:26" x14ac:dyDescent="0.25">
      <c r="L1850" s="38"/>
      <c r="Z1850" s="38"/>
    </row>
    <row r="1851" spans="12:26" x14ac:dyDescent="0.25">
      <c r="L1851" s="38"/>
      <c r="Z1851" s="38"/>
    </row>
    <row r="1852" spans="12:26" x14ac:dyDescent="0.25">
      <c r="L1852" s="38"/>
      <c r="Z1852" s="38"/>
    </row>
    <row r="1853" spans="12:26" x14ac:dyDescent="0.25">
      <c r="L1853" s="38"/>
      <c r="Z1853" s="38"/>
    </row>
    <row r="1854" spans="12:26" x14ac:dyDescent="0.25">
      <c r="L1854" s="38"/>
      <c r="Z1854" s="38"/>
    </row>
    <row r="1855" spans="12:26" x14ac:dyDescent="0.25">
      <c r="L1855" s="38"/>
      <c r="Z1855" s="38"/>
    </row>
    <row r="1856" spans="12:26" x14ac:dyDescent="0.25">
      <c r="L1856" s="38"/>
      <c r="Z1856" s="38"/>
    </row>
    <row r="1857" spans="12:26" x14ac:dyDescent="0.25">
      <c r="L1857" s="38"/>
      <c r="Z1857" s="38"/>
    </row>
    <row r="1858" spans="12:26" x14ac:dyDescent="0.25">
      <c r="L1858" s="38"/>
      <c r="Z1858" s="38"/>
    </row>
    <row r="1859" spans="12:26" x14ac:dyDescent="0.25">
      <c r="L1859" s="38"/>
      <c r="Z1859" s="38"/>
    </row>
    <row r="1860" spans="12:26" x14ac:dyDescent="0.25">
      <c r="L1860" s="38"/>
      <c r="Z1860" s="38"/>
    </row>
    <row r="1861" spans="12:26" x14ac:dyDescent="0.25">
      <c r="L1861" s="38"/>
      <c r="Z1861" s="38"/>
    </row>
    <row r="1862" spans="12:26" x14ac:dyDescent="0.25">
      <c r="L1862" s="38"/>
      <c r="Z1862" s="38"/>
    </row>
    <row r="1863" spans="12:26" x14ac:dyDescent="0.25">
      <c r="L1863" s="38"/>
      <c r="Z1863" s="38"/>
    </row>
    <row r="1864" spans="12:26" x14ac:dyDescent="0.25">
      <c r="L1864" s="38"/>
      <c r="Z1864" s="38"/>
    </row>
    <row r="1865" spans="12:26" x14ac:dyDescent="0.25">
      <c r="L1865" s="38"/>
      <c r="Z1865" s="38"/>
    </row>
    <row r="1866" spans="12:26" x14ac:dyDescent="0.25">
      <c r="L1866" s="38"/>
      <c r="Z1866" s="38"/>
    </row>
    <row r="1867" spans="12:26" x14ac:dyDescent="0.25">
      <c r="L1867" s="38"/>
      <c r="Z1867" s="38"/>
    </row>
    <row r="1868" spans="12:26" x14ac:dyDescent="0.25">
      <c r="L1868" s="38"/>
      <c r="Z1868" s="38"/>
    </row>
    <row r="1869" spans="12:26" x14ac:dyDescent="0.25">
      <c r="L1869" s="38"/>
      <c r="Z1869" s="38"/>
    </row>
    <row r="1870" spans="12:26" x14ac:dyDescent="0.25">
      <c r="L1870" s="38"/>
      <c r="Z1870" s="38"/>
    </row>
    <row r="1871" spans="12:26" x14ac:dyDescent="0.25">
      <c r="L1871" s="38"/>
      <c r="Z1871" s="38"/>
    </row>
    <row r="1872" spans="12:26" x14ac:dyDescent="0.25">
      <c r="L1872" s="38"/>
      <c r="Z1872" s="38"/>
    </row>
    <row r="1873" spans="12:26" x14ac:dyDescent="0.25">
      <c r="L1873" s="38"/>
      <c r="Z1873" s="38"/>
    </row>
    <row r="1874" spans="12:26" x14ac:dyDescent="0.25">
      <c r="L1874" s="38"/>
      <c r="Z1874" s="38"/>
    </row>
    <row r="1875" spans="12:26" x14ac:dyDescent="0.25">
      <c r="L1875" s="38"/>
      <c r="Z1875" s="38"/>
    </row>
    <row r="1876" spans="12:26" x14ac:dyDescent="0.25">
      <c r="L1876" s="38"/>
      <c r="Z1876" s="38"/>
    </row>
    <row r="1877" spans="12:26" x14ac:dyDescent="0.25">
      <c r="L1877" s="38"/>
      <c r="Z1877" s="38"/>
    </row>
    <row r="1878" spans="12:26" x14ac:dyDescent="0.25">
      <c r="L1878" s="38"/>
      <c r="Z1878" s="38"/>
    </row>
    <row r="1879" spans="12:26" x14ac:dyDescent="0.25">
      <c r="L1879" s="38"/>
      <c r="Z1879" s="38"/>
    </row>
    <row r="1880" spans="12:26" x14ac:dyDescent="0.25">
      <c r="L1880" s="38"/>
      <c r="Z1880" s="38"/>
    </row>
    <row r="1881" spans="12:26" x14ac:dyDescent="0.25">
      <c r="L1881" s="38"/>
      <c r="Z1881" s="38"/>
    </row>
    <row r="1882" spans="12:26" x14ac:dyDescent="0.25">
      <c r="L1882" s="38"/>
      <c r="Z1882" s="38"/>
    </row>
    <row r="1883" spans="12:26" x14ac:dyDescent="0.25">
      <c r="L1883" s="38"/>
      <c r="Z1883" s="38"/>
    </row>
    <row r="1884" spans="12:26" x14ac:dyDescent="0.25">
      <c r="L1884" s="38"/>
      <c r="Z1884" s="38"/>
    </row>
    <row r="1885" spans="12:26" x14ac:dyDescent="0.25">
      <c r="L1885" s="38"/>
      <c r="Z1885" s="38"/>
    </row>
    <row r="1886" spans="12:26" x14ac:dyDescent="0.25">
      <c r="L1886" s="38"/>
      <c r="Z1886" s="38"/>
    </row>
    <row r="1887" spans="12:26" x14ac:dyDescent="0.25">
      <c r="L1887" s="38"/>
      <c r="Z1887" s="38"/>
    </row>
    <row r="1888" spans="12:26" x14ac:dyDescent="0.25">
      <c r="L1888" s="38"/>
      <c r="Z1888" s="38"/>
    </row>
    <row r="1889" spans="12:26" x14ac:dyDescent="0.25">
      <c r="L1889" s="38"/>
      <c r="Z1889" s="38"/>
    </row>
    <row r="1890" spans="12:26" x14ac:dyDescent="0.25">
      <c r="L1890" s="38"/>
      <c r="Z1890" s="38"/>
    </row>
    <row r="1891" spans="12:26" x14ac:dyDescent="0.25">
      <c r="L1891" s="38"/>
      <c r="Z1891" s="38"/>
    </row>
    <row r="1892" spans="12:26" x14ac:dyDescent="0.25">
      <c r="L1892" s="38"/>
      <c r="Z1892" s="38"/>
    </row>
    <row r="1893" spans="12:26" x14ac:dyDescent="0.25">
      <c r="L1893" s="38"/>
      <c r="Z1893" s="38"/>
    </row>
    <row r="1894" spans="12:26" x14ac:dyDescent="0.25">
      <c r="L1894" s="38"/>
      <c r="Z1894" s="38"/>
    </row>
    <row r="1895" spans="12:26" x14ac:dyDescent="0.25">
      <c r="L1895" s="38"/>
      <c r="Z1895" s="38"/>
    </row>
    <row r="1896" spans="12:26" x14ac:dyDescent="0.25">
      <c r="L1896" s="38"/>
      <c r="Z1896" s="38"/>
    </row>
    <row r="1897" spans="12:26" x14ac:dyDescent="0.25">
      <c r="L1897" s="38"/>
      <c r="Z1897" s="38"/>
    </row>
    <row r="1898" spans="12:26" x14ac:dyDescent="0.25">
      <c r="L1898" s="38"/>
      <c r="Z1898" s="38"/>
    </row>
    <row r="1899" spans="12:26" x14ac:dyDescent="0.25">
      <c r="L1899" s="38"/>
      <c r="Z1899" s="38"/>
    </row>
    <row r="1900" spans="12:26" x14ac:dyDescent="0.25">
      <c r="L1900" s="38"/>
      <c r="Z1900" s="38"/>
    </row>
    <row r="1901" spans="12:26" x14ac:dyDescent="0.25">
      <c r="L1901" s="38"/>
      <c r="Z1901" s="38"/>
    </row>
    <row r="1902" spans="12:26" x14ac:dyDescent="0.25">
      <c r="L1902" s="38"/>
      <c r="Z1902" s="38"/>
    </row>
    <row r="1903" spans="12:26" x14ac:dyDescent="0.25">
      <c r="L1903" s="38"/>
      <c r="Z1903" s="38"/>
    </row>
    <row r="1904" spans="12:26" x14ac:dyDescent="0.25">
      <c r="L1904" s="38"/>
      <c r="Z1904" s="38"/>
    </row>
    <row r="1905" spans="12:26" x14ac:dyDescent="0.25">
      <c r="L1905" s="38"/>
      <c r="Z1905" s="38"/>
    </row>
    <row r="1906" spans="12:26" x14ac:dyDescent="0.25">
      <c r="L1906" s="38"/>
      <c r="Z1906" s="38"/>
    </row>
    <row r="1907" spans="12:26" x14ac:dyDescent="0.25">
      <c r="L1907" s="38"/>
      <c r="Z1907" s="38"/>
    </row>
    <row r="1908" spans="12:26" x14ac:dyDescent="0.25">
      <c r="L1908" s="38"/>
      <c r="Z1908" s="38"/>
    </row>
    <row r="1909" spans="12:26" x14ac:dyDescent="0.25">
      <c r="L1909" s="38"/>
      <c r="Z1909" s="38"/>
    </row>
    <row r="1910" spans="12:26" x14ac:dyDescent="0.25">
      <c r="L1910" s="38"/>
      <c r="Z1910" s="38"/>
    </row>
    <row r="1911" spans="12:26" x14ac:dyDescent="0.25">
      <c r="L1911" s="38"/>
      <c r="Z1911" s="38"/>
    </row>
    <row r="1912" spans="12:26" x14ac:dyDescent="0.25">
      <c r="L1912" s="38"/>
      <c r="Z1912" s="38"/>
    </row>
    <row r="1913" spans="12:26" x14ac:dyDescent="0.25">
      <c r="L1913" s="38"/>
      <c r="Z1913" s="38"/>
    </row>
    <row r="1914" spans="12:26" x14ac:dyDescent="0.25">
      <c r="L1914" s="38"/>
      <c r="Z1914" s="38"/>
    </row>
    <row r="1915" spans="12:26" x14ac:dyDescent="0.25">
      <c r="L1915" s="38"/>
      <c r="Z1915" s="38"/>
    </row>
    <row r="1916" spans="12:26" x14ac:dyDescent="0.25">
      <c r="L1916" s="38"/>
      <c r="Z1916" s="38"/>
    </row>
    <row r="1917" spans="12:26" x14ac:dyDescent="0.25">
      <c r="L1917" s="38"/>
      <c r="Z1917" s="38"/>
    </row>
    <row r="1918" spans="12:26" x14ac:dyDescent="0.25">
      <c r="L1918" s="38"/>
      <c r="Z1918" s="38"/>
    </row>
    <row r="1919" spans="12:26" x14ac:dyDescent="0.25">
      <c r="L1919" s="38"/>
      <c r="Z1919" s="38"/>
    </row>
    <row r="1920" spans="12:26" x14ac:dyDescent="0.25">
      <c r="L1920" s="38"/>
      <c r="Z1920" s="38"/>
    </row>
    <row r="1921" spans="12:26" x14ac:dyDescent="0.25">
      <c r="L1921" s="38"/>
      <c r="Z1921" s="38"/>
    </row>
    <row r="1922" spans="12:26" x14ac:dyDescent="0.25">
      <c r="L1922" s="38"/>
      <c r="Z1922" s="38"/>
    </row>
    <row r="1923" spans="12:26" x14ac:dyDescent="0.25">
      <c r="L1923" s="38"/>
      <c r="Z1923" s="38"/>
    </row>
    <row r="1924" spans="12:26" x14ac:dyDescent="0.25">
      <c r="L1924" s="38"/>
      <c r="Z1924" s="38"/>
    </row>
    <row r="1925" spans="12:26" x14ac:dyDescent="0.25">
      <c r="L1925" s="38"/>
      <c r="Z1925" s="38"/>
    </row>
    <row r="1926" spans="12:26" x14ac:dyDescent="0.25">
      <c r="L1926" s="38"/>
      <c r="Z1926" s="38"/>
    </row>
    <row r="1927" spans="12:26" x14ac:dyDescent="0.25">
      <c r="L1927" s="38"/>
      <c r="Z1927" s="38"/>
    </row>
    <row r="1928" spans="12:26" x14ac:dyDescent="0.25">
      <c r="L1928" s="38"/>
      <c r="Z1928" s="38"/>
    </row>
    <row r="1929" spans="12:26" x14ac:dyDescent="0.25">
      <c r="L1929" s="38"/>
      <c r="Z1929" s="38"/>
    </row>
    <row r="1930" spans="12:26" x14ac:dyDescent="0.25">
      <c r="L1930" s="38"/>
      <c r="Z1930" s="38"/>
    </row>
    <row r="1931" spans="12:26" x14ac:dyDescent="0.25">
      <c r="L1931" s="38"/>
      <c r="Z1931" s="38"/>
    </row>
    <row r="1932" spans="12:26" x14ac:dyDescent="0.25">
      <c r="L1932" s="38"/>
      <c r="Z1932" s="38"/>
    </row>
    <row r="1933" spans="12:26" x14ac:dyDescent="0.25">
      <c r="L1933" s="38"/>
      <c r="Z1933" s="38"/>
    </row>
    <row r="1934" spans="12:26" x14ac:dyDescent="0.25">
      <c r="L1934" s="38"/>
      <c r="Z1934" s="38"/>
    </row>
    <row r="1935" spans="12:26" x14ac:dyDescent="0.25">
      <c r="L1935" s="38"/>
      <c r="Z1935" s="38"/>
    </row>
    <row r="1936" spans="12:26" x14ac:dyDescent="0.25">
      <c r="L1936" s="38"/>
      <c r="Z1936" s="38"/>
    </row>
    <row r="1937" spans="12:26" x14ac:dyDescent="0.25">
      <c r="L1937" s="38"/>
      <c r="Z1937" s="38"/>
    </row>
    <row r="1938" spans="12:26" x14ac:dyDescent="0.25">
      <c r="L1938" s="38"/>
      <c r="Z1938" s="38"/>
    </row>
    <row r="1939" spans="12:26" x14ac:dyDescent="0.25">
      <c r="L1939" s="38"/>
      <c r="Z1939" s="38"/>
    </row>
    <row r="1940" spans="12:26" x14ac:dyDescent="0.25">
      <c r="L1940" s="38"/>
      <c r="Z1940" s="38"/>
    </row>
    <row r="1941" spans="12:26" x14ac:dyDescent="0.25">
      <c r="L1941" s="38"/>
      <c r="Z1941" s="38"/>
    </row>
    <row r="1942" spans="12:26" x14ac:dyDescent="0.25">
      <c r="L1942" s="38"/>
      <c r="Z1942" s="38"/>
    </row>
    <row r="1943" spans="12:26" x14ac:dyDescent="0.25">
      <c r="L1943" s="38"/>
      <c r="Z1943" s="38"/>
    </row>
    <row r="1944" spans="12:26" x14ac:dyDescent="0.25">
      <c r="L1944" s="38"/>
      <c r="Z1944" s="38"/>
    </row>
    <row r="1945" spans="12:26" x14ac:dyDescent="0.25">
      <c r="L1945" s="38"/>
      <c r="Z1945" s="38"/>
    </row>
    <row r="1946" spans="12:26" x14ac:dyDescent="0.25">
      <c r="L1946" s="38"/>
      <c r="Z1946" s="38"/>
    </row>
    <row r="1947" spans="12:26" x14ac:dyDescent="0.25">
      <c r="L1947" s="38"/>
      <c r="Z1947" s="38"/>
    </row>
    <row r="1948" spans="12:26" x14ac:dyDescent="0.25">
      <c r="L1948" s="38"/>
      <c r="Z1948" s="38"/>
    </row>
    <row r="1949" spans="12:26" x14ac:dyDescent="0.25">
      <c r="L1949" s="38"/>
      <c r="Z1949" s="38"/>
    </row>
    <row r="1950" spans="12:26" x14ac:dyDescent="0.25">
      <c r="L1950" s="38"/>
      <c r="Z1950" s="38"/>
    </row>
    <row r="1951" spans="12:26" x14ac:dyDescent="0.25">
      <c r="L1951" s="38"/>
      <c r="Z1951" s="38"/>
    </row>
    <row r="1952" spans="12:26" x14ac:dyDescent="0.25">
      <c r="L1952" s="38"/>
      <c r="Z1952" s="38"/>
    </row>
    <row r="1953" spans="12:26" x14ac:dyDescent="0.25">
      <c r="L1953" s="38"/>
      <c r="Z1953" s="38"/>
    </row>
    <row r="1954" spans="12:26" x14ac:dyDescent="0.25">
      <c r="L1954" s="38"/>
      <c r="Z1954" s="38"/>
    </row>
    <row r="1955" spans="12:26" x14ac:dyDescent="0.25">
      <c r="L1955" s="38"/>
      <c r="Z1955" s="38"/>
    </row>
    <row r="1956" spans="12:26" x14ac:dyDescent="0.25">
      <c r="L1956" s="38"/>
      <c r="Z1956" s="38"/>
    </row>
    <row r="1957" spans="12:26" x14ac:dyDescent="0.25">
      <c r="L1957" s="38"/>
      <c r="Z1957" s="38"/>
    </row>
    <row r="1958" spans="12:26" x14ac:dyDescent="0.25">
      <c r="L1958" s="38"/>
      <c r="Z1958" s="38"/>
    </row>
    <row r="1959" spans="12:26" x14ac:dyDescent="0.25">
      <c r="L1959" s="38"/>
      <c r="Z1959" s="38"/>
    </row>
    <row r="1960" spans="12:26" x14ac:dyDescent="0.25">
      <c r="L1960" s="38"/>
      <c r="Z1960" s="38"/>
    </row>
    <row r="1961" spans="12:26" x14ac:dyDescent="0.25">
      <c r="L1961" s="38"/>
      <c r="Z1961" s="38"/>
    </row>
    <row r="1962" spans="12:26" x14ac:dyDescent="0.25">
      <c r="L1962" s="38"/>
      <c r="Z1962" s="38"/>
    </row>
    <row r="1963" spans="12:26" x14ac:dyDescent="0.25">
      <c r="L1963" s="38"/>
      <c r="Z1963" s="38"/>
    </row>
    <row r="1964" spans="12:26" x14ac:dyDescent="0.25">
      <c r="L1964" s="38"/>
      <c r="Z1964" s="38"/>
    </row>
    <row r="1965" spans="12:26" x14ac:dyDescent="0.25">
      <c r="L1965" s="38"/>
      <c r="Z1965" s="38"/>
    </row>
    <row r="1966" spans="12:26" x14ac:dyDescent="0.25">
      <c r="L1966" s="38"/>
      <c r="Z1966" s="38"/>
    </row>
    <row r="1967" spans="12:26" x14ac:dyDescent="0.25">
      <c r="L1967" s="38"/>
      <c r="Z1967" s="38"/>
    </row>
    <row r="1968" spans="12:26" x14ac:dyDescent="0.25">
      <c r="L1968" s="38"/>
      <c r="Z1968" s="38"/>
    </row>
    <row r="1969" spans="12:26" x14ac:dyDescent="0.25">
      <c r="L1969" s="38"/>
      <c r="Z1969" s="38"/>
    </row>
    <row r="1970" spans="12:26" x14ac:dyDescent="0.25">
      <c r="L1970" s="38"/>
      <c r="Z1970" s="38"/>
    </row>
    <row r="1971" spans="12:26" x14ac:dyDescent="0.25">
      <c r="L1971" s="38"/>
      <c r="Z1971" s="38"/>
    </row>
    <row r="1972" spans="12:26" x14ac:dyDescent="0.25">
      <c r="L1972" s="38"/>
      <c r="Z1972" s="38"/>
    </row>
    <row r="1973" spans="12:26" x14ac:dyDescent="0.25">
      <c r="L1973" s="38"/>
      <c r="Z1973" s="38"/>
    </row>
    <row r="1974" spans="12:26" x14ac:dyDescent="0.25">
      <c r="L1974" s="38"/>
      <c r="Z1974" s="38"/>
    </row>
    <row r="1975" spans="12:26" x14ac:dyDescent="0.25">
      <c r="L1975" s="38"/>
      <c r="Z1975" s="38"/>
    </row>
    <row r="1976" spans="12:26" x14ac:dyDescent="0.25">
      <c r="L1976" s="38"/>
      <c r="Z1976" s="38"/>
    </row>
    <row r="1977" spans="12:26" x14ac:dyDescent="0.25">
      <c r="L1977" s="38"/>
      <c r="Z1977" s="38"/>
    </row>
    <row r="1978" spans="12:26" x14ac:dyDescent="0.25">
      <c r="L1978" s="38"/>
      <c r="Z1978" s="38"/>
    </row>
    <row r="1979" spans="12:26" x14ac:dyDescent="0.25">
      <c r="L1979" s="38"/>
      <c r="Z1979" s="38"/>
    </row>
    <row r="1980" spans="12:26" x14ac:dyDescent="0.25">
      <c r="L1980" s="38"/>
      <c r="Z1980" s="38"/>
    </row>
    <row r="1981" spans="12:26" x14ac:dyDescent="0.25">
      <c r="L1981" s="38"/>
      <c r="Z1981" s="38"/>
    </row>
    <row r="1982" spans="12:26" x14ac:dyDescent="0.25">
      <c r="L1982" s="38"/>
      <c r="Z1982" s="38"/>
    </row>
    <row r="1983" spans="12:26" x14ac:dyDescent="0.25">
      <c r="L1983" s="38"/>
      <c r="Z1983" s="38"/>
    </row>
    <row r="1984" spans="12:26" x14ac:dyDescent="0.25">
      <c r="L1984" s="38"/>
      <c r="Z1984" s="38"/>
    </row>
    <row r="1985" spans="12:26" x14ac:dyDescent="0.25">
      <c r="L1985" s="38"/>
      <c r="Z1985" s="38"/>
    </row>
    <row r="1986" spans="12:26" x14ac:dyDescent="0.25">
      <c r="L1986" s="38"/>
      <c r="Z1986" s="38"/>
    </row>
    <row r="1987" spans="12:26" x14ac:dyDescent="0.25">
      <c r="L1987" s="38"/>
      <c r="Z1987" s="38"/>
    </row>
    <row r="1988" spans="12:26" x14ac:dyDescent="0.25">
      <c r="L1988" s="38"/>
      <c r="Z1988" s="38"/>
    </row>
    <row r="1989" spans="12:26" x14ac:dyDescent="0.25">
      <c r="L1989" s="38"/>
      <c r="Z1989" s="38"/>
    </row>
    <row r="1990" spans="12:26" x14ac:dyDescent="0.25">
      <c r="L1990" s="38"/>
      <c r="Z1990" s="38"/>
    </row>
    <row r="1991" spans="12:26" x14ac:dyDescent="0.25">
      <c r="L1991" s="38"/>
      <c r="Z1991" s="38"/>
    </row>
    <row r="1992" spans="12:26" x14ac:dyDescent="0.25">
      <c r="L1992" s="38"/>
      <c r="Z1992" s="38"/>
    </row>
    <row r="1993" spans="12:26" x14ac:dyDescent="0.25">
      <c r="L1993" s="38"/>
      <c r="Z1993" s="38"/>
    </row>
    <row r="1994" spans="12:26" x14ac:dyDescent="0.25">
      <c r="L1994" s="38"/>
      <c r="Z1994" s="38"/>
    </row>
    <row r="1995" spans="12:26" x14ac:dyDescent="0.25">
      <c r="L1995" s="38"/>
      <c r="Z1995" s="38"/>
    </row>
    <row r="1996" spans="12:26" x14ac:dyDescent="0.25">
      <c r="L1996" s="38"/>
      <c r="Z1996" s="38"/>
    </row>
    <row r="1997" spans="12:26" x14ac:dyDescent="0.25">
      <c r="L1997" s="38"/>
      <c r="Z1997" s="38"/>
    </row>
    <row r="1998" spans="12:26" x14ac:dyDescent="0.25">
      <c r="L1998" s="38"/>
      <c r="Z1998" s="38"/>
    </row>
    <row r="1999" spans="12:26" x14ac:dyDescent="0.25">
      <c r="L1999" s="38"/>
      <c r="Z1999" s="38"/>
    </row>
    <row r="2000" spans="12:26" x14ac:dyDescent="0.25">
      <c r="L2000" s="38"/>
      <c r="Z2000" s="38"/>
    </row>
    <row r="2001" spans="12:26" x14ac:dyDescent="0.25">
      <c r="L2001" s="38"/>
      <c r="Z2001" s="38"/>
    </row>
    <row r="2002" spans="12:26" x14ac:dyDescent="0.25">
      <c r="L2002" s="38"/>
      <c r="Z2002" s="38"/>
    </row>
    <row r="2003" spans="12:26" x14ac:dyDescent="0.25">
      <c r="L2003" s="38"/>
      <c r="Z2003" s="38"/>
    </row>
    <row r="2004" spans="12:26" x14ac:dyDescent="0.25">
      <c r="L2004" s="38"/>
      <c r="Z2004" s="38"/>
    </row>
    <row r="2005" spans="12:26" x14ac:dyDescent="0.25">
      <c r="L2005" s="38"/>
      <c r="Z2005" s="38"/>
    </row>
    <row r="2006" spans="12:26" x14ac:dyDescent="0.25">
      <c r="L2006" s="38"/>
      <c r="Z2006" s="38"/>
    </row>
    <row r="2007" spans="12:26" x14ac:dyDescent="0.25">
      <c r="L2007" s="38"/>
      <c r="Z2007" s="38"/>
    </row>
    <row r="2008" spans="12:26" x14ac:dyDescent="0.25">
      <c r="L2008" s="38"/>
      <c r="Z2008" s="38"/>
    </row>
    <row r="2009" spans="12:26" x14ac:dyDescent="0.25">
      <c r="L2009" s="38"/>
      <c r="Z2009" s="38"/>
    </row>
    <row r="2010" spans="12:26" x14ac:dyDescent="0.25">
      <c r="L2010" s="38"/>
      <c r="Z2010" s="38"/>
    </row>
    <row r="2011" spans="12:26" x14ac:dyDescent="0.25">
      <c r="L2011" s="38"/>
      <c r="Z2011" s="38"/>
    </row>
    <row r="2012" spans="12:26" x14ac:dyDescent="0.25">
      <c r="L2012" s="38"/>
      <c r="Z2012" s="38"/>
    </row>
    <row r="2013" spans="12:26" x14ac:dyDescent="0.25">
      <c r="L2013" s="38"/>
      <c r="Z2013" s="38"/>
    </row>
    <row r="2014" spans="12:26" x14ac:dyDescent="0.25">
      <c r="L2014" s="38"/>
      <c r="Z2014" s="38"/>
    </row>
    <row r="2015" spans="12:26" x14ac:dyDescent="0.25">
      <c r="L2015" s="38"/>
      <c r="Z2015" s="38"/>
    </row>
    <row r="2016" spans="12:26" x14ac:dyDescent="0.25">
      <c r="L2016" s="38"/>
      <c r="Z2016" s="38"/>
    </row>
    <row r="2017" spans="12:26" x14ac:dyDescent="0.25">
      <c r="L2017" s="38"/>
      <c r="Z2017" s="38"/>
    </row>
    <row r="2018" spans="12:26" x14ac:dyDescent="0.25">
      <c r="L2018" s="38"/>
      <c r="Z2018" s="38"/>
    </row>
    <row r="2019" spans="12:26" x14ac:dyDescent="0.25">
      <c r="L2019" s="38"/>
      <c r="Z2019" s="38"/>
    </row>
    <row r="2020" spans="12:26" x14ac:dyDescent="0.25">
      <c r="L2020" s="38"/>
      <c r="Z2020" s="38"/>
    </row>
    <row r="2021" spans="12:26" x14ac:dyDescent="0.25">
      <c r="L2021" s="38"/>
      <c r="Z2021" s="38"/>
    </row>
    <row r="2022" spans="12:26" x14ac:dyDescent="0.25">
      <c r="L2022" s="38"/>
      <c r="Z2022" s="38"/>
    </row>
    <row r="2023" spans="12:26" x14ac:dyDescent="0.25">
      <c r="L2023" s="38"/>
      <c r="Z2023" s="38"/>
    </row>
    <row r="2024" spans="12:26" x14ac:dyDescent="0.25">
      <c r="L2024" s="38"/>
      <c r="Z2024" s="38"/>
    </row>
    <row r="2025" spans="12:26" x14ac:dyDescent="0.25">
      <c r="L2025" s="38"/>
      <c r="Z2025" s="38"/>
    </row>
    <row r="2026" spans="12:26" x14ac:dyDescent="0.25">
      <c r="L2026" s="38"/>
      <c r="Z2026" s="38"/>
    </row>
    <row r="2027" spans="12:26" x14ac:dyDescent="0.25">
      <c r="L2027" s="38"/>
      <c r="Z2027" s="38"/>
    </row>
    <row r="2028" spans="12:26" x14ac:dyDescent="0.25">
      <c r="L2028" s="38"/>
      <c r="Z2028" s="38"/>
    </row>
    <row r="2029" spans="12:26" x14ac:dyDescent="0.25">
      <c r="L2029" s="38"/>
      <c r="Z2029" s="38"/>
    </row>
    <row r="2030" spans="12:26" x14ac:dyDescent="0.25">
      <c r="L2030" s="38"/>
      <c r="Z2030" s="38"/>
    </row>
    <row r="2031" spans="12:26" x14ac:dyDescent="0.25">
      <c r="L2031" s="38"/>
      <c r="Z2031" s="38"/>
    </row>
    <row r="2032" spans="12:26" x14ac:dyDescent="0.25">
      <c r="L2032" s="38"/>
      <c r="Z2032" s="38"/>
    </row>
    <row r="2033" spans="12:26" x14ac:dyDescent="0.25">
      <c r="L2033" s="38"/>
      <c r="Z2033" s="38"/>
    </row>
    <row r="2034" spans="12:26" x14ac:dyDescent="0.25">
      <c r="L2034" s="38"/>
      <c r="Z2034" s="38"/>
    </row>
    <row r="2035" spans="12:26" x14ac:dyDescent="0.25">
      <c r="L2035" s="38"/>
      <c r="Z2035" s="38"/>
    </row>
    <row r="2036" spans="12:26" x14ac:dyDescent="0.25">
      <c r="L2036" s="38"/>
      <c r="Z2036" s="38"/>
    </row>
    <row r="2037" spans="12:26" x14ac:dyDescent="0.25">
      <c r="L2037" s="38"/>
      <c r="Z2037" s="38"/>
    </row>
    <row r="2038" spans="12:26" x14ac:dyDescent="0.25">
      <c r="L2038" s="38"/>
      <c r="Z2038" s="38"/>
    </row>
    <row r="2039" spans="12:26" x14ac:dyDescent="0.25">
      <c r="L2039" s="38"/>
      <c r="Z2039" s="38"/>
    </row>
    <row r="2040" spans="12:26" x14ac:dyDescent="0.25">
      <c r="L2040" s="38"/>
      <c r="Z2040" s="38"/>
    </row>
    <row r="2041" spans="12:26" x14ac:dyDescent="0.25">
      <c r="L2041" s="38"/>
      <c r="Z2041" s="38"/>
    </row>
    <row r="2042" spans="12:26" x14ac:dyDescent="0.25">
      <c r="L2042" s="38"/>
      <c r="Z2042" s="38"/>
    </row>
    <row r="2043" spans="12:26" x14ac:dyDescent="0.25">
      <c r="L2043" s="38"/>
      <c r="Z2043" s="38"/>
    </row>
    <row r="2044" spans="12:26" x14ac:dyDescent="0.25">
      <c r="L2044" s="38"/>
      <c r="Z2044" s="38"/>
    </row>
    <row r="2045" spans="12:26" x14ac:dyDescent="0.25">
      <c r="L2045" s="38"/>
      <c r="Z2045" s="38"/>
    </row>
    <row r="2046" spans="12:26" x14ac:dyDescent="0.25">
      <c r="L2046" s="38"/>
      <c r="Z2046" s="38"/>
    </row>
    <row r="2047" spans="12:26" x14ac:dyDescent="0.25">
      <c r="L2047" s="38"/>
      <c r="Z2047" s="38"/>
    </row>
    <row r="2048" spans="12:26" x14ac:dyDescent="0.25">
      <c r="L2048" s="38"/>
      <c r="Z2048" s="38"/>
    </row>
    <row r="2049" spans="12:26" x14ac:dyDescent="0.25">
      <c r="L2049" s="38"/>
      <c r="Z2049" s="38"/>
    </row>
    <row r="2050" spans="12:26" x14ac:dyDescent="0.25">
      <c r="L2050" s="38"/>
      <c r="Z2050" s="38"/>
    </row>
    <row r="2051" spans="12:26" x14ac:dyDescent="0.25">
      <c r="L2051" s="38"/>
      <c r="Z2051" s="38"/>
    </row>
    <row r="2052" spans="12:26" x14ac:dyDescent="0.25">
      <c r="L2052" s="38"/>
      <c r="Z2052" s="38"/>
    </row>
    <row r="2053" spans="12:26" x14ac:dyDescent="0.25">
      <c r="L2053" s="38"/>
      <c r="Z2053" s="38"/>
    </row>
    <row r="2054" spans="12:26" x14ac:dyDescent="0.25">
      <c r="L2054" s="38"/>
      <c r="Z2054" s="38"/>
    </row>
    <row r="2055" spans="12:26" x14ac:dyDescent="0.25">
      <c r="L2055" s="38"/>
      <c r="Z2055" s="38"/>
    </row>
    <row r="2056" spans="12:26" x14ac:dyDescent="0.25">
      <c r="L2056" s="38"/>
      <c r="Z2056" s="38"/>
    </row>
    <row r="2057" spans="12:26" x14ac:dyDescent="0.25">
      <c r="L2057" s="38"/>
      <c r="Z2057" s="38"/>
    </row>
    <row r="2058" spans="12:26" x14ac:dyDescent="0.25">
      <c r="L2058" s="38"/>
      <c r="Z2058" s="38"/>
    </row>
    <row r="2059" spans="12:26" x14ac:dyDescent="0.25">
      <c r="L2059" s="38"/>
      <c r="Z2059" s="38"/>
    </row>
    <row r="2060" spans="12:26" x14ac:dyDescent="0.25">
      <c r="L2060" s="38"/>
      <c r="Z2060" s="38"/>
    </row>
    <row r="2061" spans="12:26" x14ac:dyDescent="0.25">
      <c r="L2061" s="38"/>
      <c r="Z2061" s="38"/>
    </row>
    <row r="2062" spans="12:26" x14ac:dyDescent="0.25">
      <c r="L2062" s="38"/>
      <c r="Z2062" s="38"/>
    </row>
    <row r="2063" spans="12:26" x14ac:dyDescent="0.25">
      <c r="L2063" s="38"/>
      <c r="Z2063" s="38"/>
    </row>
    <row r="2064" spans="12:26" x14ac:dyDescent="0.25">
      <c r="L2064" s="38"/>
      <c r="Z2064" s="38"/>
    </row>
    <row r="2065" spans="12:26" x14ac:dyDescent="0.25">
      <c r="L2065" s="38"/>
      <c r="Z2065" s="38"/>
    </row>
    <row r="2066" spans="12:26" x14ac:dyDescent="0.25">
      <c r="L2066" s="38"/>
      <c r="Z2066" s="38"/>
    </row>
    <row r="2067" spans="12:26" x14ac:dyDescent="0.25">
      <c r="L2067" s="38"/>
      <c r="Z2067" s="38"/>
    </row>
    <row r="2068" spans="12:26" x14ac:dyDescent="0.25">
      <c r="L2068" s="38"/>
      <c r="Z2068" s="38"/>
    </row>
    <row r="2069" spans="12:26" x14ac:dyDescent="0.25">
      <c r="L2069" s="38"/>
      <c r="Z2069" s="38"/>
    </row>
    <row r="2070" spans="12:26" x14ac:dyDescent="0.25">
      <c r="L2070" s="38"/>
      <c r="Z2070" s="38"/>
    </row>
    <row r="2071" spans="12:26" x14ac:dyDescent="0.25">
      <c r="L2071" s="38"/>
      <c r="Z2071" s="38"/>
    </row>
    <row r="2072" spans="12:26" x14ac:dyDescent="0.25">
      <c r="L2072" s="38"/>
      <c r="Z2072" s="38"/>
    </row>
    <row r="2073" spans="12:26" x14ac:dyDescent="0.25">
      <c r="L2073" s="38"/>
      <c r="Z2073" s="38"/>
    </row>
    <row r="2074" spans="12:26" x14ac:dyDescent="0.25">
      <c r="L2074" s="38"/>
      <c r="Z2074" s="38"/>
    </row>
    <row r="2075" spans="12:26" x14ac:dyDescent="0.25">
      <c r="L2075" s="38"/>
      <c r="Z2075" s="38"/>
    </row>
    <row r="2076" spans="12:26" x14ac:dyDescent="0.25">
      <c r="L2076" s="38"/>
      <c r="Z2076" s="38"/>
    </row>
    <row r="2077" spans="12:26" x14ac:dyDescent="0.25">
      <c r="L2077" s="38"/>
      <c r="Z2077" s="38"/>
    </row>
    <row r="2078" spans="12:26" x14ac:dyDescent="0.25">
      <c r="L2078" s="38"/>
      <c r="Z2078" s="38"/>
    </row>
    <row r="2079" spans="12:26" x14ac:dyDescent="0.25">
      <c r="L2079" s="38"/>
      <c r="Z2079" s="38"/>
    </row>
    <row r="2080" spans="12:26" x14ac:dyDescent="0.25">
      <c r="L2080" s="38"/>
      <c r="Z2080" s="38"/>
    </row>
    <row r="2081" spans="12:26" x14ac:dyDescent="0.25">
      <c r="L2081" s="38"/>
      <c r="Z2081" s="38"/>
    </row>
    <row r="2082" spans="12:26" x14ac:dyDescent="0.25">
      <c r="L2082" s="38"/>
      <c r="Z2082" s="38"/>
    </row>
    <row r="2083" spans="12:26" x14ac:dyDescent="0.25">
      <c r="L2083" s="38"/>
      <c r="Z2083" s="38"/>
    </row>
    <row r="2084" spans="12:26" x14ac:dyDescent="0.25">
      <c r="L2084" s="38"/>
      <c r="Z2084" s="38"/>
    </row>
    <row r="2085" spans="12:26" x14ac:dyDescent="0.25">
      <c r="L2085" s="38"/>
      <c r="Z2085" s="38"/>
    </row>
    <row r="2086" spans="12:26" x14ac:dyDescent="0.25">
      <c r="L2086" s="38"/>
      <c r="Z2086" s="38"/>
    </row>
    <row r="2087" spans="12:26" x14ac:dyDescent="0.25">
      <c r="L2087" s="38"/>
      <c r="Z2087" s="38"/>
    </row>
    <row r="2088" spans="12:26" x14ac:dyDescent="0.25">
      <c r="L2088" s="38"/>
      <c r="Z2088" s="38"/>
    </row>
    <row r="2089" spans="12:26" x14ac:dyDescent="0.25">
      <c r="L2089" s="38"/>
      <c r="Z2089" s="38"/>
    </row>
    <row r="2090" spans="12:26" x14ac:dyDescent="0.25">
      <c r="L2090" s="38"/>
      <c r="Z2090" s="38"/>
    </row>
    <row r="2091" spans="12:26" x14ac:dyDescent="0.25">
      <c r="L2091" s="38"/>
      <c r="Z2091" s="38"/>
    </row>
    <row r="2092" spans="12:26" x14ac:dyDescent="0.25">
      <c r="L2092" s="38"/>
      <c r="Z2092" s="38"/>
    </row>
    <row r="2093" spans="12:26" x14ac:dyDescent="0.25">
      <c r="L2093" s="38"/>
      <c r="Z2093" s="38"/>
    </row>
    <row r="2094" spans="12:26" x14ac:dyDescent="0.25">
      <c r="L2094" s="38"/>
      <c r="Z2094" s="38"/>
    </row>
    <row r="2095" spans="12:26" x14ac:dyDescent="0.25">
      <c r="L2095" s="38"/>
      <c r="Z2095" s="38"/>
    </row>
    <row r="2096" spans="12:26" x14ac:dyDescent="0.25">
      <c r="L2096" s="38"/>
      <c r="Z2096" s="38"/>
    </row>
    <row r="2097" spans="12:26" x14ac:dyDescent="0.25">
      <c r="L2097" s="38"/>
      <c r="Z2097" s="38"/>
    </row>
    <row r="2098" spans="12:26" x14ac:dyDescent="0.25">
      <c r="L2098" s="38"/>
      <c r="Z2098" s="38"/>
    </row>
    <row r="2099" spans="12:26" x14ac:dyDescent="0.25">
      <c r="L2099" s="38"/>
      <c r="Z2099" s="38"/>
    </row>
    <row r="2100" spans="12:26" x14ac:dyDescent="0.25">
      <c r="L2100" s="38"/>
      <c r="Z2100" s="38"/>
    </row>
    <row r="2101" spans="12:26" x14ac:dyDescent="0.25">
      <c r="L2101" s="38"/>
      <c r="Z2101" s="38"/>
    </row>
    <row r="2102" spans="12:26" x14ac:dyDescent="0.25">
      <c r="L2102" s="38"/>
      <c r="Z2102" s="38"/>
    </row>
    <row r="2103" spans="12:26" x14ac:dyDescent="0.25">
      <c r="L2103" s="38"/>
      <c r="Z2103" s="38"/>
    </row>
    <row r="2104" spans="12:26" x14ac:dyDescent="0.25">
      <c r="L2104" s="38"/>
      <c r="Z2104" s="38"/>
    </row>
    <row r="2105" spans="12:26" x14ac:dyDescent="0.25">
      <c r="L2105" s="38"/>
      <c r="Z2105" s="38"/>
    </row>
    <row r="2106" spans="12:26" x14ac:dyDescent="0.25">
      <c r="L2106" s="38"/>
      <c r="Z2106" s="38"/>
    </row>
    <row r="2107" spans="12:26" x14ac:dyDescent="0.25">
      <c r="L2107" s="38"/>
      <c r="Z2107" s="38"/>
    </row>
    <row r="2108" spans="12:26" x14ac:dyDescent="0.25">
      <c r="L2108" s="38"/>
      <c r="Z2108" s="38"/>
    </row>
    <row r="2109" spans="12:26" x14ac:dyDescent="0.25">
      <c r="L2109" s="38"/>
      <c r="Z2109" s="38"/>
    </row>
    <row r="2110" spans="12:26" x14ac:dyDescent="0.25">
      <c r="L2110" s="38"/>
      <c r="Z2110" s="38"/>
    </row>
    <row r="2111" spans="12:26" x14ac:dyDescent="0.25">
      <c r="L2111" s="38"/>
      <c r="Z2111" s="38"/>
    </row>
    <row r="2112" spans="12:26" x14ac:dyDescent="0.25">
      <c r="L2112" s="38"/>
      <c r="Z2112" s="38"/>
    </row>
    <row r="2113" spans="12:26" x14ac:dyDescent="0.25">
      <c r="L2113" s="38"/>
      <c r="Z2113" s="38"/>
    </row>
    <row r="2114" spans="12:26" x14ac:dyDescent="0.25">
      <c r="L2114" s="38"/>
      <c r="Z2114" s="38"/>
    </row>
    <row r="2115" spans="12:26" x14ac:dyDescent="0.25">
      <c r="L2115" s="38"/>
      <c r="Z2115" s="38"/>
    </row>
    <row r="2116" spans="12:26" x14ac:dyDescent="0.25">
      <c r="L2116" s="38"/>
      <c r="Z2116" s="38"/>
    </row>
    <row r="2117" spans="12:26" x14ac:dyDescent="0.25">
      <c r="L2117" s="38"/>
      <c r="Z2117" s="38"/>
    </row>
    <row r="2118" spans="12:26" x14ac:dyDescent="0.25">
      <c r="L2118" s="38"/>
      <c r="Z2118" s="38"/>
    </row>
    <row r="2119" spans="12:26" x14ac:dyDescent="0.25">
      <c r="L2119" s="38"/>
      <c r="Z2119" s="38"/>
    </row>
    <row r="2120" spans="12:26" x14ac:dyDescent="0.25">
      <c r="L2120" s="38"/>
      <c r="Z2120" s="38"/>
    </row>
    <row r="2121" spans="12:26" x14ac:dyDescent="0.25">
      <c r="L2121" s="38"/>
      <c r="Z2121" s="38"/>
    </row>
    <row r="2122" spans="12:26" x14ac:dyDescent="0.25">
      <c r="L2122" s="38"/>
      <c r="Z2122" s="38"/>
    </row>
    <row r="2123" spans="12:26" x14ac:dyDescent="0.25">
      <c r="L2123" s="38"/>
      <c r="Z2123" s="38"/>
    </row>
    <row r="2124" spans="12:26" x14ac:dyDescent="0.25">
      <c r="L2124" s="38"/>
      <c r="Z2124" s="38"/>
    </row>
    <row r="2125" spans="12:26" x14ac:dyDescent="0.25">
      <c r="L2125" s="38"/>
      <c r="Z2125" s="38"/>
    </row>
    <row r="2126" spans="12:26" x14ac:dyDescent="0.25">
      <c r="L2126" s="38"/>
      <c r="Z2126" s="38"/>
    </row>
    <row r="2127" spans="12:26" x14ac:dyDescent="0.25">
      <c r="L2127" s="38"/>
      <c r="Z2127" s="38"/>
    </row>
    <row r="2128" spans="12:26" x14ac:dyDescent="0.25">
      <c r="L2128" s="38"/>
      <c r="Z2128" s="38"/>
    </row>
    <row r="2129" spans="12:26" x14ac:dyDescent="0.25">
      <c r="L2129" s="38"/>
      <c r="Z2129" s="38"/>
    </row>
    <row r="2130" spans="12:26" x14ac:dyDescent="0.25">
      <c r="L2130" s="38"/>
      <c r="Z2130" s="38"/>
    </row>
    <row r="2131" spans="12:26" x14ac:dyDescent="0.25">
      <c r="L2131" s="38"/>
      <c r="Z2131" s="38"/>
    </row>
    <row r="2132" spans="12:26" x14ac:dyDescent="0.25">
      <c r="L2132" s="38"/>
      <c r="Z2132" s="38"/>
    </row>
    <row r="2133" spans="12:26" x14ac:dyDescent="0.25">
      <c r="L2133" s="38"/>
      <c r="Z2133" s="38"/>
    </row>
    <row r="2134" spans="12:26" x14ac:dyDescent="0.25">
      <c r="L2134" s="38"/>
      <c r="Z2134" s="38"/>
    </row>
    <row r="2135" spans="12:26" x14ac:dyDescent="0.25">
      <c r="L2135" s="38"/>
      <c r="Z2135" s="38"/>
    </row>
    <row r="2136" spans="12:26" x14ac:dyDescent="0.25">
      <c r="L2136" s="38"/>
      <c r="Z2136" s="38"/>
    </row>
    <row r="2137" spans="12:26" x14ac:dyDescent="0.25">
      <c r="L2137" s="38"/>
      <c r="Z2137" s="38"/>
    </row>
    <row r="2138" spans="12:26" x14ac:dyDescent="0.25">
      <c r="L2138" s="38"/>
      <c r="Z2138" s="38"/>
    </row>
    <row r="2139" spans="12:26" x14ac:dyDescent="0.25">
      <c r="L2139" s="38"/>
      <c r="Z2139" s="38"/>
    </row>
    <row r="2140" spans="12:26" x14ac:dyDescent="0.25">
      <c r="L2140" s="38"/>
      <c r="Z2140" s="38"/>
    </row>
    <row r="2141" spans="12:26" x14ac:dyDescent="0.25">
      <c r="L2141" s="38"/>
      <c r="Z2141" s="38"/>
    </row>
    <row r="2142" spans="12:26" x14ac:dyDescent="0.25">
      <c r="L2142" s="38"/>
      <c r="Z2142" s="38"/>
    </row>
    <row r="2143" spans="12:26" x14ac:dyDescent="0.25">
      <c r="L2143" s="38"/>
      <c r="Z2143" s="38"/>
    </row>
    <row r="2144" spans="12:26" x14ac:dyDescent="0.25">
      <c r="L2144" s="38"/>
      <c r="Z2144" s="38"/>
    </row>
    <row r="2145" spans="12:26" x14ac:dyDescent="0.25">
      <c r="L2145" s="38"/>
      <c r="Z2145" s="38"/>
    </row>
    <row r="2146" spans="12:26" x14ac:dyDescent="0.25">
      <c r="L2146" s="38"/>
      <c r="Z2146" s="38"/>
    </row>
    <row r="2147" spans="12:26" x14ac:dyDescent="0.25">
      <c r="L2147" s="38"/>
      <c r="Z2147" s="38"/>
    </row>
    <row r="2148" spans="12:26" x14ac:dyDescent="0.25">
      <c r="L2148" s="38"/>
      <c r="Z2148" s="38"/>
    </row>
    <row r="2149" spans="12:26" x14ac:dyDescent="0.25">
      <c r="L2149" s="38"/>
      <c r="Z2149" s="38"/>
    </row>
    <row r="2150" spans="12:26" x14ac:dyDescent="0.25">
      <c r="L2150" s="38"/>
      <c r="Z2150" s="38"/>
    </row>
    <row r="2151" spans="12:26" x14ac:dyDescent="0.25">
      <c r="L2151" s="38"/>
      <c r="Z2151" s="38"/>
    </row>
    <row r="2152" spans="12:26" x14ac:dyDescent="0.25">
      <c r="L2152" s="38"/>
      <c r="Z2152" s="38"/>
    </row>
    <row r="2153" spans="12:26" x14ac:dyDescent="0.25">
      <c r="L2153" s="38"/>
      <c r="Z2153" s="38"/>
    </row>
    <row r="2154" spans="12:26" x14ac:dyDescent="0.25">
      <c r="L2154" s="38"/>
      <c r="Z2154" s="38"/>
    </row>
    <row r="2155" spans="12:26" x14ac:dyDescent="0.25">
      <c r="L2155" s="38"/>
      <c r="Z2155" s="38"/>
    </row>
    <row r="2156" spans="12:26" x14ac:dyDescent="0.25">
      <c r="L2156" s="38"/>
      <c r="Z2156" s="38"/>
    </row>
    <row r="2157" spans="12:26" x14ac:dyDescent="0.25">
      <c r="L2157" s="38"/>
      <c r="Z2157" s="38"/>
    </row>
    <row r="2158" spans="12:26" x14ac:dyDescent="0.25">
      <c r="L2158" s="38"/>
      <c r="Z2158" s="38"/>
    </row>
    <row r="2159" spans="12:26" x14ac:dyDescent="0.25">
      <c r="L2159" s="38"/>
      <c r="Z2159" s="38"/>
    </row>
    <row r="2160" spans="12:26" x14ac:dyDescent="0.25">
      <c r="L2160" s="38"/>
      <c r="Z2160" s="38"/>
    </row>
    <row r="2161" spans="12:26" x14ac:dyDescent="0.25">
      <c r="L2161" s="38"/>
      <c r="Z2161" s="38"/>
    </row>
    <row r="2162" spans="12:26" x14ac:dyDescent="0.25">
      <c r="L2162" s="38"/>
      <c r="Z2162" s="38"/>
    </row>
    <row r="2163" spans="12:26" x14ac:dyDescent="0.25">
      <c r="L2163" s="38"/>
      <c r="Z2163" s="38"/>
    </row>
    <row r="2164" spans="12:26" x14ac:dyDescent="0.25">
      <c r="L2164" s="38"/>
      <c r="Z2164" s="38"/>
    </row>
    <row r="2165" spans="12:26" x14ac:dyDescent="0.25">
      <c r="L2165" s="38"/>
      <c r="Z2165" s="38"/>
    </row>
    <row r="2166" spans="12:26" x14ac:dyDescent="0.25">
      <c r="L2166" s="38"/>
      <c r="Z2166" s="38"/>
    </row>
    <row r="2167" spans="12:26" x14ac:dyDescent="0.25">
      <c r="L2167" s="38"/>
      <c r="Z2167" s="38"/>
    </row>
    <row r="2168" spans="12:26" x14ac:dyDescent="0.25">
      <c r="L2168" s="38"/>
      <c r="Z2168" s="38"/>
    </row>
    <row r="2169" spans="12:26" x14ac:dyDescent="0.25">
      <c r="L2169" s="38"/>
      <c r="Z2169" s="38"/>
    </row>
    <row r="2170" spans="12:26" x14ac:dyDescent="0.25">
      <c r="L2170" s="38"/>
      <c r="Z2170" s="38"/>
    </row>
    <row r="2171" spans="12:26" x14ac:dyDescent="0.25">
      <c r="L2171" s="38"/>
      <c r="Z2171" s="38"/>
    </row>
    <row r="2172" spans="12:26" x14ac:dyDescent="0.25">
      <c r="L2172" s="38"/>
      <c r="Z2172" s="38"/>
    </row>
    <row r="2173" spans="12:26" x14ac:dyDescent="0.25">
      <c r="L2173" s="38"/>
      <c r="Z2173" s="38"/>
    </row>
    <row r="2174" spans="12:26" x14ac:dyDescent="0.25">
      <c r="L2174" s="38"/>
      <c r="Z2174" s="38"/>
    </row>
    <row r="2175" spans="12:26" x14ac:dyDescent="0.25">
      <c r="L2175" s="38"/>
      <c r="Z2175" s="38"/>
    </row>
    <row r="2176" spans="12:26" x14ac:dyDescent="0.25">
      <c r="L2176" s="38"/>
      <c r="Z2176" s="38"/>
    </row>
    <row r="2177" spans="12:26" x14ac:dyDescent="0.25">
      <c r="L2177" s="38"/>
      <c r="Z2177" s="38"/>
    </row>
    <row r="2178" spans="12:26" x14ac:dyDescent="0.25">
      <c r="L2178" s="38"/>
      <c r="Z2178" s="38"/>
    </row>
    <row r="2179" spans="12:26" x14ac:dyDescent="0.25">
      <c r="L2179" s="38"/>
      <c r="Z2179" s="38"/>
    </row>
    <row r="2180" spans="12:26" x14ac:dyDescent="0.25">
      <c r="L2180" s="38"/>
      <c r="Z2180" s="38"/>
    </row>
    <row r="2181" spans="12:26" x14ac:dyDescent="0.25">
      <c r="L2181" s="38"/>
      <c r="Z2181" s="38"/>
    </row>
    <row r="2182" spans="12:26" x14ac:dyDescent="0.25">
      <c r="L2182" s="38"/>
      <c r="Z2182" s="38"/>
    </row>
    <row r="2183" spans="12:26" x14ac:dyDescent="0.25">
      <c r="L2183" s="38"/>
      <c r="Z2183" s="38"/>
    </row>
    <row r="2184" spans="12:26" x14ac:dyDescent="0.25">
      <c r="L2184" s="38"/>
      <c r="Z2184" s="38"/>
    </row>
    <row r="2185" spans="12:26" x14ac:dyDescent="0.25">
      <c r="L2185" s="38"/>
      <c r="Z2185" s="38"/>
    </row>
    <row r="2186" spans="12:26" x14ac:dyDescent="0.25">
      <c r="L2186" s="38"/>
      <c r="Z2186" s="38"/>
    </row>
    <row r="2187" spans="12:26" x14ac:dyDescent="0.25">
      <c r="L2187" s="38"/>
      <c r="Z2187" s="38"/>
    </row>
    <row r="2188" spans="12:26" x14ac:dyDescent="0.25">
      <c r="L2188" s="38"/>
      <c r="Z2188" s="38"/>
    </row>
    <row r="2189" spans="12:26" x14ac:dyDescent="0.25">
      <c r="L2189" s="38"/>
      <c r="Z2189" s="38"/>
    </row>
    <row r="2190" spans="12:26" x14ac:dyDescent="0.25">
      <c r="L2190" s="38"/>
      <c r="Z2190" s="38"/>
    </row>
    <row r="2191" spans="12:26" x14ac:dyDescent="0.25">
      <c r="L2191" s="38"/>
      <c r="Z2191" s="38"/>
    </row>
    <row r="2192" spans="12:26" x14ac:dyDescent="0.25">
      <c r="L2192" s="38"/>
      <c r="Z2192" s="38"/>
    </row>
    <row r="2193" spans="12:26" x14ac:dyDescent="0.25">
      <c r="L2193" s="38"/>
      <c r="Z2193" s="38"/>
    </row>
    <row r="2194" spans="12:26" x14ac:dyDescent="0.25">
      <c r="L2194" s="38"/>
      <c r="Z2194" s="38"/>
    </row>
    <row r="2195" spans="12:26" x14ac:dyDescent="0.25">
      <c r="L2195" s="38"/>
      <c r="Z2195" s="38"/>
    </row>
    <row r="2196" spans="12:26" x14ac:dyDescent="0.25">
      <c r="L2196" s="38"/>
      <c r="Z2196" s="38"/>
    </row>
    <row r="2197" spans="12:26" x14ac:dyDescent="0.25">
      <c r="L2197" s="38"/>
      <c r="Z2197" s="38"/>
    </row>
    <row r="2198" spans="12:26" x14ac:dyDescent="0.25">
      <c r="L2198" s="38"/>
      <c r="Z2198" s="38"/>
    </row>
    <row r="2199" spans="12:26" x14ac:dyDescent="0.25">
      <c r="L2199" s="38"/>
      <c r="Z2199" s="38"/>
    </row>
    <row r="2200" spans="12:26" x14ac:dyDescent="0.25">
      <c r="L2200" s="38"/>
      <c r="Z2200" s="38"/>
    </row>
    <row r="2201" spans="12:26" x14ac:dyDescent="0.25">
      <c r="L2201" s="38"/>
      <c r="Z2201" s="38"/>
    </row>
    <row r="2202" spans="12:26" x14ac:dyDescent="0.25">
      <c r="L2202" s="38"/>
      <c r="Z2202" s="38"/>
    </row>
    <row r="2203" spans="12:26" x14ac:dyDescent="0.25">
      <c r="L2203" s="38"/>
      <c r="Z2203" s="38"/>
    </row>
    <row r="2204" spans="12:26" x14ac:dyDescent="0.25">
      <c r="L2204" s="38"/>
      <c r="Z2204" s="38"/>
    </row>
    <row r="2205" spans="12:26" x14ac:dyDescent="0.25">
      <c r="L2205" s="38"/>
      <c r="Z2205" s="38"/>
    </row>
    <row r="2206" spans="12:26" x14ac:dyDescent="0.25">
      <c r="L2206" s="38"/>
      <c r="Z2206" s="38"/>
    </row>
    <row r="2207" spans="12:26" x14ac:dyDescent="0.25">
      <c r="L2207" s="38"/>
      <c r="Z2207" s="38"/>
    </row>
    <row r="2208" spans="12:26" x14ac:dyDescent="0.25">
      <c r="L2208" s="38"/>
      <c r="Z2208" s="38"/>
    </row>
    <row r="2209" spans="12:26" x14ac:dyDescent="0.25">
      <c r="L2209" s="38"/>
      <c r="Z2209" s="38"/>
    </row>
    <row r="2210" spans="12:26" x14ac:dyDescent="0.25">
      <c r="L2210" s="38"/>
      <c r="Z2210" s="38"/>
    </row>
    <row r="2211" spans="12:26" x14ac:dyDescent="0.25">
      <c r="L2211" s="38"/>
      <c r="Z2211" s="38"/>
    </row>
    <row r="2212" spans="12:26" x14ac:dyDescent="0.25">
      <c r="L2212" s="38"/>
      <c r="Z2212" s="38"/>
    </row>
    <row r="2213" spans="12:26" x14ac:dyDescent="0.25">
      <c r="L2213" s="38"/>
      <c r="Z2213" s="38"/>
    </row>
    <row r="2214" spans="12:26" x14ac:dyDescent="0.25">
      <c r="L2214" s="38"/>
      <c r="Z2214" s="38"/>
    </row>
    <row r="2215" spans="12:26" x14ac:dyDescent="0.25">
      <c r="L2215" s="38"/>
      <c r="Z2215" s="38"/>
    </row>
    <row r="2216" spans="12:26" x14ac:dyDescent="0.25">
      <c r="L2216" s="38"/>
      <c r="Z2216" s="38"/>
    </row>
    <row r="2217" spans="12:26" x14ac:dyDescent="0.25">
      <c r="L2217" s="38"/>
      <c r="Z2217" s="38"/>
    </row>
    <row r="2218" spans="12:26" x14ac:dyDescent="0.25">
      <c r="L2218" s="38"/>
      <c r="Z2218" s="38"/>
    </row>
    <row r="2219" spans="12:26" x14ac:dyDescent="0.25">
      <c r="L2219" s="38"/>
      <c r="Z2219" s="38"/>
    </row>
    <row r="2220" spans="12:26" x14ac:dyDescent="0.25">
      <c r="L2220" s="38"/>
      <c r="Z2220" s="38"/>
    </row>
    <row r="2221" spans="12:26" x14ac:dyDescent="0.25">
      <c r="L2221" s="38"/>
      <c r="Z2221" s="38"/>
    </row>
    <row r="2222" spans="12:26" x14ac:dyDescent="0.25">
      <c r="L2222" s="38"/>
      <c r="Z2222" s="38"/>
    </row>
    <row r="2223" spans="12:26" x14ac:dyDescent="0.25">
      <c r="L2223" s="38"/>
      <c r="Z2223" s="38"/>
    </row>
    <row r="2224" spans="12:26" x14ac:dyDescent="0.25">
      <c r="L2224" s="38"/>
      <c r="Z2224" s="38"/>
    </row>
    <row r="2225" spans="12:26" x14ac:dyDescent="0.25">
      <c r="L2225" s="38"/>
      <c r="Z2225" s="38"/>
    </row>
    <row r="2226" spans="12:26" x14ac:dyDescent="0.25">
      <c r="L2226" s="38"/>
      <c r="Z2226" s="38"/>
    </row>
    <row r="2227" spans="12:26" x14ac:dyDescent="0.25">
      <c r="L2227" s="38"/>
      <c r="Z2227" s="38"/>
    </row>
    <row r="2228" spans="12:26" x14ac:dyDescent="0.25">
      <c r="L2228" s="38"/>
      <c r="Z2228" s="38"/>
    </row>
    <row r="2229" spans="12:26" x14ac:dyDescent="0.25">
      <c r="L2229" s="38"/>
      <c r="Z2229" s="38"/>
    </row>
    <row r="2230" spans="12:26" x14ac:dyDescent="0.25">
      <c r="L2230" s="38"/>
      <c r="Z2230" s="38"/>
    </row>
    <row r="2231" spans="12:26" x14ac:dyDescent="0.25">
      <c r="L2231" s="38"/>
      <c r="Z2231" s="38"/>
    </row>
    <row r="2232" spans="12:26" x14ac:dyDescent="0.25">
      <c r="L2232" s="38"/>
      <c r="Z2232" s="38"/>
    </row>
    <row r="2233" spans="12:26" x14ac:dyDescent="0.25">
      <c r="L2233" s="38"/>
      <c r="Z2233" s="38"/>
    </row>
    <row r="2234" spans="12:26" x14ac:dyDescent="0.25">
      <c r="L2234" s="38"/>
      <c r="Z2234" s="38"/>
    </row>
    <row r="2235" spans="12:26" x14ac:dyDescent="0.25">
      <c r="L2235" s="38"/>
      <c r="Z2235" s="38"/>
    </row>
    <row r="2236" spans="12:26" x14ac:dyDescent="0.25">
      <c r="L2236" s="38"/>
      <c r="Z2236" s="38"/>
    </row>
    <row r="2237" spans="12:26" x14ac:dyDescent="0.25">
      <c r="L2237" s="38"/>
      <c r="Z2237" s="38"/>
    </row>
    <row r="2238" spans="12:26" x14ac:dyDescent="0.25">
      <c r="L2238" s="38"/>
      <c r="Z2238" s="38"/>
    </row>
    <row r="2239" spans="12:26" x14ac:dyDescent="0.25">
      <c r="L2239" s="38"/>
      <c r="Z2239" s="38"/>
    </row>
    <row r="2240" spans="12:26" x14ac:dyDescent="0.25">
      <c r="L2240" s="38"/>
      <c r="Z2240" s="38"/>
    </row>
    <row r="2241" spans="12:26" x14ac:dyDescent="0.25">
      <c r="L2241" s="38"/>
      <c r="Z2241" s="38"/>
    </row>
    <row r="2242" spans="12:26" x14ac:dyDescent="0.25">
      <c r="L2242" s="38"/>
      <c r="Z2242" s="38"/>
    </row>
    <row r="2243" spans="12:26" x14ac:dyDescent="0.25">
      <c r="L2243" s="38"/>
      <c r="Z2243" s="38"/>
    </row>
    <row r="2244" spans="12:26" x14ac:dyDescent="0.25">
      <c r="L2244" s="38"/>
      <c r="Z2244" s="38"/>
    </row>
    <row r="2245" spans="12:26" x14ac:dyDescent="0.25">
      <c r="L2245" s="38"/>
      <c r="Z2245" s="38"/>
    </row>
    <row r="2246" spans="12:26" x14ac:dyDescent="0.25">
      <c r="L2246" s="38"/>
      <c r="Z2246" s="38"/>
    </row>
    <row r="2247" spans="12:26" x14ac:dyDescent="0.25">
      <c r="L2247" s="38"/>
      <c r="Z2247" s="38"/>
    </row>
    <row r="2248" spans="12:26" x14ac:dyDescent="0.25">
      <c r="L2248" s="38"/>
      <c r="Z2248" s="38"/>
    </row>
    <row r="2249" spans="12:26" x14ac:dyDescent="0.25">
      <c r="L2249" s="38"/>
      <c r="Z2249" s="38"/>
    </row>
    <row r="2250" spans="12:26" x14ac:dyDescent="0.25">
      <c r="L2250" s="38"/>
      <c r="Z2250" s="38"/>
    </row>
    <row r="2251" spans="12:26" x14ac:dyDescent="0.25">
      <c r="L2251" s="38"/>
      <c r="Z2251" s="38"/>
    </row>
    <row r="2252" spans="12:26" x14ac:dyDescent="0.25">
      <c r="L2252" s="38"/>
      <c r="Z2252" s="38"/>
    </row>
    <row r="2253" spans="12:26" x14ac:dyDescent="0.25">
      <c r="L2253" s="38"/>
      <c r="Z2253" s="38"/>
    </row>
    <row r="2254" spans="12:26" x14ac:dyDescent="0.25">
      <c r="L2254" s="38"/>
      <c r="Z2254" s="38"/>
    </row>
    <row r="2255" spans="12:26" x14ac:dyDescent="0.25">
      <c r="L2255" s="38"/>
      <c r="Z2255" s="38"/>
    </row>
    <row r="2256" spans="12:26" x14ac:dyDescent="0.25">
      <c r="L2256" s="38"/>
      <c r="Z2256" s="38"/>
    </row>
    <row r="2257" spans="12:26" x14ac:dyDescent="0.25">
      <c r="L2257" s="38"/>
      <c r="Z2257" s="38"/>
    </row>
    <row r="2258" spans="12:26" x14ac:dyDescent="0.25">
      <c r="L2258" s="38"/>
      <c r="Z2258" s="38"/>
    </row>
    <row r="2259" spans="12:26" x14ac:dyDescent="0.25">
      <c r="L2259" s="38"/>
      <c r="Z2259" s="38"/>
    </row>
    <row r="2260" spans="12:26" x14ac:dyDescent="0.25">
      <c r="L2260" s="38"/>
      <c r="Z2260" s="38"/>
    </row>
    <row r="2261" spans="12:26" x14ac:dyDescent="0.25">
      <c r="L2261" s="38"/>
      <c r="Z2261" s="38"/>
    </row>
    <row r="2262" spans="12:26" x14ac:dyDescent="0.25">
      <c r="L2262" s="38"/>
      <c r="Z2262" s="38"/>
    </row>
    <row r="2263" spans="12:26" x14ac:dyDescent="0.25">
      <c r="L2263" s="38"/>
      <c r="Z2263" s="38"/>
    </row>
    <row r="2264" spans="12:26" x14ac:dyDescent="0.25">
      <c r="L2264" s="38"/>
      <c r="Z2264" s="38"/>
    </row>
    <row r="2265" spans="12:26" x14ac:dyDescent="0.25">
      <c r="L2265" s="38"/>
      <c r="Z2265" s="38"/>
    </row>
    <row r="2266" spans="12:26" x14ac:dyDescent="0.25">
      <c r="L2266" s="38"/>
      <c r="Z2266" s="38"/>
    </row>
    <row r="2267" spans="12:26" x14ac:dyDescent="0.25">
      <c r="L2267" s="38"/>
      <c r="Z2267" s="38"/>
    </row>
    <row r="2268" spans="12:26" x14ac:dyDescent="0.25">
      <c r="L2268" s="38"/>
      <c r="Z2268" s="38"/>
    </row>
    <row r="2269" spans="12:26" x14ac:dyDescent="0.25">
      <c r="L2269" s="38"/>
      <c r="Z2269" s="38"/>
    </row>
    <row r="2270" spans="12:26" x14ac:dyDescent="0.25">
      <c r="L2270" s="38"/>
      <c r="Z2270" s="38"/>
    </row>
    <row r="2271" spans="12:26" x14ac:dyDescent="0.25">
      <c r="L2271" s="38"/>
      <c r="Z2271" s="38"/>
    </row>
    <row r="2272" spans="12:26" x14ac:dyDescent="0.25">
      <c r="L2272" s="38"/>
      <c r="Z2272" s="38"/>
    </row>
    <row r="2273" spans="12:26" x14ac:dyDescent="0.25">
      <c r="L2273" s="38"/>
      <c r="Z2273" s="38"/>
    </row>
    <row r="2274" spans="12:26" x14ac:dyDescent="0.25">
      <c r="L2274" s="38"/>
      <c r="Z2274" s="38"/>
    </row>
    <row r="2275" spans="12:26" x14ac:dyDescent="0.25">
      <c r="L2275" s="38"/>
      <c r="Z2275" s="38"/>
    </row>
    <row r="2276" spans="12:26" x14ac:dyDescent="0.25">
      <c r="L2276" s="38"/>
      <c r="Z2276" s="38"/>
    </row>
    <row r="2277" spans="12:26" x14ac:dyDescent="0.25">
      <c r="L2277" s="38"/>
      <c r="Z2277" s="38"/>
    </row>
    <row r="2278" spans="12:26" x14ac:dyDescent="0.25">
      <c r="L2278" s="38"/>
      <c r="Z2278" s="38"/>
    </row>
    <row r="2279" spans="12:26" x14ac:dyDescent="0.25">
      <c r="L2279" s="38"/>
      <c r="Z2279" s="38"/>
    </row>
    <row r="2280" spans="12:26" x14ac:dyDescent="0.25">
      <c r="L2280" s="38"/>
      <c r="Z2280" s="38"/>
    </row>
    <row r="2281" spans="12:26" x14ac:dyDescent="0.25">
      <c r="L2281" s="38"/>
      <c r="Z2281" s="38"/>
    </row>
    <row r="2282" spans="12:26" x14ac:dyDescent="0.25">
      <c r="L2282" s="38"/>
      <c r="Z2282" s="38"/>
    </row>
    <row r="2283" spans="12:26" x14ac:dyDescent="0.25">
      <c r="L2283" s="38"/>
      <c r="Z2283" s="38"/>
    </row>
    <row r="2284" spans="12:26" x14ac:dyDescent="0.25">
      <c r="L2284" s="38"/>
      <c r="Z2284" s="38"/>
    </row>
    <row r="2285" spans="12:26" x14ac:dyDescent="0.25">
      <c r="L2285" s="38"/>
      <c r="Z2285" s="38"/>
    </row>
    <row r="2286" spans="12:26" x14ac:dyDescent="0.25">
      <c r="L2286" s="38"/>
      <c r="Z2286" s="38"/>
    </row>
    <row r="2287" spans="12:26" x14ac:dyDescent="0.25">
      <c r="L2287" s="38"/>
      <c r="Z2287" s="38"/>
    </row>
    <row r="2288" spans="12:26" x14ac:dyDescent="0.25">
      <c r="L2288" s="38"/>
      <c r="Z2288" s="38"/>
    </row>
    <row r="2289" spans="12:26" x14ac:dyDescent="0.25">
      <c r="L2289" s="38"/>
      <c r="Z2289" s="38"/>
    </row>
    <row r="2290" spans="12:26" x14ac:dyDescent="0.25">
      <c r="L2290" s="38"/>
      <c r="Z2290" s="38"/>
    </row>
    <row r="2291" spans="12:26" x14ac:dyDescent="0.25">
      <c r="L2291" s="38"/>
      <c r="Z2291" s="38"/>
    </row>
    <row r="2292" spans="12:26" x14ac:dyDescent="0.25">
      <c r="L2292" s="38"/>
      <c r="Z2292" s="38"/>
    </row>
    <row r="2293" spans="12:26" x14ac:dyDescent="0.25">
      <c r="L2293" s="38"/>
      <c r="Z2293" s="38"/>
    </row>
    <row r="2294" spans="12:26" x14ac:dyDescent="0.25">
      <c r="L2294" s="38"/>
      <c r="Z2294" s="38"/>
    </row>
    <row r="2295" spans="12:26" x14ac:dyDescent="0.25">
      <c r="L2295" s="38"/>
      <c r="Z2295" s="38"/>
    </row>
    <row r="2296" spans="12:26" x14ac:dyDescent="0.25">
      <c r="L2296" s="38"/>
      <c r="Z2296" s="38"/>
    </row>
    <row r="2297" spans="12:26" x14ac:dyDescent="0.25">
      <c r="L2297" s="38"/>
      <c r="Z2297" s="38"/>
    </row>
    <row r="2298" spans="12:26" x14ac:dyDescent="0.25">
      <c r="L2298" s="38"/>
      <c r="Z2298" s="38"/>
    </row>
    <row r="2299" spans="12:26" x14ac:dyDescent="0.25">
      <c r="L2299" s="38"/>
      <c r="Z2299" s="38"/>
    </row>
    <row r="2300" spans="12:26" x14ac:dyDescent="0.25">
      <c r="L2300" s="38"/>
      <c r="Z2300" s="38"/>
    </row>
    <row r="2301" spans="12:26" x14ac:dyDescent="0.25">
      <c r="L2301" s="38"/>
      <c r="Z2301" s="38"/>
    </row>
    <row r="2302" spans="12:26" x14ac:dyDescent="0.25">
      <c r="L2302" s="38"/>
      <c r="Z2302" s="38"/>
    </row>
    <row r="2303" spans="12:26" x14ac:dyDescent="0.25">
      <c r="L2303" s="38"/>
      <c r="Z2303" s="38"/>
    </row>
    <row r="2304" spans="12:26" x14ac:dyDescent="0.25">
      <c r="L2304" s="38"/>
      <c r="Z2304" s="38"/>
    </row>
    <row r="2305" spans="12:26" x14ac:dyDescent="0.25">
      <c r="L2305" s="38"/>
      <c r="Z2305" s="38"/>
    </row>
    <row r="2306" spans="12:26" x14ac:dyDescent="0.25">
      <c r="L2306" s="38"/>
      <c r="Z2306" s="38"/>
    </row>
    <row r="2307" spans="12:26" x14ac:dyDescent="0.25">
      <c r="L2307" s="38"/>
      <c r="Z2307" s="38"/>
    </row>
    <row r="2308" spans="12:26" x14ac:dyDescent="0.25">
      <c r="L2308" s="38"/>
      <c r="Z2308" s="38"/>
    </row>
    <row r="2309" spans="12:26" x14ac:dyDescent="0.25">
      <c r="L2309" s="38"/>
      <c r="Z2309" s="38"/>
    </row>
    <row r="2310" spans="12:26" x14ac:dyDescent="0.25">
      <c r="L2310" s="38"/>
      <c r="Z2310" s="38"/>
    </row>
    <row r="2311" spans="12:26" x14ac:dyDescent="0.25">
      <c r="L2311" s="38"/>
      <c r="Z2311" s="38"/>
    </row>
    <row r="2312" spans="12:26" x14ac:dyDescent="0.25">
      <c r="L2312" s="38"/>
      <c r="Z2312" s="38"/>
    </row>
    <row r="2313" spans="12:26" x14ac:dyDescent="0.25">
      <c r="L2313" s="38"/>
      <c r="Z2313" s="38"/>
    </row>
    <row r="2314" spans="12:26" x14ac:dyDescent="0.25">
      <c r="L2314" s="38"/>
      <c r="Z2314" s="38"/>
    </row>
    <row r="2315" spans="12:26" x14ac:dyDescent="0.25">
      <c r="L2315" s="38"/>
      <c r="Z2315" s="38"/>
    </row>
    <row r="2316" spans="12:26" x14ac:dyDescent="0.25">
      <c r="L2316" s="38"/>
      <c r="Z2316" s="38"/>
    </row>
    <row r="2317" spans="12:26" x14ac:dyDescent="0.25">
      <c r="L2317" s="38"/>
      <c r="Z2317" s="38"/>
    </row>
    <row r="2318" spans="12:26" x14ac:dyDescent="0.25">
      <c r="L2318" s="38"/>
      <c r="Z2318" s="38"/>
    </row>
    <row r="2319" spans="12:26" x14ac:dyDescent="0.25">
      <c r="L2319" s="38"/>
      <c r="Z2319" s="38"/>
    </row>
    <row r="2320" spans="12:26" x14ac:dyDescent="0.25">
      <c r="L2320" s="38"/>
      <c r="Z2320" s="38"/>
    </row>
    <row r="2321" spans="12:26" x14ac:dyDescent="0.25">
      <c r="L2321" s="38"/>
      <c r="Z2321" s="38"/>
    </row>
    <row r="2322" spans="12:26" x14ac:dyDescent="0.25">
      <c r="L2322" s="38"/>
      <c r="Z2322" s="38"/>
    </row>
    <row r="2323" spans="12:26" x14ac:dyDescent="0.25">
      <c r="L2323" s="38"/>
      <c r="Z2323" s="38"/>
    </row>
    <row r="2324" spans="12:26" x14ac:dyDescent="0.25">
      <c r="L2324" s="38"/>
      <c r="Z2324" s="38"/>
    </row>
    <row r="2325" spans="12:26" x14ac:dyDescent="0.25">
      <c r="L2325" s="38"/>
      <c r="Z2325" s="38"/>
    </row>
    <row r="2326" spans="12:26" x14ac:dyDescent="0.25">
      <c r="L2326" s="38"/>
      <c r="Z2326" s="38"/>
    </row>
    <row r="2327" spans="12:26" x14ac:dyDescent="0.25">
      <c r="L2327" s="38"/>
      <c r="Z2327" s="38"/>
    </row>
    <row r="2328" spans="12:26" x14ac:dyDescent="0.25">
      <c r="L2328" s="38"/>
      <c r="Z2328" s="38"/>
    </row>
    <row r="2329" spans="12:26" x14ac:dyDescent="0.25">
      <c r="L2329" s="38"/>
      <c r="Z2329" s="38"/>
    </row>
    <row r="2330" spans="12:26" x14ac:dyDescent="0.25">
      <c r="L2330" s="38"/>
      <c r="Z2330" s="38"/>
    </row>
    <row r="2331" spans="12:26" x14ac:dyDescent="0.25">
      <c r="L2331" s="38"/>
      <c r="Z2331" s="38"/>
    </row>
    <row r="2332" spans="12:26" x14ac:dyDescent="0.25">
      <c r="L2332" s="38"/>
      <c r="Z2332" s="38"/>
    </row>
    <row r="2333" spans="12:26" x14ac:dyDescent="0.25">
      <c r="L2333" s="38"/>
      <c r="Z2333" s="38"/>
    </row>
    <row r="2334" spans="12:26" x14ac:dyDescent="0.25">
      <c r="L2334" s="38"/>
      <c r="Z2334" s="38"/>
    </row>
    <row r="2335" spans="12:26" x14ac:dyDescent="0.25">
      <c r="L2335" s="38"/>
      <c r="Z2335" s="38"/>
    </row>
    <row r="2336" spans="12:26" x14ac:dyDescent="0.25">
      <c r="L2336" s="38"/>
      <c r="Z2336" s="38"/>
    </row>
    <row r="2337" spans="12:26" x14ac:dyDescent="0.25">
      <c r="L2337" s="38"/>
      <c r="Z2337" s="38"/>
    </row>
    <row r="2338" spans="12:26" x14ac:dyDescent="0.25">
      <c r="L2338" s="38"/>
      <c r="Z2338" s="38"/>
    </row>
    <row r="2339" spans="12:26" x14ac:dyDescent="0.25">
      <c r="L2339" s="38"/>
      <c r="Z2339" s="38"/>
    </row>
    <row r="2340" spans="12:26" x14ac:dyDescent="0.25">
      <c r="L2340" s="38"/>
      <c r="Z2340" s="38"/>
    </row>
    <row r="2341" spans="12:26" x14ac:dyDescent="0.25">
      <c r="L2341" s="38"/>
      <c r="Z2341" s="38"/>
    </row>
    <row r="2342" spans="12:26" x14ac:dyDescent="0.25">
      <c r="L2342" s="38"/>
      <c r="Z2342" s="38"/>
    </row>
    <row r="2343" spans="12:26" x14ac:dyDescent="0.25">
      <c r="L2343" s="38"/>
      <c r="Z2343" s="38"/>
    </row>
    <row r="2344" spans="12:26" x14ac:dyDescent="0.25">
      <c r="L2344" s="38"/>
      <c r="Z2344" s="38"/>
    </row>
    <row r="2345" spans="12:26" x14ac:dyDescent="0.25">
      <c r="L2345" s="38"/>
      <c r="Z2345" s="38"/>
    </row>
    <row r="2346" spans="12:26" x14ac:dyDescent="0.25">
      <c r="L2346" s="38"/>
      <c r="Z2346" s="38"/>
    </row>
    <row r="2347" spans="12:26" x14ac:dyDescent="0.25">
      <c r="L2347" s="38"/>
      <c r="Z2347" s="38"/>
    </row>
    <row r="2348" spans="12:26" x14ac:dyDescent="0.25">
      <c r="L2348" s="38"/>
      <c r="Z2348" s="38"/>
    </row>
    <row r="2349" spans="12:26" x14ac:dyDescent="0.25">
      <c r="L2349" s="38"/>
      <c r="Z2349" s="38"/>
    </row>
    <row r="2350" spans="12:26" x14ac:dyDescent="0.25">
      <c r="L2350" s="38"/>
      <c r="Z2350" s="38"/>
    </row>
    <row r="2351" spans="12:26" x14ac:dyDescent="0.25">
      <c r="L2351" s="38"/>
      <c r="Z2351" s="38"/>
    </row>
    <row r="2352" spans="12:26" x14ac:dyDescent="0.25">
      <c r="L2352" s="38"/>
      <c r="Z2352" s="38"/>
    </row>
    <row r="2353" spans="12:26" x14ac:dyDescent="0.25">
      <c r="L2353" s="38"/>
      <c r="Z2353" s="38"/>
    </row>
    <row r="2354" spans="12:26" x14ac:dyDescent="0.25">
      <c r="L2354" s="38"/>
      <c r="Z2354" s="38"/>
    </row>
    <row r="2355" spans="12:26" x14ac:dyDescent="0.25">
      <c r="L2355" s="38"/>
      <c r="Z2355" s="38"/>
    </row>
    <row r="2356" spans="12:26" x14ac:dyDescent="0.25">
      <c r="L2356" s="38"/>
      <c r="Z2356" s="38"/>
    </row>
    <row r="2357" spans="12:26" x14ac:dyDescent="0.25">
      <c r="L2357" s="38"/>
      <c r="Z2357" s="38"/>
    </row>
    <row r="2358" spans="12:26" x14ac:dyDescent="0.25">
      <c r="L2358" s="38"/>
      <c r="Z2358" s="38"/>
    </row>
    <row r="2359" spans="12:26" x14ac:dyDescent="0.25">
      <c r="L2359" s="38"/>
      <c r="Z2359" s="38"/>
    </row>
    <row r="2360" spans="12:26" x14ac:dyDescent="0.25">
      <c r="L2360" s="38"/>
      <c r="Z2360" s="38"/>
    </row>
    <row r="2361" spans="12:26" x14ac:dyDescent="0.25">
      <c r="L2361" s="38"/>
      <c r="Z2361" s="38"/>
    </row>
    <row r="2362" spans="12:26" x14ac:dyDescent="0.25">
      <c r="L2362" s="38"/>
      <c r="Z2362" s="38"/>
    </row>
    <row r="2363" spans="12:26" x14ac:dyDescent="0.25">
      <c r="L2363" s="38"/>
      <c r="Z2363" s="38"/>
    </row>
    <row r="2364" spans="12:26" x14ac:dyDescent="0.25">
      <c r="L2364" s="38"/>
      <c r="Z2364" s="38"/>
    </row>
    <row r="2365" spans="12:26" x14ac:dyDescent="0.25">
      <c r="L2365" s="38"/>
      <c r="Z2365" s="38"/>
    </row>
    <row r="2366" spans="12:26" x14ac:dyDescent="0.25">
      <c r="L2366" s="38"/>
      <c r="Z2366" s="38"/>
    </row>
    <row r="2367" spans="12:26" x14ac:dyDescent="0.25">
      <c r="L2367" s="38"/>
      <c r="Z2367" s="38"/>
    </row>
    <row r="2368" spans="12:26" x14ac:dyDescent="0.25">
      <c r="L2368" s="38"/>
      <c r="Z2368" s="38"/>
    </row>
    <row r="2369" spans="12:26" x14ac:dyDescent="0.25">
      <c r="L2369" s="38"/>
      <c r="Z2369" s="38"/>
    </row>
    <row r="2370" spans="12:26" x14ac:dyDescent="0.25">
      <c r="L2370" s="38"/>
      <c r="Z2370" s="38"/>
    </row>
    <row r="2371" spans="12:26" x14ac:dyDescent="0.25">
      <c r="L2371" s="38"/>
      <c r="Z2371" s="38"/>
    </row>
    <row r="2372" spans="12:26" x14ac:dyDescent="0.25">
      <c r="L2372" s="38"/>
      <c r="Z2372" s="38"/>
    </row>
    <row r="2373" spans="12:26" x14ac:dyDescent="0.25">
      <c r="L2373" s="38"/>
      <c r="Z2373" s="38"/>
    </row>
    <row r="2374" spans="12:26" x14ac:dyDescent="0.25">
      <c r="L2374" s="38"/>
      <c r="Z2374" s="38"/>
    </row>
    <row r="2375" spans="12:26" x14ac:dyDescent="0.25">
      <c r="L2375" s="38"/>
      <c r="Z2375" s="38"/>
    </row>
    <row r="2376" spans="12:26" x14ac:dyDescent="0.25">
      <c r="L2376" s="38"/>
      <c r="Z2376" s="38"/>
    </row>
    <row r="2377" spans="12:26" x14ac:dyDescent="0.25">
      <c r="L2377" s="38"/>
      <c r="Z2377" s="38"/>
    </row>
    <row r="2378" spans="12:26" x14ac:dyDescent="0.25">
      <c r="L2378" s="38"/>
      <c r="Z2378" s="38"/>
    </row>
    <row r="2379" spans="12:26" x14ac:dyDescent="0.25">
      <c r="L2379" s="38"/>
      <c r="Z2379" s="38"/>
    </row>
    <row r="2380" spans="12:26" x14ac:dyDescent="0.25">
      <c r="L2380" s="38"/>
      <c r="Z2380" s="38"/>
    </row>
    <row r="2381" spans="12:26" x14ac:dyDescent="0.25">
      <c r="L2381" s="38"/>
      <c r="Z2381" s="38"/>
    </row>
    <row r="2382" spans="12:26" x14ac:dyDescent="0.25">
      <c r="L2382" s="38"/>
      <c r="Z2382" s="38"/>
    </row>
    <row r="2383" spans="12:26" x14ac:dyDescent="0.25">
      <c r="L2383" s="38"/>
      <c r="Z2383" s="38"/>
    </row>
    <row r="2384" spans="12:26" x14ac:dyDescent="0.25">
      <c r="L2384" s="38"/>
      <c r="Z2384" s="38"/>
    </row>
    <row r="2385" spans="12:26" x14ac:dyDescent="0.25">
      <c r="L2385" s="38"/>
      <c r="Z2385" s="38"/>
    </row>
    <row r="2386" spans="12:26" x14ac:dyDescent="0.25">
      <c r="L2386" s="38"/>
      <c r="Z2386" s="38"/>
    </row>
    <row r="2387" spans="12:26" x14ac:dyDescent="0.25">
      <c r="L2387" s="38"/>
      <c r="Z2387" s="38"/>
    </row>
    <row r="2388" spans="12:26" x14ac:dyDescent="0.25">
      <c r="L2388" s="38"/>
      <c r="Z2388" s="38"/>
    </row>
    <row r="2389" spans="12:26" x14ac:dyDescent="0.25">
      <c r="L2389" s="38"/>
      <c r="Z2389" s="38"/>
    </row>
    <row r="2390" spans="12:26" x14ac:dyDescent="0.25">
      <c r="L2390" s="38"/>
      <c r="Z2390" s="38"/>
    </row>
    <row r="2391" spans="12:26" x14ac:dyDescent="0.25">
      <c r="L2391" s="38"/>
      <c r="Z2391" s="38"/>
    </row>
    <row r="2392" spans="12:26" x14ac:dyDescent="0.25">
      <c r="L2392" s="38"/>
      <c r="Z2392" s="38"/>
    </row>
    <row r="2393" spans="12:26" x14ac:dyDescent="0.25">
      <c r="L2393" s="38"/>
      <c r="Z2393" s="38"/>
    </row>
    <row r="2394" spans="12:26" x14ac:dyDescent="0.25">
      <c r="L2394" s="38"/>
      <c r="Z2394" s="38"/>
    </row>
    <row r="2395" spans="12:26" x14ac:dyDescent="0.25">
      <c r="L2395" s="38"/>
      <c r="Z2395" s="38"/>
    </row>
    <row r="2396" spans="12:26" x14ac:dyDescent="0.25">
      <c r="L2396" s="38"/>
      <c r="Z2396" s="38"/>
    </row>
    <row r="2397" spans="12:26" x14ac:dyDescent="0.25">
      <c r="L2397" s="38"/>
      <c r="Z2397" s="38"/>
    </row>
    <row r="2398" spans="12:26" x14ac:dyDescent="0.25">
      <c r="L2398" s="38"/>
      <c r="Z2398" s="38"/>
    </row>
    <row r="2399" spans="12:26" x14ac:dyDescent="0.25">
      <c r="L2399" s="38"/>
      <c r="Z2399" s="38"/>
    </row>
    <row r="2400" spans="12:26" x14ac:dyDescent="0.25">
      <c r="L2400" s="38"/>
      <c r="Z2400" s="38"/>
    </row>
    <row r="2401" spans="12:26" x14ac:dyDescent="0.25">
      <c r="L2401" s="38"/>
      <c r="Z2401" s="38"/>
    </row>
    <row r="2402" spans="12:26" x14ac:dyDescent="0.25">
      <c r="L2402" s="38"/>
      <c r="Z2402" s="38"/>
    </row>
    <row r="2403" spans="12:26" x14ac:dyDescent="0.25">
      <c r="L2403" s="38"/>
      <c r="Z2403" s="38"/>
    </row>
    <row r="2404" spans="12:26" x14ac:dyDescent="0.25">
      <c r="L2404" s="38"/>
      <c r="Z2404" s="38"/>
    </row>
    <row r="2405" spans="12:26" x14ac:dyDescent="0.25">
      <c r="L2405" s="38"/>
      <c r="Z2405" s="38"/>
    </row>
    <row r="2406" spans="12:26" x14ac:dyDescent="0.25">
      <c r="L2406" s="38"/>
      <c r="Z2406" s="38"/>
    </row>
    <row r="2407" spans="12:26" x14ac:dyDescent="0.25">
      <c r="L2407" s="38"/>
      <c r="Z2407" s="38"/>
    </row>
    <row r="2408" spans="12:26" x14ac:dyDescent="0.25">
      <c r="L2408" s="38"/>
      <c r="Z2408" s="38"/>
    </row>
    <row r="2409" spans="12:26" x14ac:dyDescent="0.25">
      <c r="L2409" s="38"/>
      <c r="Z2409" s="38"/>
    </row>
    <row r="2410" spans="12:26" x14ac:dyDescent="0.25">
      <c r="L2410" s="38"/>
      <c r="Z2410" s="38"/>
    </row>
    <row r="2411" spans="12:26" x14ac:dyDescent="0.25">
      <c r="L2411" s="38"/>
      <c r="Z2411" s="38"/>
    </row>
    <row r="2412" spans="12:26" x14ac:dyDescent="0.25">
      <c r="L2412" s="38"/>
      <c r="Z2412" s="38"/>
    </row>
    <row r="2413" spans="12:26" x14ac:dyDescent="0.25">
      <c r="L2413" s="38"/>
      <c r="Z2413" s="38"/>
    </row>
    <row r="2414" spans="12:26" x14ac:dyDescent="0.25">
      <c r="L2414" s="38"/>
      <c r="Z2414" s="38"/>
    </row>
    <row r="2415" spans="12:26" x14ac:dyDescent="0.25">
      <c r="L2415" s="38"/>
      <c r="Z2415" s="38"/>
    </row>
    <row r="2416" spans="12:26" x14ac:dyDescent="0.25">
      <c r="L2416" s="38"/>
      <c r="Z2416" s="38"/>
    </row>
    <row r="2417" spans="12:26" x14ac:dyDescent="0.25">
      <c r="L2417" s="38"/>
      <c r="Z2417" s="38"/>
    </row>
    <row r="2418" spans="12:26" x14ac:dyDescent="0.25">
      <c r="L2418" s="38"/>
      <c r="Z2418" s="38"/>
    </row>
    <row r="2419" spans="12:26" x14ac:dyDescent="0.25">
      <c r="L2419" s="38"/>
      <c r="Z2419" s="38"/>
    </row>
    <row r="2420" spans="12:26" x14ac:dyDescent="0.25">
      <c r="L2420" s="38"/>
      <c r="Z2420" s="38"/>
    </row>
    <row r="2421" spans="12:26" x14ac:dyDescent="0.25">
      <c r="L2421" s="38"/>
      <c r="Z2421" s="38"/>
    </row>
    <row r="2422" spans="12:26" x14ac:dyDescent="0.25">
      <c r="L2422" s="38"/>
      <c r="Z2422" s="38"/>
    </row>
    <row r="2423" spans="12:26" x14ac:dyDescent="0.25">
      <c r="L2423" s="38"/>
      <c r="Z2423" s="38"/>
    </row>
    <row r="2424" spans="12:26" x14ac:dyDescent="0.25">
      <c r="L2424" s="38"/>
      <c r="Z2424" s="38"/>
    </row>
    <row r="2425" spans="12:26" x14ac:dyDescent="0.25">
      <c r="L2425" s="38"/>
      <c r="Z2425" s="38"/>
    </row>
    <row r="2426" spans="12:26" x14ac:dyDescent="0.25">
      <c r="L2426" s="38"/>
      <c r="Z2426" s="38"/>
    </row>
    <row r="2427" spans="12:26" x14ac:dyDescent="0.25">
      <c r="L2427" s="38"/>
      <c r="Z2427" s="38"/>
    </row>
    <row r="2428" spans="12:26" x14ac:dyDescent="0.25">
      <c r="L2428" s="38"/>
      <c r="Z2428" s="38"/>
    </row>
    <row r="2429" spans="12:26" x14ac:dyDescent="0.25">
      <c r="L2429" s="38"/>
      <c r="Z2429" s="38"/>
    </row>
    <row r="2430" spans="12:26" x14ac:dyDescent="0.25">
      <c r="L2430" s="38"/>
      <c r="Z2430" s="38"/>
    </row>
    <row r="2431" spans="12:26" x14ac:dyDescent="0.25">
      <c r="L2431" s="38"/>
      <c r="Z2431" s="38"/>
    </row>
    <row r="2432" spans="12:26" x14ac:dyDescent="0.25">
      <c r="L2432" s="38"/>
      <c r="Z2432" s="38"/>
    </row>
    <row r="2433" spans="12:26" x14ac:dyDescent="0.25">
      <c r="L2433" s="38"/>
      <c r="Z2433" s="38"/>
    </row>
    <row r="2434" spans="12:26" x14ac:dyDescent="0.25">
      <c r="L2434" s="38"/>
      <c r="Z2434" s="38"/>
    </row>
    <row r="2435" spans="12:26" x14ac:dyDescent="0.25">
      <c r="L2435" s="38"/>
      <c r="Z2435" s="38"/>
    </row>
    <row r="2436" spans="12:26" x14ac:dyDescent="0.25">
      <c r="L2436" s="38"/>
      <c r="Z2436" s="38"/>
    </row>
    <row r="2437" spans="12:26" x14ac:dyDescent="0.25">
      <c r="L2437" s="38"/>
      <c r="Z2437" s="38"/>
    </row>
    <row r="2438" spans="12:26" x14ac:dyDescent="0.25">
      <c r="L2438" s="38"/>
      <c r="Z2438" s="38"/>
    </row>
    <row r="2439" spans="12:26" x14ac:dyDescent="0.25">
      <c r="L2439" s="38"/>
      <c r="Z2439" s="38"/>
    </row>
    <row r="2440" spans="12:26" x14ac:dyDescent="0.25">
      <c r="L2440" s="38"/>
      <c r="Z2440" s="38"/>
    </row>
    <row r="2441" spans="12:26" x14ac:dyDescent="0.25">
      <c r="L2441" s="38"/>
      <c r="Z2441" s="38"/>
    </row>
    <row r="2442" spans="12:26" x14ac:dyDescent="0.25">
      <c r="L2442" s="38"/>
      <c r="Z2442" s="38"/>
    </row>
    <row r="2443" spans="12:26" x14ac:dyDescent="0.25">
      <c r="L2443" s="38"/>
      <c r="Z2443" s="38"/>
    </row>
    <row r="2444" spans="12:26" x14ac:dyDescent="0.25">
      <c r="L2444" s="38"/>
      <c r="Z2444" s="38"/>
    </row>
    <row r="2445" spans="12:26" x14ac:dyDescent="0.25">
      <c r="L2445" s="38"/>
      <c r="Z2445" s="38"/>
    </row>
    <row r="2446" spans="12:26" x14ac:dyDescent="0.25">
      <c r="L2446" s="38"/>
      <c r="Z2446" s="38"/>
    </row>
    <row r="2447" spans="12:26" x14ac:dyDescent="0.25">
      <c r="L2447" s="38"/>
      <c r="Z2447" s="38"/>
    </row>
    <row r="2448" spans="12:26" x14ac:dyDescent="0.25">
      <c r="L2448" s="38"/>
      <c r="Z2448" s="38"/>
    </row>
    <row r="2449" spans="12:26" x14ac:dyDescent="0.25">
      <c r="L2449" s="38"/>
      <c r="Z2449" s="38"/>
    </row>
    <row r="2450" spans="12:26" x14ac:dyDescent="0.25">
      <c r="L2450" s="38"/>
      <c r="Z2450" s="38"/>
    </row>
    <row r="2451" spans="12:26" x14ac:dyDescent="0.25">
      <c r="L2451" s="38"/>
      <c r="Z2451" s="38"/>
    </row>
    <row r="2452" spans="12:26" x14ac:dyDescent="0.25">
      <c r="L2452" s="38"/>
      <c r="Z2452" s="38"/>
    </row>
    <row r="2453" spans="12:26" x14ac:dyDescent="0.25">
      <c r="L2453" s="38"/>
      <c r="Z2453" s="38"/>
    </row>
    <row r="2454" spans="12:26" x14ac:dyDescent="0.25">
      <c r="L2454" s="38"/>
      <c r="Z2454" s="38"/>
    </row>
    <row r="2455" spans="12:26" x14ac:dyDescent="0.25">
      <c r="L2455" s="38"/>
      <c r="Z2455" s="38"/>
    </row>
    <row r="2456" spans="12:26" x14ac:dyDescent="0.25">
      <c r="L2456" s="38"/>
      <c r="Z2456" s="38"/>
    </row>
    <row r="2457" spans="12:26" x14ac:dyDescent="0.25">
      <c r="L2457" s="38"/>
      <c r="Z2457" s="38"/>
    </row>
    <row r="2458" spans="12:26" x14ac:dyDescent="0.25">
      <c r="L2458" s="38"/>
      <c r="Z2458" s="38"/>
    </row>
    <row r="2459" spans="12:26" x14ac:dyDescent="0.25">
      <c r="L2459" s="38"/>
      <c r="Z2459" s="38"/>
    </row>
    <row r="2460" spans="12:26" x14ac:dyDescent="0.25">
      <c r="L2460" s="38"/>
      <c r="Z2460" s="38"/>
    </row>
    <row r="2461" spans="12:26" x14ac:dyDescent="0.25">
      <c r="L2461" s="38"/>
      <c r="Z2461" s="38"/>
    </row>
    <row r="2462" spans="12:26" x14ac:dyDescent="0.25">
      <c r="L2462" s="38"/>
      <c r="Z2462" s="38"/>
    </row>
    <row r="2463" spans="12:26" x14ac:dyDescent="0.25">
      <c r="L2463" s="38"/>
      <c r="Z2463" s="38"/>
    </row>
    <row r="2464" spans="12:26" x14ac:dyDescent="0.25">
      <c r="L2464" s="38"/>
      <c r="Z2464" s="38"/>
    </row>
    <row r="2465" spans="12:26" x14ac:dyDescent="0.25">
      <c r="L2465" s="38"/>
      <c r="Z2465" s="38"/>
    </row>
    <row r="2466" spans="12:26" x14ac:dyDescent="0.25">
      <c r="L2466" s="38"/>
      <c r="Z2466" s="38"/>
    </row>
    <row r="2467" spans="12:26" x14ac:dyDescent="0.25">
      <c r="L2467" s="38"/>
      <c r="Z2467" s="38"/>
    </row>
    <row r="2468" spans="12:26" x14ac:dyDescent="0.25">
      <c r="L2468" s="38"/>
      <c r="Z2468" s="38"/>
    </row>
    <row r="2469" spans="12:26" x14ac:dyDescent="0.25">
      <c r="L2469" s="38"/>
      <c r="Z2469" s="38"/>
    </row>
    <row r="2470" spans="12:26" x14ac:dyDescent="0.25">
      <c r="L2470" s="38"/>
      <c r="Z2470" s="38"/>
    </row>
    <row r="2471" spans="12:26" x14ac:dyDescent="0.25">
      <c r="L2471" s="38"/>
      <c r="Z2471" s="38"/>
    </row>
    <row r="2472" spans="12:26" x14ac:dyDescent="0.25">
      <c r="L2472" s="38"/>
      <c r="Z2472" s="38"/>
    </row>
    <row r="2473" spans="12:26" x14ac:dyDescent="0.25">
      <c r="L2473" s="38"/>
      <c r="Z2473" s="38"/>
    </row>
    <row r="2474" spans="12:26" x14ac:dyDescent="0.25">
      <c r="L2474" s="38"/>
      <c r="Z2474" s="38"/>
    </row>
    <row r="2475" spans="12:26" x14ac:dyDescent="0.25">
      <c r="L2475" s="38"/>
      <c r="Z2475" s="38"/>
    </row>
    <row r="2476" spans="12:26" x14ac:dyDescent="0.25">
      <c r="L2476" s="38"/>
      <c r="Z2476" s="38"/>
    </row>
    <row r="2477" spans="12:26" x14ac:dyDescent="0.25">
      <c r="L2477" s="38"/>
      <c r="Z2477" s="38"/>
    </row>
    <row r="2478" spans="12:26" x14ac:dyDescent="0.25">
      <c r="L2478" s="38"/>
      <c r="Z2478" s="38"/>
    </row>
    <row r="2479" spans="12:26" x14ac:dyDescent="0.25">
      <c r="L2479" s="38"/>
      <c r="Z2479" s="38"/>
    </row>
    <row r="2480" spans="12:26" x14ac:dyDescent="0.25">
      <c r="L2480" s="38"/>
      <c r="Z2480" s="38"/>
    </row>
    <row r="2481" spans="12:26" x14ac:dyDescent="0.25">
      <c r="L2481" s="38"/>
      <c r="Z2481" s="38"/>
    </row>
    <row r="2482" spans="12:26" x14ac:dyDescent="0.25">
      <c r="L2482" s="38"/>
      <c r="Z2482" s="38"/>
    </row>
    <row r="2483" spans="12:26" x14ac:dyDescent="0.25">
      <c r="L2483" s="38"/>
      <c r="Z2483" s="38"/>
    </row>
    <row r="2484" spans="12:26" x14ac:dyDescent="0.25">
      <c r="L2484" s="38"/>
      <c r="Z2484" s="38"/>
    </row>
    <row r="2485" spans="12:26" x14ac:dyDescent="0.25">
      <c r="L2485" s="38"/>
      <c r="Z2485" s="38"/>
    </row>
    <row r="2486" spans="12:26" x14ac:dyDescent="0.25">
      <c r="L2486" s="38"/>
      <c r="Z2486" s="38"/>
    </row>
    <row r="2487" spans="12:26" x14ac:dyDescent="0.25">
      <c r="L2487" s="38"/>
      <c r="Z2487" s="38"/>
    </row>
    <row r="2488" spans="12:26" x14ac:dyDescent="0.25">
      <c r="L2488" s="38"/>
      <c r="Z2488" s="38"/>
    </row>
    <row r="2489" spans="12:26" x14ac:dyDescent="0.25">
      <c r="L2489" s="38"/>
      <c r="Z2489" s="38"/>
    </row>
    <row r="2490" spans="12:26" x14ac:dyDescent="0.25">
      <c r="L2490" s="38"/>
      <c r="Z2490" s="38"/>
    </row>
    <row r="2491" spans="12:26" x14ac:dyDescent="0.25">
      <c r="L2491" s="38"/>
      <c r="Z2491" s="38"/>
    </row>
    <row r="2492" spans="12:26" x14ac:dyDescent="0.25">
      <c r="L2492" s="38"/>
      <c r="Z2492" s="38"/>
    </row>
    <row r="2493" spans="12:26" x14ac:dyDescent="0.25">
      <c r="L2493" s="38"/>
      <c r="Z2493" s="38"/>
    </row>
    <row r="2494" spans="12:26" x14ac:dyDescent="0.25">
      <c r="L2494" s="38"/>
      <c r="Z2494" s="38"/>
    </row>
    <row r="2495" spans="12:26" x14ac:dyDescent="0.25">
      <c r="L2495" s="38"/>
      <c r="Z2495" s="38"/>
    </row>
    <row r="2496" spans="12:26" x14ac:dyDescent="0.25">
      <c r="L2496" s="38"/>
      <c r="Z2496" s="38"/>
    </row>
    <row r="2497" spans="12:26" x14ac:dyDescent="0.25">
      <c r="L2497" s="38"/>
      <c r="Z2497" s="38"/>
    </row>
    <row r="2498" spans="12:26" x14ac:dyDescent="0.25">
      <c r="L2498" s="38"/>
      <c r="Z2498" s="38"/>
    </row>
    <row r="2499" spans="12:26" x14ac:dyDescent="0.25">
      <c r="L2499" s="38"/>
      <c r="Z2499" s="38"/>
    </row>
    <row r="2500" spans="12:26" x14ac:dyDescent="0.25">
      <c r="L2500" s="38"/>
      <c r="Z2500" s="38"/>
    </row>
    <row r="2501" spans="12:26" x14ac:dyDescent="0.25">
      <c r="L2501" s="38"/>
      <c r="Z2501" s="38"/>
    </row>
    <row r="2502" spans="12:26" x14ac:dyDescent="0.25">
      <c r="L2502" s="38"/>
      <c r="Z2502" s="38"/>
    </row>
    <row r="2503" spans="12:26" x14ac:dyDescent="0.25">
      <c r="L2503" s="38"/>
      <c r="Z2503" s="38"/>
    </row>
    <row r="2504" spans="12:26" x14ac:dyDescent="0.25">
      <c r="L2504" s="38"/>
      <c r="Z2504" s="38"/>
    </row>
    <row r="2505" spans="12:26" x14ac:dyDescent="0.25">
      <c r="L2505" s="38"/>
      <c r="Z2505" s="38"/>
    </row>
    <row r="2506" spans="12:26" x14ac:dyDescent="0.25">
      <c r="L2506" s="38"/>
      <c r="Z2506" s="38"/>
    </row>
    <row r="2507" spans="12:26" x14ac:dyDescent="0.25">
      <c r="L2507" s="38"/>
      <c r="Z2507" s="38"/>
    </row>
    <row r="2508" spans="12:26" x14ac:dyDescent="0.25">
      <c r="L2508" s="38"/>
      <c r="Z2508" s="38"/>
    </row>
    <row r="2509" spans="12:26" x14ac:dyDescent="0.25">
      <c r="L2509" s="38"/>
      <c r="Z2509" s="38"/>
    </row>
    <row r="2510" spans="12:26" x14ac:dyDescent="0.25">
      <c r="L2510" s="38"/>
      <c r="Z2510" s="38"/>
    </row>
    <row r="2511" spans="12:26" x14ac:dyDescent="0.25">
      <c r="L2511" s="38"/>
      <c r="Z2511" s="38"/>
    </row>
    <row r="2512" spans="12:26" x14ac:dyDescent="0.25">
      <c r="L2512" s="38"/>
      <c r="Z2512" s="38"/>
    </row>
    <row r="2513" spans="12:26" x14ac:dyDescent="0.25">
      <c r="L2513" s="38"/>
      <c r="Z2513" s="38"/>
    </row>
    <row r="2514" spans="12:26" x14ac:dyDescent="0.25">
      <c r="L2514" s="38"/>
      <c r="Z2514" s="38"/>
    </row>
    <row r="2515" spans="12:26" x14ac:dyDescent="0.25">
      <c r="L2515" s="38"/>
      <c r="Z2515" s="38"/>
    </row>
    <row r="2516" spans="12:26" x14ac:dyDescent="0.25">
      <c r="L2516" s="38"/>
      <c r="Z2516" s="38"/>
    </row>
    <row r="2517" spans="12:26" x14ac:dyDescent="0.25">
      <c r="L2517" s="38"/>
      <c r="Z2517" s="38"/>
    </row>
    <row r="2518" spans="12:26" x14ac:dyDescent="0.25">
      <c r="L2518" s="38"/>
      <c r="Z2518" s="38"/>
    </row>
    <row r="2519" spans="12:26" x14ac:dyDescent="0.25">
      <c r="L2519" s="38"/>
      <c r="Z2519" s="38"/>
    </row>
    <row r="2520" spans="12:26" x14ac:dyDescent="0.25">
      <c r="L2520" s="38"/>
      <c r="Z2520" s="38"/>
    </row>
    <row r="2521" spans="12:26" x14ac:dyDescent="0.25">
      <c r="L2521" s="38"/>
      <c r="Z2521" s="38"/>
    </row>
    <row r="2522" spans="12:26" x14ac:dyDescent="0.25">
      <c r="L2522" s="38"/>
      <c r="Z2522" s="38"/>
    </row>
    <row r="2523" spans="12:26" x14ac:dyDescent="0.25">
      <c r="L2523" s="38"/>
      <c r="Z2523" s="38"/>
    </row>
    <row r="2524" spans="12:26" x14ac:dyDescent="0.25">
      <c r="L2524" s="38"/>
      <c r="Z2524" s="38"/>
    </row>
    <row r="2525" spans="12:26" x14ac:dyDescent="0.25">
      <c r="L2525" s="38"/>
      <c r="Z2525" s="38"/>
    </row>
    <row r="2526" spans="12:26" x14ac:dyDescent="0.25">
      <c r="L2526" s="38"/>
      <c r="Z2526" s="38"/>
    </row>
    <row r="2527" spans="12:26" x14ac:dyDescent="0.25">
      <c r="L2527" s="38"/>
      <c r="Z2527" s="38"/>
    </row>
    <row r="2528" spans="12:26" x14ac:dyDescent="0.25">
      <c r="L2528" s="38"/>
      <c r="Z2528" s="38"/>
    </row>
    <row r="2529" spans="12:26" x14ac:dyDescent="0.25">
      <c r="L2529" s="38"/>
      <c r="Z2529" s="38"/>
    </row>
    <row r="2530" spans="12:26" x14ac:dyDescent="0.25">
      <c r="L2530" s="38"/>
      <c r="Z2530" s="38"/>
    </row>
    <row r="2531" spans="12:26" x14ac:dyDescent="0.25">
      <c r="L2531" s="38"/>
      <c r="Z2531" s="38"/>
    </row>
    <row r="2532" spans="12:26" x14ac:dyDescent="0.25">
      <c r="L2532" s="38"/>
      <c r="Z2532" s="38"/>
    </row>
    <row r="2533" spans="12:26" x14ac:dyDescent="0.25">
      <c r="L2533" s="38"/>
      <c r="Z2533" s="38"/>
    </row>
    <row r="2534" spans="12:26" x14ac:dyDescent="0.25">
      <c r="L2534" s="38"/>
      <c r="Z2534" s="38"/>
    </row>
    <row r="2535" spans="12:26" x14ac:dyDescent="0.25">
      <c r="L2535" s="38"/>
      <c r="Z2535" s="38"/>
    </row>
    <row r="2536" spans="12:26" x14ac:dyDescent="0.25">
      <c r="L2536" s="38"/>
      <c r="Z2536" s="38"/>
    </row>
    <row r="2537" spans="12:26" x14ac:dyDescent="0.25">
      <c r="L2537" s="38"/>
      <c r="Z2537" s="38"/>
    </row>
    <row r="2538" spans="12:26" x14ac:dyDescent="0.25">
      <c r="L2538" s="38"/>
      <c r="Z2538" s="38"/>
    </row>
    <row r="2539" spans="12:26" x14ac:dyDescent="0.25">
      <c r="L2539" s="38"/>
      <c r="Z2539" s="38"/>
    </row>
    <row r="2540" spans="12:26" x14ac:dyDescent="0.25">
      <c r="L2540" s="38"/>
      <c r="Z2540" s="38"/>
    </row>
    <row r="2541" spans="12:26" x14ac:dyDescent="0.25">
      <c r="L2541" s="38"/>
      <c r="Z2541" s="38"/>
    </row>
    <row r="2542" spans="12:26" x14ac:dyDescent="0.25">
      <c r="L2542" s="38"/>
      <c r="Z2542" s="38"/>
    </row>
    <row r="2543" spans="12:26" x14ac:dyDescent="0.25">
      <c r="L2543" s="38"/>
      <c r="Z2543" s="38"/>
    </row>
    <row r="2544" spans="12:26" x14ac:dyDescent="0.25">
      <c r="L2544" s="38"/>
      <c r="Z2544" s="38"/>
    </row>
    <row r="2545" spans="12:26" x14ac:dyDescent="0.25">
      <c r="L2545" s="38"/>
      <c r="Z2545" s="38"/>
    </row>
    <row r="2546" spans="12:26" x14ac:dyDescent="0.25">
      <c r="L2546" s="38"/>
      <c r="Z2546" s="38"/>
    </row>
    <row r="2547" spans="12:26" x14ac:dyDescent="0.25">
      <c r="L2547" s="38"/>
      <c r="Z2547" s="38"/>
    </row>
    <row r="2548" spans="12:26" x14ac:dyDescent="0.25">
      <c r="L2548" s="38"/>
      <c r="Z2548" s="38"/>
    </row>
    <row r="2549" spans="12:26" x14ac:dyDescent="0.25">
      <c r="L2549" s="38"/>
      <c r="Z2549" s="38"/>
    </row>
    <row r="2550" spans="12:26" x14ac:dyDescent="0.25">
      <c r="L2550" s="38"/>
      <c r="Z2550" s="38"/>
    </row>
    <row r="2551" spans="12:26" x14ac:dyDescent="0.25">
      <c r="L2551" s="38"/>
      <c r="Z2551" s="38"/>
    </row>
    <row r="2552" spans="12:26" x14ac:dyDescent="0.25">
      <c r="L2552" s="38"/>
      <c r="Z2552" s="38"/>
    </row>
    <row r="2553" spans="12:26" x14ac:dyDescent="0.25">
      <c r="L2553" s="38"/>
      <c r="Z2553" s="38"/>
    </row>
    <row r="2554" spans="12:26" x14ac:dyDescent="0.25">
      <c r="L2554" s="38"/>
      <c r="Z2554" s="38"/>
    </row>
    <row r="2555" spans="12:26" x14ac:dyDescent="0.25">
      <c r="L2555" s="38"/>
      <c r="Z2555" s="38"/>
    </row>
    <row r="2556" spans="12:26" x14ac:dyDescent="0.25">
      <c r="L2556" s="38"/>
      <c r="Z2556" s="38"/>
    </row>
    <row r="2557" spans="12:26" x14ac:dyDescent="0.25">
      <c r="L2557" s="38"/>
      <c r="Z2557" s="38"/>
    </row>
    <row r="2558" spans="12:26" x14ac:dyDescent="0.25">
      <c r="L2558" s="38"/>
      <c r="Z2558" s="38"/>
    </row>
    <row r="2559" spans="12:26" x14ac:dyDescent="0.25">
      <c r="L2559" s="38"/>
      <c r="Z2559" s="38"/>
    </row>
    <row r="2560" spans="12:26" x14ac:dyDescent="0.25">
      <c r="L2560" s="38"/>
      <c r="Z2560" s="38"/>
    </row>
    <row r="2561" spans="12:26" x14ac:dyDescent="0.25">
      <c r="L2561" s="38"/>
      <c r="Z2561" s="38"/>
    </row>
    <row r="2562" spans="12:26" x14ac:dyDescent="0.25">
      <c r="L2562" s="38"/>
      <c r="Z2562" s="38"/>
    </row>
    <row r="2563" spans="12:26" x14ac:dyDescent="0.25">
      <c r="L2563" s="38"/>
      <c r="Z2563" s="38"/>
    </row>
    <row r="2564" spans="12:26" x14ac:dyDescent="0.25">
      <c r="L2564" s="38"/>
      <c r="Z2564" s="38"/>
    </row>
    <row r="2565" spans="12:26" x14ac:dyDescent="0.25">
      <c r="L2565" s="38"/>
      <c r="Z2565" s="38"/>
    </row>
    <row r="2566" spans="12:26" x14ac:dyDescent="0.25">
      <c r="L2566" s="38"/>
      <c r="Z2566" s="38"/>
    </row>
    <row r="2567" spans="12:26" x14ac:dyDescent="0.25">
      <c r="L2567" s="38"/>
      <c r="Z2567" s="38"/>
    </row>
    <row r="2568" spans="12:26" x14ac:dyDescent="0.25">
      <c r="L2568" s="38"/>
      <c r="Z2568" s="38"/>
    </row>
    <row r="2569" spans="12:26" x14ac:dyDescent="0.25">
      <c r="L2569" s="38"/>
      <c r="Z2569" s="38"/>
    </row>
    <row r="2570" spans="12:26" x14ac:dyDescent="0.25">
      <c r="L2570" s="38"/>
      <c r="Z2570" s="38"/>
    </row>
    <row r="2571" spans="12:26" x14ac:dyDescent="0.25">
      <c r="L2571" s="38"/>
      <c r="Z2571" s="38"/>
    </row>
    <row r="2572" spans="12:26" x14ac:dyDescent="0.25">
      <c r="L2572" s="38"/>
      <c r="Z2572" s="38"/>
    </row>
    <row r="2573" spans="12:26" x14ac:dyDescent="0.25">
      <c r="L2573" s="38"/>
      <c r="Z2573" s="38"/>
    </row>
    <row r="2574" spans="12:26" x14ac:dyDescent="0.25">
      <c r="L2574" s="38"/>
      <c r="Z2574" s="38"/>
    </row>
    <row r="2575" spans="12:26" x14ac:dyDescent="0.25">
      <c r="L2575" s="38"/>
      <c r="Z2575" s="38"/>
    </row>
    <row r="2576" spans="12:26" x14ac:dyDescent="0.25">
      <c r="L2576" s="38"/>
      <c r="Z2576" s="38"/>
    </row>
    <row r="2577" spans="12:26" x14ac:dyDescent="0.25">
      <c r="L2577" s="38"/>
      <c r="Z2577" s="38"/>
    </row>
    <row r="2578" spans="12:26" x14ac:dyDescent="0.25">
      <c r="L2578" s="38"/>
      <c r="Z2578" s="38"/>
    </row>
    <row r="2579" spans="12:26" x14ac:dyDescent="0.25">
      <c r="L2579" s="38"/>
      <c r="Z2579" s="38"/>
    </row>
    <row r="2580" spans="12:26" x14ac:dyDescent="0.25">
      <c r="L2580" s="38"/>
      <c r="Z2580" s="38"/>
    </row>
    <row r="2581" spans="12:26" x14ac:dyDescent="0.25">
      <c r="L2581" s="38"/>
      <c r="Z2581" s="38"/>
    </row>
    <row r="2582" spans="12:26" x14ac:dyDescent="0.25">
      <c r="L2582" s="38"/>
      <c r="Z2582" s="38"/>
    </row>
    <row r="2583" spans="12:26" x14ac:dyDescent="0.25">
      <c r="L2583" s="38"/>
      <c r="Z2583" s="38"/>
    </row>
    <row r="2584" spans="12:26" x14ac:dyDescent="0.25">
      <c r="L2584" s="38"/>
      <c r="Z2584" s="38"/>
    </row>
    <row r="2585" spans="12:26" x14ac:dyDescent="0.25">
      <c r="L2585" s="38"/>
      <c r="Z2585" s="38"/>
    </row>
    <row r="2586" spans="12:26" x14ac:dyDescent="0.25">
      <c r="L2586" s="38"/>
      <c r="Z2586" s="38"/>
    </row>
    <row r="2587" spans="12:26" x14ac:dyDescent="0.25">
      <c r="L2587" s="38"/>
      <c r="Z2587" s="38"/>
    </row>
    <row r="2588" spans="12:26" x14ac:dyDescent="0.25">
      <c r="L2588" s="38"/>
      <c r="Z2588" s="38"/>
    </row>
    <row r="2589" spans="12:26" x14ac:dyDescent="0.25">
      <c r="L2589" s="38"/>
      <c r="Z2589" s="38"/>
    </row>
    <row r="2590" spans="12:26" x14ac:dyDescent="0.25">
      <c r="L2590" s="38"/>
      <c r="Z2590" s="38"/>
    </row>
    <row r="2591" spans="12:26" x14ac:dyDescent="0.25">
      <c r="L2591" s="38"/>
      <c r="Z2591" s="38"/>
    </row>
    <row r="2592" spans="12:26" x14ac:dyDescent="0.25">
      <c r="L2592" s="38"/>
      <c r="Z2592" s="38"/>
    </row>
    <row r="2593" spans="12:26" x14ac:dyDescent="0.25">
      <c r="L2593" s="38"/>
      <c r="Z2593" s="38"/>
    </row>
    <row r="2594" spans="12:26" x14ac:dyDescent="0.25">
      <c r="L2594" s="38"/>
      <c r="Z2594" s="38"/>
    </row>
    <row r="2595" spans="12:26" x14ac:dyDescent="0.25">
      <c r="L2595" s="38"/>
      <c r="Z2595" s="38"/>
    </row>
    <row r="2596" spans="12:26" x14ac:dyDescent="0.25">
      <c r="L2596" s="38"/>
      <c r="Z2596" s="38"/>
    </row>
    <row r="2597" spans="12:26" x14ac:dyDescent="0.25">
      <c r="L2597" s="38"/>
      <c r="Z2597" s="38"/>
    </row>
    <row r="2598" spans="12:26" x14ac:dyDescent="0.25">
      <c r="L2598" s="38"/>
      <c r="Z2598" s="38"/>
    </row>
    <row r="2599" spans="12:26" x14ac:dyDescent="0.25">
      <c r="L2599" s="38"/>
      <c r="Z2599" s="38"/>
    </row>
    <row r="2600" spans="12:26" x14ac:dyDescent="0.25">
      <c r="L2600" s="38"/>
      <c r="Z2600" s="38"/>
    </row>
    <row r="2601" spans="12:26" x14ac:dyDescent="0.25">
      <c r="L2601" s="38"/>
      <c r="Z2601" s="38"/>
    </row>
    <row r="2602" spans="12:26" x14ac:dyDescent="0.25">
      <c r="L2602" s="38"/>
      <c r="Z2602" s="38"/>
    </row>
    <row r="2603" spans="12:26" x14ac:dyDescent="0.25">
      <c r="L2603" s="38"/>
      <c r="Z2603" s="38"/>
    </row>
    <row r="2604" spans="12:26" x14ac:dyDescent="0.25">
      <c r="L2604" s="38"/>
      <c r="Z2604" s="38"/>
    </row>
    <row r="2605" spans="12:26" x14ac:dyDescent="0.25">
      <c r="L2605" s="38"/>
      <c r="Z2605" s="38"/>
    </row>
    <row r="2606" spans="12:26" x14ac:dyDescent="0.25">
      <c r="L2606" s="38"/>
      <c r="Z2606" s="38"/>
    </row>
    <row r="2607" spans="12:26" x14ac:dyDescent="0.25">
      <c r="L2607" s="38"/>
      <c r="Z2607" s="38"/>
    </row>
    <row r="2608" spans="12:26" x14ac:dyDescent="0.25">
      <c r="L2608" s="38"/>
      <c r="Z2608" s="38"/>
    </row>
    <row r="2609" spans="12:26" x14ac:dyDescent="0.25">
      <c r="L2609" s="38"/>
      <c r="Z2609" s="38"/>
    </row>
    <row r="2610" spans="12:26" x14ac:dyDescent="0.25">
      <c r="L2610" s="38"/>
      <c r="Z2610" s="38"/>
    </row>
    <row r="2611" spans="12:26" x14ac:dyDescent="0.25">
      <c r="L2611" s="38"/>
      <c r="Z2611" s="38"/>
    </row>
    <row r="2612" spans="12:26" x14ac:dyDescent="0.25">
      <c r="L2612" s="38"/>
      <c r="Z2612" s="38"/>
    </row>
    <row r="2613" spans="12:26" x14ac:dyDescent="0.25">
      <c r="L2613" s="38"/>
      <c r="Z2613" s="38"/>
    </row>
    <row r="2614" spans="12:26" x14ac:dyDescent="0.25">
      <c r="L2614" s="38"/>
      <c r="Z2614" s="38"/>
    </row>
    <row r="2615" spans="12:26" x14ac:dyDescent="0.25">
      <c r="L2615" s="38"/>
      <c r="Z2615" s="38"/>
    </row>
    <row r="2616" spans="12:26" x14ac:dyDescent="0.25">
      <c r="L2616" s="38"/>
      <c r="Z2616" s="38"/>
    </row>
    <row r="2617" spans="12:26" x14ac:dyDescent="0.25">
      <c r="L2617" s="38"/>
      <c r="Z2617" s="38"/>
    </row>
    <row r="2618" spans="12:26" x14ac:dyDescent="0.25">
      <c r="L2618" s="38"/>
      <c r="Z2618" s="38"/>
    </row>
    <row r="2619" spans="12:26" x14ac:dyDescent="0.25">
      <c r="L2619" s="38"/>
      <c r="Z2619" s="38"/>
    </row>
    <row r="2620" spans="12:26" x14ac:dyDescent="0.25">
      <c r="L2620" s="38"/>
      <c r="Z2620" s="38"/>
    </row>
    <row r="2621" spans="12:26" x14ac:dyDescent="0.25">
      <c r="L2621" s="38"/>
      <c r="Z2621" s="38"/>
    </row>
    <row r="2622" spans="12:26" x14ac:dyDescent="0.25">
      <c r="L2622" s="38"/>
      <c r="Z2622" s="38"/>
    </row>
    <row r="2623" spans="12:26" x14ac:dyDescent="0.25">
      <c r="L2623" s="38"/>
      <c r="Z2623" s="38"/>
    </row>
    <row r="2624" spans="12:26" x14ac:dyDescent="0.25">
      <c r="L2624" s="38"/>
      <c r="Z2624" s="38"/>
    </row>
    <row r="2625" spans="12:26" x14ac:dyDescent="0.25">
      <c r="L2625" s="38"/>
      <c r="Z2625" s="38"/>
    </row>
    <row r="2626" spans="12:26" x14ac:dyDescent="0.25">
      <c r="L2626" s="38"/>
      <c r="Z2626" s="38"/>
    </row>
    <row r="2627" spans="12:26" x14ac:dyDescent="0.25">
      <c r="L2627" s="38"/>
      <c r="Z2627" s="38"/>
    </row>
    <row r="2628" spans="12:26" x14ac:dyDescent="0.25">
      <c r="L2628" s="38"/>
      <c r="Z2628" s="38"/>
    </row>
    <row r="2629" spans="12:26" x14ac:dyDescent="0.25">
      <c r="L2629" s="38"/>
      <c r="Z2629" s="38"/>
    </row>
    <row r="2630" spans="12:26" x14ac:dyDescent="0.25">
      <c r="L2630" s="38"/>
      <c r="Z2630" s="38"/>
    </row>
    <row r="2631" spans="12:26" x14ac:dyDescent="0.25">
      <c r="L2631" s="38"/>
      <c r="Z2631" s="38"/>
    </row>
    <row r="2632" spans="12:26" x14ac:dyDescent="0.25">
      <c r="L2632" s="38"/>
      <c r="Z2632" s="38"/>
    </row>
    <row r="2633" spans="12:26" x14ac:dyDescent="0.25">
      <c r="L2633" s="38"/>
      <c r="Z2633" s="38"/>
    </row>
    <row r="2634" spans="12:26" x14ac:dyDescent="0.25">
      <c r="L2634" s="38"/>
      <c r="Z2634" s="38"/>
    </row>
    <row r="2635" spans="12:26" x14ac:dyDescent="0.25">
      <c r="L2635" s="38"/>
      <c r="Z2635" s="38"/>
    </row>
    <row r="2636" spans="12:26" x14ac:dyDescent="0.25">
      <c r="L2636" s="38"/>
      <c r="Z2636" s="38"/>
    </row>
    <row r="2637" spans="12:26" x14ac:dyDescent="0.25">
      <c r="L2637" s="38"/>
      <c r="Z2637" s="38"/>
    </row>
    <row r="2638" spans="12:26" x14ac:dyDescent="0.25">
      <c r="L2638" s="38"/>
      <c r="Z2638" s="38"/>
    </row>
    <row r="2639" spans="12:26" x14ac:dyDescent="0.25">
      <c r="L2639" s="38"/>
      <c r="Z2639" s="38"/>
    </row>
    <row r="2640" spans="12:26" x14ac:dyDescent="0.25">
      <c r="L2640" s="38"/>
      <c r="Z2640" s="38"/>
    </row>
    <row r="2641" spans="12:26" x14ac:dyDescent="0.25">
      <c r="L2641" s="38"/>
      <c r="Z2641" s="38"/>
    </row>
    <row r="2642" spans="12:26" x14ac:dyDescent="0.25">
      <c r="L2642" s="38"/>
      <c r="Z2642" s="38"/>
    </row>
    <row r="2643" spans="12:26" x14ac:dyDescent="0.25">
      <c r="L2643" s="38"/>
      <c r="Z2643" s="38"/>
    </row>
    <row r="2644" spans="12:26" x14ac:dyDescent="0.25">
      <c r="L2644" s="38"/>
      <c r="Z2644" s="38"/>
    </row>
    <row r="2645" spans="12:26" x14ac:dyDescent="0.25">
      <c r="L2645" s="38"/>
      <c r="Z2645" s="38"/>
    </row>
    <row r="2646" spans="12:26" x14ac:dyDescent="0.25">
      <c r="L2646" s="38"/>
      <c r="Z2646" s="38"/>
    </row>
    <row r="2647" spans="12:26" x14ac:dyDescent="0.25">
      <c r="L2647" s="38"/>
      <c r="Z2647" s="38"/>
    </row>
    <row r="2648" spans="12:26" x14ac:dyDescent="0.25">
      <c r="L2648" s="38"/>
      <c r="Z2648" s="38"/>
    </row>
    <row r="2649" spans="12:26" x14ac:dyDescent="0.25">
      <c r="L2649" s="38"/>
      <c r="Z2649" s="38"/>
    </row>
    <row r="2650" spans="12:26" x14ac:dyDescent="0.25">
      <c r="L2650" s="38"/>
      <c r="Z2650" s="38"/>
    </row>
    <row r="2651" spans="12:26" x14ac:dyDescent="0.25">
      <c r="L2651" s="38"/>
      <c r="Z2651" s="38"/>
    </row>
    <row r="2652" spans="12:26" x14ac:dyDescent="0.25">
      <c r="L2652" s="38"/>
      <c r="Z2652" s="38"/>
    </row>
    <row r="2653" spans="12:26" x14ac:dyDescent="0.25">
      <c r="L2653" s="38"/>
      <c r="Z2653" s="38"/>
    </row>
    <row r="2654" spans="12:26" x14ac:dyDescent="0.25">
      <c r="L2654" s="38"/>
      <c r="Z2654" s="38"/>
    </row>
    <row r="2655" spans="12:26" x14ac:dyDescent="0.25">
      <c r="L2655" s="38"/>
      <c r="Z2655" s="38"/>
    </row>
    <row r="2656" spans="12:26" x14ac:dyDescent="0.25">
      <c r="L2656" s="38"/>
      <c r="Z2656" s="38"/>
    </row>
    <row r="2657" spans="12:26" x14ac:dyDescent="0.25">
      <c r="L2657" s="38"/>
      <c r="Z2657" s="38"/>
    </row>
    <row r="2658" spans="12:26" x14ac:dyDescent="0.25">
      <c r="L2658" s="38"/>
      <c r="Z2658" s="38"/>
    </row>
    <row r="2659" spans="12:26" x14ac:dyDescent="0.25">
      <c r="L2659" s="38"/>
      <c r="Z2659" s="38"/>
    </row>
    <row r="2660" spans="12:26" x14ac:dyDescent="0.25">
      <c r="L2660" s="38"/>
      <c r="Z2660" s="38"/>
    </row>
    <row r="2661" spans="12:26" x14ac:dyDescent="0.25">
      <c r="L2661" s="38"/>
      <c r="Z2661" s="38"/>
    </row>
    <row r="2662" spans="12:26" x14ac:dyDescent="0.25">
      <c r="L2662" s="38"/>
      <c r="Z2662" s="38"/>
    </row>
    <row r="2663" spans="12:26" x14ac:dyDescent="0.25">
      <c r="L2663" s="38"/>
      <c r="Z2663" s="38"/>
    </row>
    <row r="2664" spans="12:26" x14ac:dyDescent="0.25">
      <c r="L2664" s="38"/>
      <c r="Z2664" s="38"/>
    </row>
    <row r="2665" spans="12:26" x14ac:dyDescent="0.25">
      <c r="L2665" s="38"/>
      <c r="Z2665" s="38"/>
    </row>
    <row r="2666" spans="12:26" x14ac:dyDescent="0.25">
      <c r="L2666" s="38"/>
      <c r="Z2666" s="38"/>
    </row>
    <row r="2667" spans="12:26" x14ac:dyDescent="0.25">
      <c r="L2667" s="38"/>
      <c r="Z2667" s="38"/>
    </row>
    <row r="2668" spans="12:26" x14ac:dyDescent="0.25">
      <c r="L2668" s="38"/>
      <c r="Z2668" s="38"/>
    </row>
    <row r="2669" spans="12:26" x14ac:dyDescent="0.25">
      <c r="L2669" s="38"/>
      <c r="Z2669" s="38"/>
    </row>
    <row r="2670" spans="12:26" x14ac:dyDescent="0.25">
      <c r="L2670" s="38"/>
      <c r="Z2670" s="38"/>
    </row>
    <row r="2671" spans="12:26" x14ac:dyDescent="0.25">
      <c r="L2671" s="38"/>
      <c r="Z2671" s="38"/>
    </row>
    <row r="2672" spans="12:26" x14ac:dyDescent="0.25">
      <c r="L2672" s="38"/>
      <c r="Z2672" s="38"/>
    </row>
    <row r="2673" spans="12:26" x14ac:dyDescent="0.25">
      <c r="L2673" s="38"/>
      <c r="Z2673" s="38"/>
    </row>
    <row r="2674" spans="12:26" x14ac:dyDescent="0.25">
      <c r="L2674" s="38"/>
      <c r="Z2674" s="38"/>
    </row>
    <row r="2675" spans="12:26" x14ac:dyDescent="0.25">
      <c r="L2675" s="38"/>
      <c r="Z2675" s="38"/>
    </row>
    <row r="2676" spans="12:26" x14ac:dyDescent="0.25">
      <c r="L2676" s="38"/>
      <c r="Z2676" s="38"/>
    </row>
    <row r="2677" spans="12:26" x14ac:dyDescent="0.25">
      <c r="L2677" s="38"/>
      <c r="Z2677" s="38"/>
    </row>
    <row r="2678" spans="12:26" x14ac:dyDescent="0.25">
      <c r="L2678" s="38"/>
      <c r="Z2678" s="38"/>
    </row>
    <row r="2679" spans="12:26" x14ac:dyDescent="0.25">
      <c r="L2679" s="38"/>
      <c r="Z2679" s="38"/>
    </row>
    <row r="2680" spans="12:26" x14ac:dyDescent="0.25">
      <c r="L2680" s="38"/>
      <c r="Z2680" s="38"/>
    </row>
    <row r="2681" spans="12:26" x14ac:dyDescent="0.25">
      <c r="L2681" s="38"/>
      <c r="Z2681" s="38"/>
    </row>
    <row r="2682" spans="12:26" x14ac:dyDescent="0.25">
      <c r="L2682" s="38"/>
      <c r="Z2682" s="38"/>
    </row>
    <row r="2683" spans="12:26" x14ac:dyDescent="0.25">
      <c r="L2683" s="38"/>
      <c r="Z2683" s="38"/>
    </row>
    <row r="2684" spans="12:26" x14ac:dyDescent="0.25">
      <c r="L2684" s="38"/>
      <c r="Z2684" s="38"/>
    </row>
    <row r="2685" spans="12:26" x14ac:dyDescent="0.25">
      <c r="L2685" s="38"/>
      <c r="Z2685" s="38"/>
    </row>
    <row r="2686" spans="12:26" x14ac:dyDescent="0.25">
      <c r="L2686" s="38"/>
      <c r="Z2686" s="38"/>
    </row>
    <row r="2687" spans="12:26" x14ac:dyDescent="0.25">
      <c r="L2687" s="38"/>
      <c r="Z2687" s="38"/>
    </row>
    <row r="2688" spans="12:26" x14ac:dyDescent="0.25">
      <c r="L2688" s="38"/>
      <c r="Z2688" s="38"/>
    </row>
    <row r="2689" spans="12:26" x14ac:dyDescent="0.25">
      <c r="L2689" s="38"/>
      <c r="Z2689" s="38"/>
    </row>
    <row r="2690" spans="12:26" x14ac:dyDescent="0.25">
      <c r="L2690" s="38"/>
      <c r="Z2690" s="38"/>
    </row>
    <row r="2691" spans="12:26" x14ac:dyDescent="0.25">
      <c r="L2691" s="38"/>
      <c r="Z2691" s="38"/>
    </row>
    <row r="2692" spans="12:26" x14ac:dyDescent="0.25">
      <c r="L2692" s="38"/>
      <c r="Z2692" s="38"/>
    </row>
    <row r="2693" spans="12:26" x14ac:dyDescent="0.25">
      <c r="L2693" s="38"/>
      <c r="Z2693" s="38"/>
    </row>
    <row r="2694" spans="12:26" x14ac:dyDescent="0.25">
      <c r="L2694" s="38"/>
      <c r="Z2694" s="38"/>
    </row>
    <row r="2695" spans="12:26" x14ac:dyDescent="0.25">
      <c r="L2695" s="38"/>
      <c r="Z2695" s="38"/>
    </row>
    <row r="2696" spans="12:26" x14ac:dyDescent="0.25">
      <c r="L2696" s="38"/>
      <c r="Z2696" s="38"/>
    </row>
    <row r="2697" spans="12:26" x14ac:dyDescent="0.25">
      <c r="L2697" s="38"/>
      <c r="Z2697" s="38"/>
    </row>
    <row r="2698" spans="12:26" x14ac:dyDescent="0.25">
      <c r="L2698" s="38"/>
      <c r="Z2698" s="38"/>
    </row>
    <row r="2699" spans="12:26" x14ac:dyDescent="0.25">
      <c r="L2699" s="38"/>
      <c r="Z2699" s="38"/>
    </row>
    <row r="2700" spans="12:26" x14ac:dyDescent="0.25">
      <c r="L2700" s="38"/>
      <c r="Z2700" s="38"/>
    </row>
    <row r="2701" spans="12:26" x14ac:dyDescent="0.25">
      <c r="L2701" s="38"/>
      <c r="Z2701" s="38"/>
    </row>
    <row r="2702" spans="12:26" x14ac:dyDescent="0.25">
      <c r="L2702" s="38"/>
      <c r="Z2702" s="38"/>
    </row>
    <row r="2703" spans="12:26" x14ac:dyDescent="0.25">
      <c r="L2703" s="38"/>
      <c r="Z2703" s="38"/>
    </row>
    <row r="2704" spans="12:26" x14ac:dyDescent="0.25">
      <c r="L2704" s="38"/>
      <c r="Z2704" s="38"/>
    </row>
    <row r="2705" spans="12:26" x14ac:dyDescent="0.25">
      <c r="L2705" s="38"/>
      <c r="Z2705" s="38"/>
    </row>
    <row r="2706" spans="12:26" x14ac:dyDescent="0.25">
      <c r="L2706" s="38"/>
      <c r="Z2706" s="38"/>
    </row>
    <row r="2707" spans="12:26" x14ac:dyDescent="0.25">
      <c r="L2707" s="38"/>
      <c r="Z2707" s="38"/>
    </row>
    <row r="2708" spans="12:26" x14ac:dyDescent="0.25">
      <c r="L2708" s="38"/>
      <c r="Z2708" s="38"/>
    </row>
    <row r="2709" spans="12:26" x14ac:dyDescent="0.25">
      <c r="L2709" s="38"/>
      <c r="Z2709" s="38"/>
    </row>
    <row r="2710" spans="12:26" x14ac:dyDescent="0.25">
      <c r="L2710" s="38"/>
      <c r="Z2710" s="38"/>
    </row>
    <row r="2711" spans="12:26" x14ac:dyDescent="0.25">
      <c r="L2711" s="38"/>
      <c r="Z2711" s="38"/>
    </row>
    <row r="2712" spans="12:26" x14ac:dyDescent="0.25">
      <c r="L2712" s="38"/>
      <c r="Z2712" s="38"/>
    </row>
    <row r="2713" spans="12:26" x14ac:dyDescent="0.25">
      <c r="L2713" s="38"/>
      <c r="Z2713" s="38"/>
    </row>
    <row r="2714" spans="12:26" x14ac:dyDescent="0.25">
      <c r="L2714" s="38"/>
      <c r="Z2714" s="38"/>
    </row>
    <row r="2715" spans="12:26" x14ac:dyDescent="0.25">
      <c r="L2715" s="38"/>
      <c r="Z2715" s="38"/>
    </row>
    <row r="2716" spans="12:26" x14ac:dyDescent="0.25">
      <c r="L2716" s="38"/>
      <c r="Z2716" s="38"/>
    </row>
    <row r="2717" spans="12:26" x14ac:dyDescent="0.25">
      <c r="L2717" s="38"/>
      <c r="Z2717" s="38"/>
    </row>
    <row r="2718" spans="12:26" x14ac:dyDescent="0.25">
      <c r="L2718" s="38"/>
      <c r="Z2718" s="38"/>
    </row>
    <row r="2719" spans="12:26" x14ac:dyDescent="0.25">
      <c r="L2719" s="38"/>
      <c r="Z2719" s="38"/>
    </row>
    <row r="2720" spans="12:26" x14ac:dyDescent="0.25">
      <c r="L2720" s="38"/>
      <c r="Z2720" s="38"/>
    </row>
    <row r="2721" spans="12:26" x14ac:dyDescent="0.25">
      <c r="L2721" s="38"/>
      <c r="Z2721" s="38"/>
    </row>
    <row r="2722" spans="12:26" x14ac:dyDescent="0.25">
      <c r="L2722" s="38"/>
      <c r="Z2722" s="38"/>
    </row>
    <row r="2723" spans="12:26" x14ac:dyDescent="0.25">
      <c r="L2723" s="38"/>
      <c r="Z2723" s="38"/>
    </row>
    <row r="2724" spans="12:26" x14ac:dyDescent="0.25">
      <c r="L2724" s="38"/>
      <c r="Z2724" s="38"/>
    </row>
    <row r="2725" spans="12:26" x14ac:dyDescent="0.25">
      <c r="L2725" s="38"/>
      <c r="Z2725" s="38"/>
    </row>
    <row r="2726" spans="12:26" x14ac:dyDescent="0.25">
      <c r="L2726" s="38"/>
      <c r="Z2726" s="38"/>
    </row>
    <row r="2727" spans="12:26" x14ac:dyDescent="0.25">
      <c r="L2727" s="38"/>
      <c r="Z2727" s="38"/>
    </row>
    <row r="2728" spans="12:26" x14ac:dyDescent="0.25">
      <c r="L2728" s="38"/>
      <c r="Z2728" s="38"/>
    </row>
    <row r="2729" spans="12:26" x14ac:dyDescent="0.25">
      <c r="L2729" s="38"/>
      <c r="Z2729" s="38"/>
    </row>
    <row r="2730" spans="12:26" x14ac:dyDescent="0.25">
      <c r="L2730" s="38"/>
      <c r="Z2730" s="38"/>
    </row>
    <row r="2731" spans="12:26" x14ac:dyDescent="0.25">
      <c r="L2731" s="38"/>
      <c r="Z2731" s="38"/>
    </row>
    <row r="2732" spans="12:26" x14ac:dyDescent="0.25">
      <c r="L2732" s="38"/>
      <c r="Z2732" s="38"/>
    </row>
    <row r="2733" spans="12:26" x14ac:dyDescent="0.25">
      <c r="L2733" s="38"/>
      <c r="Z2733" s="38"/>
    </row>
    <row r="2734" spans="12:26" x14ac:dyDescent="0.25">
      <c r="L2734" s="38"/>
      <c r="Z2734" s="38"/>
    </row>
    <row r="2735" spans="12:26" x14ac:dyDescent="0.25">
      <c r="L2735" s="38"/>
      <c r="Z2735" s="38"/>
    </row>
    <row r="2736" spans="12:26" x14ac:dyDescent="0.25">
      <c r="L2736" s="38"/>
      <c r="Z2736" s="38"/>
    </row>
    <row r="2737" spans="12:26" x14ac:dyDescent="0.25">
      <c r="L2737" s="38"/>
      <c r="Z2737" s="38"/>
    </row>
    <row r="2738" spans="12:26" x14ac:dyDescent="0.25">
      <c r="L2738" s="38"/>
      <c r="Z2738" s="38"/>
    </row>
    <row r="2739" spans="12:26" x14ac:dyDescent="0.25">
      <c r="L2739" s="38"/>
      <c r="Z2739" s="38"/>
    </row>
    <row r="2740" spans="12:26" x14ac:dyDescent="0.25">
      <c r="L2740" s="38"/>
      <c r="Z2740" s="38"/>
    </row>
    <row r="2741" spans="12:26" x14ac:dyDescent="0.25">
      <c r="L2741" s="38"/>
      <c r="Z2741" s="38"/>
    </row>
    <row r="2742" spans="12:26" x14ac:dyDescent="0.25">
      <c r="L2742" s="38"/>
      <c r="Z2742" s="38"/>
    </row>
    <row r="2743" spans="12:26" x14ac:dyDescent="0.25">
      <c r="L2743" s="38"/>
      <c r="Z2743" s="38"/>
    </row>
    <row r="2744" spans="12:26" x14ac:dyDescent="0.25">
      <c r="L2744" s="38"/>
      <c r="Z2744" s="38"/>
    </row>
    <row r="2745" spans="12:26" x14ac:dyDescent="0.25">
      <c r="L2745" s="38"/>
      <c r="Z2745" s="38"/>
    </row>
    <row r="2746" spans="12:26" x14ac:dyDescent="0.25">
      <c r="L2746" s="38"/>
      <c r="Z2746" s="38"/>
    </row>
    <row r="2747" spans="12:26" x14ac:dyDescent="0.25">
      <c r="L2747" s="38"/>
      <c r="Z2747" s="38"/>
    </row>
    <row r="2748" spans="12:26" x14ac:dyDescent="0.25">
      <c r="L2748" s="38"/>
      <c r="Z2748" s="38"/>
    </row>
    <row r="2749" spans="12:26" x14ac:dyDescent="0.25">
      <c r="L2749" s="38"/>
      <c r="Z2749" s="38"/>
    </row>
    <row r="2750" spans="12:26" x14ac:dyDescent="0.25">
      <c r="L2750" s="38"/>
      <c r="Z2750" s="38"/>
    </row>
    <row r="2751" spans="12:26" x14ac:dyDescent="0.25">
      <c r="L2751" s="38"/>
      <c r="Z2751" s="38"/>
    </row>
    <row r="2752" spans="12:26" x14ac:dyDescent="0.25">
      <c r="L2752" s="38"/>
      <c r="Z2752" s="38"/>
    </row>
    <row r="2753" spans="12:26" x14ac:dyDescent="0.25">
      <c r="L2753" s="38"/>
      <c r="Z2753" s="38"/>
    </row>
    <row r="2754" spans="12:26" x14ac:dyDescent="0.25">
      <c r="L2754" s="38"/>
      <c r="Z2754" s="38"/>
    </row>
    <row r="2755" spans="12:26" x14ac:dyDescent="0.25">
      <c r="L2755" s="38"/>
      <c r="Z2755" s="38"/>
    </row>
    <row r="2756" spans="12:26" x14ac:dyDescent="0.25">
      <c r="L2756" s="38"/>
      <c r="Z2756" s="38"/>
    </row>
    <row r="2757" spans="12:26" x14ac:dyDescent="0.25">
      <c r="L2757" s="38"/>
      <c r="Z2757" s="38"/>
    </row>
    <row r="2758" spans="12:26" x14ac:dyDescent="0.25">
      <c r="L2758" s="38"/>
      <c r="Z2758" s="38"/>
    </row>
    <row r="2759" spans="12:26" x14ac:dyDescent="0.25">
      <c r="L2759" s="38"/>
      <c r="Z2759" s="38"/>
    </row>
    <row r="2760" spans="12:26" x14ac:dyDescent="0.25">
      <c r="L2760" s="38"/>
      <c r="Z2760" s="38"/>
    </row>
    <row r="2761" spans="12:26" x14ac:dyDescent="0.25">
      <c r="L2761" s="38"/>
      <c r="Z2761" s="38"/>
    </row>
    <row r="2762" spans="12:26" x14ac:dyDescent="0.25">
      <c r="L2762" s="38"/>
      <c r="Z2762" s="38"/>
    </row>
    <row r="2763" spans="12:26" x14ac:dyDescent="0.25">
      <c r="L2763" s="38"/>
      <c r="Z2763" s="38"/>
    </row>
    <row r="2764" spans="12:26" x14ac:dyDescent="0.25">
      <c r="L2764" s="38"/>
      <c r="Z2764" s="38"/>
    </row>
    <row r="2765" spans="12:26" x14ac:dyDescent="0.25">
      <c r="L2765" s="38"/>
      <c r="Z2765" s="38"/>
    </row>
    <row r="2766" spans="12:26" x14ac:dyDescent="0.25">
      <c r="L2766" s="38"/>
      <c r="Z2766" s="38"/>
    </row>
    <row r="2767" spans="12:26" x14ac:dyDescent="0.25">
      <c r="L2767" s="38"/>
      <c r="Z2767" s="38"/>
    </row>
    <row r="2768" spans="12:26" x14ac:dyDescent="0.25">
      <c r="L2768" s="38"/>
      <c r="Z2768" s="38"/>
    </row>
    <row r="2769" spans="12:26" x14ac:dyDescent="0.25">
      <c r="L2769" s="38"/>
      <c r="Z2769" s="38"/>
    </row>
    <row r="2770" spans="12:26" x14ac:dyDescent="0.25">
      <c r="L2770" s="38"/>
      <c r="Z2770" s="38"/>
    </row>
    <row r="2771" spans="12:26" x14ac:dyDescent="0.25">
      <c r="L2771" s="38"/>
      <c r="Z2771" s="38"/>
    </row>
    <row r="2772" spans="12:26" x14ac:dyDescent="0.25">
      <c r="L2772" s="38"/>
      <c r="Z2772" s="38"/>
    </row>
    <row r="2773" spans="12:26" x14ac:dyDescent="0.25">
      <c r="L2773" s="38"/>
      <c r="Z2773" s="38"/>
    </row>
    <row r="2774" spans="12:26" x14ac:dyDescent="0.25">
      <c r="L2774" s="38"/>
      <c r="Z2774" s="38"/>
    </row>
    <row r="2775" spans="12:26" x14ac:dyDescent="0.25">
      <c r="L2775" s="38"/>
      <c r="Z2775" s="38"/>
    </row>
    <row r="2776" spans="12:26" x14ac:dyDescent="0.25">
      <c r="L2776" s="38"/>
      <c r="Z2776" s="38"/>
    </row>
    <row r="2777" spans="12:26" x14ac:dyDescent="0.25">
      <c r="L2777" s="38"/>
      <c r="Z2777" s="38"/>
    </row>
    <row r="2778" spans="12:26" x14ac:dyDescent="0.25">
      <c r="L2778" s="38"/>
      <c r="Z2778" s="38"/>
    </row>
    <row r="2779" spans="12:26" x14ac:dyDescent="0.25">
      <c r="L2779" s="38"/>
      <c r="Z2779" s="38"/>
    </row>
    <row r="2780" spans="12:26" x14ac:dyDescent="0.25">
      <c r="L2780" s="38"/>
      <c r="Z2780" s="38"/>
    </row>
    <row r="2781" spans="12:26" x14ac:dyDescent="0.25">
      <c r="L2781" s="38"/>
      <c r="Z2781" s="38"/>
    </row>
    <row r="2782" spans="12:26" x14ac:dyDescent="0.25">
      <c r="L2782" s="38"/>
      <c r="Z2782" s="38"/>
    </row>
    <row r="2783" spans="12:26" x14ac:dyDescent="0.25">
      <c r="L2783" s="38"/>
      <c r="Z2783" s="38"/>
    </row>
    <row r="2784" spans="12:26" x14ac:dyDescent="0.25">
      <c r="L2784" s="38"/>
      <c r="Z2784" s="38"/>
    </row>
    <row r="2785" spans="12:26" x14ac:dyDescent="0.25">
      <c r="L2785" s="38"/>
      <c r="Z2785" s="38"/>
    </row>
    <row r="2786" spans="12:26" x14ac:dyDescent="0.25">
      <c r="L2786" s="38"/>
      <c r="Z2786" s="38"/>
    </row>
    <row r="2787" spans="12:26" x14ac:dyDescent="0.25">
      <c r="L2787" s="38"/>
      <c r="Z2787" s="38"/>
    </row>
    <row r="2788" spans="12:26" x14ac:dyDescent="0.25">
      <c r="L2788" s="38"/>
      <c r="Z2788" s="38"/>
    </row>
    <row r="2789" spans="12:26" x14ac:dyDescent="0.25">
      <c r="L2789" s="38"/>
      <c r="Z2789" s="38"/>
    </row>
    <row r="2790" spans="12:26" x14ac:dyDescent="0.25">
      <c r="L2790" s="38"/>
      <c r="Z2790" s="38"/>
    </row>
    <row r="2791" spans="12:26" x14ac:dyDescent="0.25">
      <c r="L2791" s="38"/>
      <c r="Z2791" s="38"/>
    </row>
    <row r="2792" spans="12:26" x14ac:dyDescent="0.25">
      <c r="L2792" s="38"/>
      <c r="Z2792" s="38"/>
    </row>
    <row r="2793" spans="12:26" x14ac:dyDescent="0.25">
      <c r="L2793" s="38"/>
      <c r="Z2793" s="38"/>
    </row>
    <row r="2794" spans="12:26" x14ac:dyDescent="0.25">
      <c r="L2794" s="38"/>
      <c r="Z2794" s="38"/>
    </row>
    <row r="2795" spans="12:26" x14ac:dyDescent="0.25">
      <c r="L2795" s="38"/>
      <c r="Z2795" s="38"/>
    </row>
    <row r="2796" spans="12:26" x14ac:dyDescent="0.25">
      <c r="L2796" s="38"/>
      <c r="Z2796" s="38"/>
    </row>
    <row r="2797" spans="12:26" x14ac:dyDescent="0.25">
      <c r="L2797" s="38"/>
      <c r="Z2797" s="38"/>
    </row>
    <row r="2798" spans="12:26" x14ac:dyDescent="0.25">
      <c r="L2798" s="38"/>
      <c r="Z2798" s="38"/>
    </row>
    <row r="2799" spans="12:26" x14ac:dyDescent="0.25">
      <c r="L2799" s="38"/>
      <c r="Z2799" s="38"/>
    </row>
    <row r="2800" spans="12:26" x14ac:dyDescent="0.25">
      <c r="L2800" s="38"/>
      <c r="Z2800" s="38"/>
    </row>
    <row r="2801" spans="12:26" x14ac:dyDescent="0.25">
      <c r="L2801" s="38"/>
      <c r="Z2801" s="38"/>
    </row>
    <row r="2802" spans="12:26" x14ac:dyDescent="0.25">
      <c r="L2802" s="38"/>
      <c r="Z2802" s="38"/>
    </row>
    <row r="2803" spans="12:26" x14ac:dyDescent="0.25">
      <c r="L2803" s="38"/>
      <c r="Z2803" s="38"/>
    </row>
    <row r="2804" spans="12:26" x14ac:dyDescent="0.25">
      <c r="L2804" s="38"/>
      <c r="Z2804" s="38"/>
    </row>
    <row r="2805" spans="12:26" x14ac:dyDescent="0.25">
      <c r="L2805" s="38"/>
      <c r="Z2805" s="38"/>
    </row>
    <row r="2806" spans="12:26" x14ac:dyDescent="0.25">
      <c r="L2806" s="38"/>
      <c r="Z2806" s="38"/>
    </row>
    <row r="2807" spans="12:26" x14ac:dyDescent="0.25">
      <c r="L2807" s="38"/>
      <c r="Z2807" s="38"/>
    </row>
    <row r="2808" spans="12:26" x14ac:dyDescent="0.25">
      <c r="L2808" s="38"/>
      <c r="Z2808" s="38"/>
    </row>
    <row r="2809" spans="12:26" x14ac:dyDescent="0.25">
      <c r="L2809" s="38"/>
      <c r="Z2809" s="38"/>
    </row>
    <row r="2810" spans="12:26" x14ac:dyDescent="0.25">
      <c r="L2810" s="38"/>
      <c r="Z2810" s="38"/>
    </row>
    <row r="2811" spans="12:26" x14ac:dyDescent="0.25">
      <c r="L2811" s="38"/>
      <c r="Z2811" s="38"/>
    </row>
    <row r="2812" spans="12:26" x14ac:dyDescent="0.25">
      <c r="L2812" s="38"/>
      <c r="Z2812" s="38"/>
    </row>
    <row r="2813" spans="12:26" x14ac:dyDescent="0.25">
      <c r="L2813" s="38"/>
      <c r="Z2813" s="38"/>
    </row>
    <row r="2814" spans="12:26" x14ac:dyDescent="0.25">
      <c r="L2814" s="38"/>
      <c r="Z2814" s="38"/>
    </row>
    <row r="2815" spans="12:26" x14ac:dyDescent="0.25">
      <c r="L2815" s="38"/>
      <c r="Z2815" s="38"/>
    </row>
    <row r="2816" spans="12:26" x14ac:dyDescent="0.25">
      <c r="L2816" s="38"/>
      <c r="Z2816" s="38"/>
    </row>
    <row r="2817" spans="12:26" x14ac:dyDescent="0.25">
      <c r="L2817" s="38"/>
      <c r="Z2817" s="38"/>
    </row>
    <row r="2818" spans="12:26" x14ac:dyDescent="0.25">
      <c r="L2818" s="38"/>
      <c r="Z2818" s="38"/>
    </row>
    <row r="2819" spans="12:26" x14ac:dyDescent="0.25">
      <c r="L2819" s="38"/>
      <c r="Z2819" s="38"/>
    </row>
    <row r="2820" spans="12:26" x14ac:dyDescent="0.25">
      <c r="L2820" s="38"/>
      <c r="Z2820" s="38"/>
    </row>
    <row r="2821" spans="12:26" x14ac:dyDescent="0.25">
      <c r="L2821" s="38"/>
      <c r="Z2821" s="38"/>
    </row>
    <row r="2822" spans="12:26" x14ac:dyDescent="0.25">
      <c r="L2822" s="38"/>
      <c r="Z2822" s="38"/>
    </row>
    <row r="2823" spans="12:26" x14ac:dyDescent="0.25">
      <c r="L2823" s="38"/>
      <c r="Z2823" s="38"/>
    </row>
    <row r="2824" spans="12:26" x14ac:dyDescent="0.25">
      <c r="L2824" s="38"/>
      <c r="Z2824" s="38"/>
    </row>
    <row r="2825" spans="12:26" x14ac:dyDescent="0.25">
      <c r="L2825" s="38"/>
      <c r="Z2825" s="38"/>
    </row>
    <row r="2826" spans="12:26" x14ac:dyDescent="0.25">
      <c r="L2826" s="38"/>
      <c r="Z2826" s="38"/>
    </row>
    <row r="2827" spans="12:26" x14ac:dyDescent="0.25">
      <c r="L2827" s="38"/>
      <c r="Z2827" s="38"/>
    </row>
    <row r="2828" spans="12:26" x14ac:dyDescent="0.25">
      <c r="L2828" s="38"/>
      <c r="Z2828" s="38"/>
    </row>
    <row r="2829" spans="12:26" x14ac:dyDescent="0.25">
      <c r="L2829" s="38"/>
      <c r="Z2829" s="38"/>
    </row>
    <row r="2830" spans="12:26" x14ac:dyDescent="0.25">
      <c r="L2830" s="38"/>
      <c r="Z2830" s="38"/>
    </row>
    <row r="2831" spans="12:26" x14ac:dyDescent="0.25">
      <c r="L2831" s="38"/>
      <c r="Z2831" s="38"/>
    </row>
    <row r="2832" spans="12:26" x14ac:dyDescent="0.25">
      <c r="L2832" s="38"/>
      <c r="Z2832" s="38"/>
    </row>
    <row r="2833" spans="12:26" x14ac:dyDescent="0.25">
      <c r="L2833" s="38"/>
      <c r="Z2833" s="38"/>
    </row>
    <row r="2834" spans="12:26" x14ac:dyDescent="0.25">
      <c r="L2834" s="38"/>
      <c r="Z2834" s="38"/>
    </row>
    <row r="2835" spans="12:26" x14ac:dyDescent="0.25">
      <c r="L2835" s="38"/>
      <c r="Z2835" s="38"/>
    </row>
    <row r="2836" spans="12:26" x14ac:dyDescent="0.25">
      <c r="L2836" s="38"/>
      <c r="Z2836" s="38"/>
    </row>
    <row r="2837" spans="12:26" x14ac:dyDescent="0.25">
      <c r="L2837" s="38"/>
      <c r="Z2837" s="38"/>
    </row>
    <row r="2838" spans="12:26" x14ac:dyDescent="0.25">
      <c r="L2838" s="38"/>
      <c r="Z2838" s="38"/>
    </row>
    <row r="2839" spans="12:26" x14ac:dyDescent="0.25">
      <c r="L2839" s="38"/>
      <c r="Z2839" s="38"/>
    </row>
    <row r="2840" spans="12:26" x14ac:dyDescent="0.25">
      <c r="L2840" s="38"/>
      <c r="Z2840" s="38"/>
    </row>
    <row r="2841" spans="12:26" x14ac:dyDescent="0.25">
      <c r="L2841" s="38"/>
      <c r="Z2841" s="38"/>
    </row>
    <row r="2842" spans="12:26" x14ac:dyDescent="0.25">
      <c r="L2842" s="38"/>
      <c r="Z2842" s="38"/>
    </row>
    <row r="2843" spans="12:26" x14ac:dyDescent="0.25">
      <c r="L2843" s="38"/>
      <c r="Z2843" s="38"/>
    </row>
    <row r="2844" spans="12:26" x14ac:dyDescent="0.25">
      <c r="L2844" s="38"/>
      <c r="Z2844" s="38"/>
    </row>
    <row r="2845" spans="12:26" x14ac:dyDescent="0.25">
      <c r="L2845" s="38"/>
      <c r="Z2845" s="38"/>
    </row>
    <row r="2846" spans="12:26" x14ac:dyDescent="0.25">
      <c r="L2846" s="38"/>
      <c r="Z2846" s="38"/>
    </row>
    <row r="2847" spans="12:26" x14ac:dyDescent="0.25">
      <c r="L2847" s="38"/>
      <c r="Z2847" s="38"/>
    </row>
    <row r="2848" spans="12:26" x14ac:dyDescent="0.25">
      <c r="L2848" s="38"/>
      <c r="Z2848" s="38"/>
    </row>
    <row r="2849" spans="12:26" x14ac:dyDescent="0.25">
      <c r="L2849" s="38"/>
      <c r="Z2849" s="38"/>
    </row>
    <row r="2850" spans="12:26" x14ac:dyDescent="0.25">
      <c r="L2850" s="38"/>
      <c r="Z2850" s="38"/>
    </row>
    <row r="2851" spans="12:26" x14ac:dyDescent="0.25">
      <c r="L2851" s="38"/>
      <c r="Z2851" s="38"/>
    </row>
    <row r="2852" spans="12:26" x14ac:dyDescent="0.25">
      <c r="L2852" s="38"/>
      <c r="Z2852" s="38"/>
    </row>
    <row r="2853" spans="12:26" x14ac:dyDescent="0.25">
      <c r="L2853" s="38"/>
      <c r="Z2853" s="38"/>
    </row>
    <row r="2854" spans="12:26" x14ac:dyDescent="0.25">
      <c r="L2854" s="38"/>
      <c r="Z2854" s="38"/>
    </row>
    <row r="2855" spans="12:26" x14ac:dyDescent="0.25">
      <c r="L2855" s="38"/>
      <c r="Z2855" s="38"/>
    </row>
    <row r="2856" spans="12:26" x14ac:dyDescent="0.25">
      <c r="L2856" s="38"/>
      <c r="Z2856" s="38"/>
    </row>
    <row r="2857" spans="12:26" x14ac:dyDescent="0.25">
      <c r="L2857" s="38"/>
      <c r="Z2857" s="38"/>
    </row>
    <row r="2858" spans="12:26" x14ac:dyDescent="0.25">
      <c r="L2858" s="38"/>
      <c r="Z2858" s="38"/>
    </row>
    <row r="2859" spans="12:26" x14ac:dyDescent="0.25">
      <c r="L2859" s="38"/>
      <c r="Z2859" s="38"/>
    </row>
    <row r="2860" spans="12:26" x14ac:dyDescent="0.25">
      <c r="L2860" s="38"/>
      <c r="Z2860" s="38"/>
    </row>
    <row r="2861" spans="12:26" x14ac:dyDescent="0.25">
      <c r="L2861" s="38"/>
      <c r="Z2861" s="38"/>
    </row>
    <row r="2862" spans="12:26" x14ac:dyDescent="0.25">
      <c r="L2862" s="38"/>
      <c r="Z2862" s="38"/>
    </row>
    <row r="2863" spans="12:26" x14ac:dyDescent="0.25">
      <c r="L2863" s="38"/>
      <c r="Z2863" s="38"/>
    </row>
    <row r="2864" spans="12:26" x14ac:dyDescent="0.25">
      <c r="L2864" s="38"/>
      <c r="Z2864" s="38"/>
    </row>
    <row r="2865" spans="12:26" x14ac:dyDescent="0.25">
      <c r="L2865" s="38"/>
      <c r="Z2865" s="38"/>
    </row>
    <row r="2866" spans="12:26" x14ac:dyDescent="0.25">
      <c r="L2866" s="38"/>
      <c r="Z2866" s="38"/>
    </row>
    <row r="2867" spans="12:26" x14ac:dyDescent="0.25">
      <c r="L2867" s="38"/>
      <c r="Z2867" s="38"/>
    </row>
    <row r="2868" spans="12:26" x14ac:dyDescent="0.25">
      <c r="L2868" s="38"/>
      <c r="Z2868" s="38"/>
    </row>
    <row r="2869" spans="12:26" x14ac:dyDescent="0.25">
      <c r="L2869" s="38"/>
      <c r="Z2869" s="38"/>
    </row>
    <row r="2870" spans="12:26" x14ac:dyDescent="0.25">
      <c r="L2870" s="38"/>
      <c r="Z2870" s="38"/>
    </row>
    <row r="2871" spans="12:26" x14ac:dyDescent="0.25">
      <c r="L2871" s="38"/>
      <c r="Z2871" s="38"/>
    </row>
    <row r="2872" spans="12:26" x14ac:dyDescent="0.25">
      <c r="L2872" s="38"/>
      <c r="Z2872" s="38"/>
    </row>
    <row r="2873" spans="12:26" x14ac:dyDescent="0.25">
      <c r="L2873" s="38"/>
      <c r="Z2873" s="38"/>
    </row>
    <row r="2874" spans="12:26" x14ac:dyDescent="0.25">
      <c r="L2874" s="38"/>
      <c r="Z2874" s="38"/>
    </row>
    <row r="2875" spans="12:26" x14ac:dyDescent="0.25">
      <c r="L2875" s="38"/>
      <c r="Z2875" s="38"/>
    </row>
    <row r="2876" spans="12:26" x14ac:dyDescent="0.25">
      <c r="L2876" s="38"/>
      <c r="Z2876" s="38"/>
    </row>
    <row r="2877" spans="12:26" x14ac:dyDescent="0.25">
      <c r="L2877" s="38"/>
      <c r="Z2877" s="38"/>
    </row>
    <row r="2878" spans="12:26" x14ac:dyDescent="0.25">
      <c r="L2878" s="38"/>
      <c r="Z2878" s="38"/>
    </row>
    <row r="2879" spans="12:26" x14ac:dyDescent="0.25">
      <c r="L2879" s="38"/>
      <c r="Z2879" s="38"/>
    </row>
    <row r="2880" spans="12:26" x14ac:dyDescent="0.25">
      <c r="L2880" s="38"/>
      <c r="Z2880" s="38"/>
    </row>
    <row r="2881" spans="12:26" x14ac:dyDescent="0.25">
      <c r="L2881" s="38"/>
      <c r="Z2881" s="38"/>
    </row>
    <row r="2882" spans="12:26" x14ac:dyDescent="0.25">
      <c r="L2882" s="38"/>
      <c r="Z2882" s="38"/>
    </row>
    <row r="2883" spans="12:26" x14ac:dyDescent="0.25">
      <c r="L2883" s="38"/>
      <c r="Z2883" s="38"/>
    </row>
    <row r="2884" spans="12:26" x14ac:dyDescent="0.25">
      <c r="L2884" s="38"/>
      <c r="Z2884" s="38"/>
    </row>
    <row r="2885" spans="12:26" x14ac:dyDescent="0.25">
      <c r="L2885" s="38"/>
      <c r="Z2885" s="38"/>
    </row>
    <row r="2886" spans="12:26" x14ac:dyDescent="0.25">
      <c r="L2886" s="38"/>
      <c r="Z2886" s="38"/>
    </row>
    <row r="2887" spans="12:26" x14ac:dyDescent="0.25">
      <c r="L2887" s="38"/>
      <c r="Z2887" s="38"/>
    </row>
    <row r="2888" spans="12:26" x14ac:dyDescent="0.25">
      <c r="L2888" s="38"/>
      <c r="Z2888" s="38"/>
    </row>
    <row r="2889" spans="12:26" x14ac:dyDescent="0.25">
      <c r="L2889" s="38"/>
      <c r="Z2889" s="38"/>
    </row>
    <row r="2890" spans="12:26" x14ac:dyDescent="0.25">
      <c r="L2890" s="38"/>
      <c r="Z2890" s="38"/>
    </row>
    <row r="2891" spans="12:26" x14ac:dyDescent="0.25">
      <c r="L2891" s="38"/>
      <c r="Z2891" s="38"/>
    </row>
    <row r="2892" spans="12:26" x14ac:dyDescent="0.25">
      <c r="L2892" s="38"/>
      <c r="Z2892" s="38"/>
    </row>
    <row r="2893" spans="12:26" x14ac:dyDescent="0.25">
      <c r="L2893" s="38"/>
      <c r="Z2893" s="38"/>
    </row>
    <row r="2894" spans="12:26" x14ac:dyDescent="0.25">
      <c r="L2894" s="38"/>
      <c r="Z2894" s="38"/>
    </row>
    <row r="2895" spans="12:26" x14ac:dyDescent="0.25">
      <c r="L2895" s="38"/>
      <c r="Z2895" s="38"/>
    </row>
    <row r="2896" spans="12:26" x14ac:dyDescent="0.25">
      <c r="L2896" s="38"/>
      <c r="Z2896" s="38"/>
    </row>
    <row r="2897" spans="12:26" x14ac:dyDescent="0.25">
      <c r="L2897" s="38"/>
      <c r="Z2897" s="38"/>
    </row>
    <row r="2898" spans="12:26" x14ac:dyDescent="0.25">
      <c r="L2898" s="38"/>
      <c r="Z2898" s="38"/>
    </row>
    <row r="2899" spans="12:26" x14ac:dyDescent="0.25">
      <c r="L2899" s="38"/>
      <c r="Z2899" s="38"/>
    </row>
    <row r="2900" spans="12:26" x14ac:dyDescent="0.25">
      <c r="L2900" s="38"/>
      <c r="Z2900" s="38"/>
    </row>
    <row r="2901" spans="12:26" x14ac:dyDescent="0.25">
      <c r="L2901" s="38"/>
      <c r="Z2901" s="38"/>
    </row>
    <row r="2902" spans="12:26" x14ac:dyDescent="0.25">
      <c r="L2902" s="38"/>
      <c r="Z2902" s="38"/>
    </row>
    <row r="2903" spans="12:26" x14ac:dyDescent="0.25">
      <c r="L2903" s="38"/>
      <c r="Z2903" s="38"/>
    </row>
    <row r="2904" spans="12:26" x14ac:dyDescent="0.25">
      <c r="L2904" s="38"/>
      <c r="Z2904" s="38"/>
    </row>
    <row r="2905" spans="12:26" x14ac:dyDescent="0.25">
      <c r="L2905" s="38"/>
      <c r="Z2905" s="38"/>
    </row>
    <row r="2906" spans="12:26" x14ac:dyDescent="0.25">
      <c r="L2906" s="38"/>
      <c r="Z2906" s="38"/>
    </row>
    <row r="2907" spans="12:26" x14ac:dyDescent="0.25">
      <c r="L2907" s="38"/>
      <c r="Z2907" s="38"/>
    </row>
    <row r="2908" spans="12:26" x14ac:dyDescent="0.25">
      <c r="L2908" s="38"/>
      <c r="Z2908" s="38"/>
    </row>
    <row r="2909" spans="12:26" x14ac:dyDescent="0.25">
      <c r="L2909" s="38"/>
      <c r="Z2909" s="38"/>
    </row>
    <row r="2910" spans="12:26" x14ac:dyDescent="0.25">
      <c r="L2910" s="38"/>
      <c r="Z2910" s="38"/>
    </row>
    <row r="2911" spans="12:26" x14ac:dyDescent="0.25">
      <c r="L2911" s="38"/>
      <c r="Z2911" s="38"/>
    </row>
    <row r="2912" spans="12:26" x14ac:dyDescent="0.25">
      <c r="L2912" s="38"/>
      <c r="Z2912" s="38"/>
    </row>
    <row r="2913" spans="12:26" x14ac:dyDescent="0.25">
      <c r="L2913" s="38"/>
      <c r="Z2913" s="38"/>
    </row>
    <row r="2914" spans="12:26" x14ac:dyDescent="0.25">
      <c r="L2914" s="38"/>
      <c r="Z2914" s="38"/>
    </row>
    <row r="2915" spans="12:26" x14ac:dyDescent="0.25">
      <c r="L2915" s="38"/>
      <c r="Z2915" s="38"/>
    </row>
    <row r="2916" spans="12:26" x14ac:dyDescent="0.25">
      <c r="L2916" s="38"/>
      <c r="Z2916" s="38"/>
    </row>
    <row r="2917" spans="12:26" x14ac:dyDescent="0.25">
      <c r="L2917" s="38"/>
      <c r="Z2917" s="38"/>
    </row>
    <row r="2918" spans="12:26" x14ac:dyDescent="0.25">
      <c r="L2918" s="38"/>
      <c r="Z2918" s="38"/>
    </row>
    <row r="2919" spans="12:26" x14ac:dyDescent="0.25">
      <c r="L2919" s="38"/>
      <c r="Z2919" s="38"/>
    </row>
    <row r="2920" spans="12:26" x14ac:dyDescent="0.25">
      <c r="L2920" s="38"/>
      <c r="Z2920" s="38"/>
    </row>
    <row r="2921" spans="12:26" x14ac:dyDescent="0.25">
      <c r="L2921" s="38"/>
      <c r="Z2921" s="38"/>
    </row>
    <row r="2922" spans="12:26" x14ac:dyDescent="0.25">
      <c r="L2922" s="38"/>
      <c r="Z2922" s="38"/>
    </row>
    <row r="2923" spans="12:26" x14ac:dyDescent="0.25">
      <c r="L2923" s="38"/>
      <c r="Z2923" s="38"/>
    </row>
    <row r="2924" spans="12:26" x14ac:dyDescent="0.25">
      <c r="L2924" s="38"/>
      <c r="Z2924" s="38"/>
    </row>
    <row r="2925" spans="12:26" x14ac:dyDescent="0.25">
      <c r="L2925" s="38"/>
      <c r="Z2925" s="38"/>
    </row>
    <row r="2926" spans="12:26" x14ac:dyDescent="0.25">
      <c r="L2926" s="38"/>
      <c r="Z2926" s="38"/>
    </row>
    <row r="2927" spans="12:26" x14ac:dyDescent="0.25">
      <c r="L2927" s="38"/>
      <c r="Z2927" s="38"/>
    </row>
    <row r="2928" spans="12:26" x14ac:dyDescent="0.25">
      <c r="L2928" s="38"/>
      <c r="Z2928" s="38"/>
    </row>
    <row r="2929" spans="12:26" x14ac:dyDescent="0.25">
      <c r="L2929" s="38"/>
      <c r="Z2929" s="38"/>
    </row>
    <row r="2930" spans="12:26" x14ac:dyDescent="0.25">
      <c r="L2930" s="38"/>
      <c r="Z2930" s="38"/>
    </row>
    <row r="2931" spans="12:26" x14ac:dyDescent="0.25">
      <c r="L2931" s="38"/>
      <c r="Z2931" s="38"/>
    </row>
    <row r="2932" spans="12:26" x14ac:dyDescent="0.25">
      <c r="L2932" s="38"/>
      <c r="Z2932" s="38"/>
    </row>
    <row r="2933" spans="12:26" x14ac:dyDescent="0.25">
      <c r="L2933" s="38"/>
      <c r="Z2933" s="38"/>
    </row>
    <row r="2934" spans="12:26" x14ac:dyDescent="0.25">
      <c r="L2934" s="38"/>
      <c r="Z2934" s="38"/>
    </row>
    <row r="2935" spans="12:26" x14ac:dyDescent="0.25">
      <c r="L2935" s="38"/>
      <c r="Z2935" s="38"/>
    </row>
    <row r="2936" spans="12:26" x14ac:dyDescent="0.25">
      <c r="L2936" s="38"/>
      <c r="Z2936" s="38"/>
    </row>
    <row r="2937" spans="12:26" x14ac:dyDescent="0.25">
      <c r="L2937" s="38"/>
      <c r="Z2937" s="38"/>
    </row>
    <row r="2938" spans="12:26" x14ac:dyDescent="0.25">
      <c r="L2938" s="38"/>
      <c r="Z2938" s="38"/>
    </row>
    <row r="2939" spans="12:26" x14ac:dyDescent="0.25">
      <c r="L2939" s="38"/>
      <c r="Z2939" s="38"/>
    </row>
    <row r="2940" spans="12:26" x14ac:dyDescent="0.25">
      <c r="L2940" s="38"/>
      <c r="Z2940" s="38"/>
    </row>
    <row r="2941" spans="12:26" x14ac:dyDescent="0.25">
      <c r="L2941" s="38"/>
      <c r="Z2941" s="38"/>
    </row>
    <row r="2942" spans="12:26" x14ac:dyDescent="0.25">
      <c r="L2942" s="38"/>
      <c r="Z2942" s="38"/>
    </row>
    <row r="2943" spans="12:26" x14ac:dyDescent="0.25">
      <c r="L2943" s="38"/>
      <c r="Z2943" s="38"/>
    </row>
    <row r="2944" spans="12:26" x14ac:dyDescent="0.25">
      <c r="L2944" s="38"/>
      <c r="Z2944" s="38"/>
    </row>
    <row r="2945" spans="12:26" x14ac:dyDescent="0.25">
      <c r="L2945" s="38"/>
      <c r="Z2945" s="38"/>
    </row>
    <row r="2946" spans="12:26" x14ac:dyDescent="0.25">
      <c r="L2946" s="38"/>
      <c r="Z2946" s="38"/>
    </row>
    <row r="2947" spans="12:26" x14ac:dyDescent="0.25">
      <c r="L2947" s="38"/>
      <c r="Z2947" s="38"/>
    </row>
    <row r="2948" spans="12:26" x14ac:dyDescent="0.25">
      <c r="L2948" s="38"/>
      <c r="Z2948" s="38"/>
    </row>
    <row r="2949" spans="12:26" x14ac:dyDescent="0.25">
      <c r="L2949" s="38"/>
      <c r="Z2949" s="38"/>
    </row>
    <row r="2950" spans="12:26" x14ac:dyDescent="0.25">
      <c r="L2950" s="38"/>
      <c r="Z2950" s="38"/>
    </row>
    <row r="2951" spans="12:26" x14ac:dyDescent="0.25">
      <c r="L2951" s="38"/>
      <c r="Z2951" s="38"/>
    </row>
    <row r="2952" spans="12:26" x14ac:dyDescent="0.25">
      <c r="L2952" s="38"/>
      <c r="Z2952" s="38"/>
    </row>
    <row r="2953" spans="12:26" x14ac:dyDescent="0.25">
      <c r="L2953" s="38"/>
      <c r="Z2953" s="38"/>
    </row>
    <row r="2954" spans="12:26" x14ac:dyDescent="0.25">
      <c r="L2954" s="38"/>
      <c r="Z2954" s="38"/>
    </row>
    <row r="2955" spans="12:26" x14ac:dyDescent="0.25">
      <c r="L2955" s="38"/>
      <c r="Z2955" s="38"/>
    </row>
    <row r="2956" spans="12:26" x14ac:dyDescent="0.25">
      <c r="L2956" s="38"/>
      <c r="Z2956" s="38"/>
    </row>
    <row r="2957" spans="12:26" x14ac:dyDescent="0.25">
      <c r="L2957" s="38"/>
      <c r="Z2957" s="38"/>
    </row>
    <row r="2958" spans="12:26" x14ac:dyDescent="0.25">
      <c r="L2958" s="38"/>
      <c r="Z2958" s="38"/>
    </row>
    <row r="2959" spans="12:26" x14ac:dyDescent="0.25">
      <c r="L2959" s="38"/>
      <c r="Z2959" s="38"/>
    </row>
    <row r="2960" spans="12:26" x14ac:dyDescent="0.25">
      <c r="L2960" s="38"/>
      <c r="Z2960" s="38"/>
    </row>
    <row r="2961" spans="12:26" x14ac:dyDescent="0.25">
      <c r="L2961" s="38"/>
      <c r="Z2961" s="38"/>
    </row>
    <row r="2962" spans="12:26" x14ac:dyDescent="0.25">
      <c r="L2962" s="38"/>
      <c r="Z2962" s="38"/>
    </row>
    <row r="2963" spans="12:26" x14ac:dyDescent="0.25">
      <c r="L2963" s="38"/>
      <c r="Z2963" s="38"/>
    </row>
    <row r="2964" spans="12:26" x14ac:dyDescent="0.25">
      <c r="L2964" s="38"/>
      <c r="Z2964" s="38"/>
    </row>
    <row r="2965" spans="12:26" x14ac:dyDescent="0.25">
      <c r="L2965" s="38"/>
      <c r="Z2965" s="38"/>
    </row>
    <row r="2966" spans="12:26" x14ac:dyDescent="0.25">
      <c r="L2966" s="38"/>
      <c r="Z2966" s="38"/>
    </row>
    <row r="2967" spans="12:26" x14ac:dyDescent="0.25">
      <c r="L2967" s="38"/>
      <c r="Z2967" s="38"/>
    </row>
    <row r="2968" spans="12:26" x14ac:dyDescent="0.25">
      <c r="L2968" s="38"/>
      <c r="Z2968" s="38"/>
    </row>
    <row r="2969" spans="12:26" x14ac:dyDescent="0.25">
      <c r="L2969" s="38"/>
      <c r="Z2969" s="38"/>
    </row>
    <row r="2970" spans="12:26" x14ac:dyDescent="0.25">
      <c r="L2970" s="38"/>
      <c r="Z2970" s="38"/>
    </row>
    <row r="2971" spans="12:26" x14ac:dyDescent="0.25">
      <c r="L2971" s="38"/>
      <c r="Z2971" s="38"/>
    </row>
    <row r="2972" spans="12:26" x14ac:dyDescent="0.25">
      <c r="L2972" s="38"/>
      <c r="Z2972" s="38"/>
    </row>
    <row r="2973" spans="12:26" x14ac:dyDescent="0.25">
      <c r="L2973" s="38"/>
      <c r="Z2973" s="38"/>
    </row>
    <row r="2974" spans="12:26" x14ac:dyDescent="0.25">
      <c r="L2974" s="38"/>
      <c r="Z2974" s="38"/>
    </row>
    <row r="2975" spans="12:26" x14ac:dyDescent="0.25">
      <c r="L2975" s="38"/>
      <c r="Z2975" s="38"/>
    </row>
    <row r="2976" spans="12:26" x14ac:dyDescent="0.25">
      <c r="L2976" s="38"/>
      <c r="Z2976" s="38"/>
    </row>
    <row r="2977" spans="12:26" x14ac:dyDescent="0.25">
      <c r="L2977" s="38"/>
      <c r="Z2977" s="38"/>
    </row>
    <row r="2978" spans="12:26" x14ac:dyDescent="0.25">
      <c r="L2978" s="38"/>
      <c r="Z2978" s="38"/>
    </row>
    <row r="2979" spans="12:26" x14ac:dyDescent="0.25">
      <c r="L2979" s="38"/>
      <c r="Z2979" s="38"/>
    </row>
    <row r="2980" spans="12:26" x14ac:dyDescent="0.25">
      <c r="L2980" s="38"/>
      <c r="Z2980" s="38"/>
    </row>
    <row r="2981" spans="12:26" x14ac:dyDescent="0.25">
      <c r="L2981" s="38"/>
      <c r="Z2981" s="38"/>
    </row>
    <row r="2982" spans="12:26" x14ac:dyDescent="0.25">
      <c r="L2982" s="38"/>
      <c r="Z2982" s="38"/>
    </row>
    <row r="2983" spans="12:26" x14ac:dyDescent="0.25">
      <c r="L2983" s="38"/>
      <c r="Z2983" s="38"/>
    </row>
    <row r="2984" spans="12:26" x14ac:dyDescent="0.25">
      <c r="L2984" s="38"/>
      <c r="Z2984" s="38"/>
    </row>
    <row r="2985" spans="12:26" x14ac:dyDescent="0.25">
      <c r="L2985" s="38"/>
      <c r="Z2985" s="38"/>
    </row>
    <row r="2986" spans="12:26" x14ac:dyDescent="0.25">
      <c r="L2986" s="38"/>
      <c r="Z2986" s="38"/>
    </row>
    <row r="2987" spans="12:26" x14ac:dyDescent="0.25">
      <c r="L2987" s="38"/>
      <c r="Z2987" s="38"/>
    </row>
    <row r="2988" spans="12:26" x14ac:dyDescent="0.25">
      <c r="L2988" s="38"/>
      <c r="Z2988" s="38"/>
    </row>
    <row r="2989" spans="12:26" x14ac:dyDescent="0.25">
      <c r="L2989" s="38"/>
      <c r="Z2989" s="38"/>
    </row>
    <row r="2990" spans="12:26" x14ac:dyDescent="0.25">
      <c r="L2990" s="38"/>
      <c r="Z2990" s="38"/>
    </row>
    <row r="2991" spans="12:26" x14ac:dyDescent="0.25">
      <c r="L2991" s="38"/>
      <c r="Z2991" s="38"/>
    </row>
    <row r="2992" spans="12:26" x14ac:dyDescent="0.25">
      <c r="L2992" s="38"/>
      <c r="Z2992" s="38"/>
    </row>
    <row r="2993" spans="12:26" x14ac:dyDescent="0.25">
      <c r="L2993" s="38"/>
      <c r="Z2993" s="38"/>
    </row>
    <row r="2994" spans="12:26" x14ac:dyDescent="0.25">
      <c r="L2994" s="38"/>
      <c r="Z2994" s="38"/>
    </row>
    <row r="2995" spans="12:26" x14ac:dyDescent="0.25">
      <c r="L2995" s="38"/>
      <c r="Z2995" s="38"/>
    </row>
    <row r="2996" spans="12:26" x14ac:dyDescent="0.25">
      <c r="L2996" s="38"/>
      <c r="Z2996" s="38"/>
    </row>
    <row r="2997" spans="12:26" x14ac:dyDescent="0.25">
      <c r="L2997" s="38"/>
      <c r="Z2997" s="38"/>
    </row>
    <row r="2998" spans="12:26" x14ac:dyDescent="0.25">
      <c r="L2998" s="38"/>
      <c r="Z2998" s="38"/>
    </row>
    <row r="2999" spans="12:26" x14ac:dyDescent="0.25">
      <c r="L2999" s="38"/>
      <c r="Z2999" s="38"/>
    </row>
    <row r="3000" spans="12:26" x14ac:dyDescent="0.25">
      <c r="L3000" s="38"/>
      <c r="Z3000" s="38"/>
    </row>
    <row r="3001" spans="12:26" x14ac:dyDescent="0.25">
      <c r="L3001" s="38"/>
      <c r="Z3001" s="38"/>
    </row>
    <row r="3002" spans="12:26" x14ac:dyDescent="0.25">
      <c r="L3002" s="38"/>
      <c r="Z3002" s="38"/>
    </row>
    <row r="3003" spans="12:26" x14ac:dyDescent="0.25">
      <c r="L3003" s="38"/>
      <c r="Z3003" s="38"/>
    </row>
    <row r="3004" spans="12:26" x14ac:dyDescent="0.25">
      <c r="L3004" s="38"/>
      <c r="Z3004" s="38"/>
    </row>
    <row r="3005" spans="12:26" x14ac:dyDescent="0.25">
      <c r="L3005" s="38"/>
      <c r="Z3005" s="38"/>
    </row>
    <row r="3006" spans="12:26" x14ac:dyDescent="0.25">
      <c r="L3006" s="38"/>
      <c r="Z3006" s="38"/>
    </row>
    <row r="3007" spans="12:26" x14ac:dyDescent="0.25">
      <c r="L3007" s="38"/>
      <c r="Z3007" s="38"/>
    </row>
    <row r="3008" spans="12:26" x14ac:dyDescent="0.25">
      <c r="L3008" s="38"/>
      <c r="Z3008" s="38"/>
    </row>
    <row r="3009" spans="12:26" x14ac:dyDescent="0.25">
      <c r="L3009" s="38"/>
      <c r="Z3009" s="38"/>
    </row>
    <row r="3010" spans="12:26" x14ac:dyDescent="0.25">
      <c r="L3010" s="38"/>
      <c r="Z3010" s="38"/>
    </row>
    <row r="3011" spans="12:26" x14ac:dyDescent="0.25">
      <c r="L3011" s="38"/>
      <c r="Z3011" s="38"/>
    </row>
    <row r="3012" spans="12:26" x14ac:dyDescent="0.25">
      <c r="L3012" s="38"/>
      <c r="Z3012" s="38"/>
    </row>
    <row r="3013" spans="12:26" x14ac:dyDescent="0.25">
      <c r="L3013" s="38"/>
      <c r="Z3013" s="38"/>
    </row>
    <row r="3014" spans="12:26" x14ac:dyDescent="0.25">
      <c r="L3014" s="38"/>
      <c r="Z3014" s="38"/>
    </row>
    <row r="3015" spans="12:26" x14ac:dyDescent="0.25">
      <c r="L3015" s="38"/>
      <c r="Z3015" s="38"/>
    </row>
    <row r="3016" spans="12:26" x14ac:dyDescent="0.25">
      <c r="L3016" s="38"/>
      <c r="Z3016" s="38"/>
    </row>
    <row r="3017" spans="12:26" x14ac:dyDescent="0.25">
      <c r="L3017" s="38"/>
      <c r="Z3017" s="38"/>
    </row>
    <row r="3018" spans="12:26" x14ac:dyDescent="0.25">
      <c r="L3018" s="38"/>
      <c r="Z3018" s="38"/>
    </row>
    <row r="3019" spans="12:26" x14ac:dyDescent="0.25">
      <c r="L3019" s="38"/>
      <c r="Z3019" s="38"/>
    </row>
    <row r="3020" spans="12:26" x14ac:dyDescent="0.25">
      <c r="L3020" s="38"/>
      <c r="Z3020" s="38"/>
    </row>
    <row r="3021" spans="12:26" x14ac:dyDescent="0.25">
      <c r="L3021" s="38"/>
      <c r="Z3021" s="38"/>
    </row>
    <row r="3022" spans="12:26" x14ac:dyDescent="0.25">
      <c r="L3022" s="38"/>
      <c r="Z3022" s="38"/>
    </row>
    <row r="3023" spans="12:26" x14ac:dyDescent="0.25">
      <c r="L3023" s="38"/>
      <c r="Z3023" s="38"/>
    </row>
    <row r="3024" spans="12:26" x14ac:dyDescent="0.25">
      <c r="L3024" s="38"/>
      <c r="Z3024" s="38"/>
    </row>
    <row r="3025" spans="12:26" x14ac:dyDescent="0.25">
      <c r="L3025" s="38"/>
      <c r="Z3025" s="38"/>
    </row>
    <row r="3026" spans="12:26" x14ac:dyDescent="0.25">
      <c r="L3026" s="38"/>
      <c r="Z3026" s="38"/>
    </row>
    <row r="3027" spans="12:26" x14ac:dyDescent="0.25">
      <c r="L3027" s="38"/>
      <c r="Z3027" s="38"/>
    </row>
    <row r="3028" spans="12:26" x14ac:dyDescent="0.25">
      <c r="L3028" s="38"/>
      <c r="Z3028" s="38"/>
    </row>
    <row r="3029" spans="12:26" x14ac:dyDescent="0.25">
      <c r="L3029" s="38"/>
      <c r="Z3029" s="38"/>
    </row>
    <row r="3030" spans="12:26" x14ac:dyDescent="0.25">
      <c r="L3030" s="38"/>
      <c r="Z3030" s="38"/>
    </row>
    <row r="3031" spans="12:26" x14ac:dyDescent="0.25">
      <c r="L3031" s="38"/>
      <c r="Z3031" s="38"/>
    </row>
    <row r="3032" spans="12:26" x14ac:dyDescent="0.25">
      <c r="L3032" s="38"/>
      <c r="Z3032" s="38"/>
    </row>
    <row r="3033" spans="12:26" x14ac:dyDescent="0.25">
      <c r="L3033" s="38"/>
      <c r="Z3033" s="38"/>
    </row>
    <row r="3034" spans="12:26" x14ac:dyDescent="0.25">
      <c r="L3034" s="38"/>
      <c r="Z3034" s="38"/>
    </row>
    <row r="3035" spans="12:26" x14ac:dyDescent="0.25">
      <c r="L3035" s="38"/>
      <c r="Z3035" s="38"/>
    </row>
    <row r="3036" spans="12:26" x14ac:dyDescent="0.25">
      <c r="L3036" s="38"/>
      <c r="Z3036" s="38"/>
    </row>
    <row r="3037" spans="12:26" x14ac:dyDescent="0.25">
      <c r="L3037" s="38"/>
      <c r="Z3037" s="38"/>
    </row>
    <row r="3038" spans="12:26" x14ac:dyDescent="0.25">
      <c r="L3038" s="38"/>
      <c r="Z3038" s="38"/>
    </row>
    <row r="3039" spans="12:26" x14ac:dyDescent="0.25">
      <c r="L3039" s="38"/>
      <c r="Z3039" s="38"/>
    </row>
    <row r="3040" spans="12:26" x14ac:dyDescent="0.25">
      <c r="L3040" s="38"/>
      <c r="Z3040" s="38"/>
    </row>
    <row r="3041" spans="12:26" x14ac:dyDescent="0.25">
      <c r="L3041" s="38"/>
      <c r="Z3041" s="38"/>
    </row>
    <row r="3042" spans="12:26" x14ac:dyDescent="0.25">
      <c r="L3042" s="38"/>
      <c r="Z3042" s="38"/>
    </row>
    <row r="3043" spans="12:26" x14ac:dyDescent="0.25">
      <c r="L3043" s="38"/>
      <c r="Z3043" s="38"/>
    </row>
    <row r="3044" spans="12:26" x14ac:dyDescent="0.25">
      <c r="L3044" s="38"/>
      <c r="Z3044" s="38"/>
    </row>
    <row r="3045" spans="12:26" x14ac:dyDescent="0.25">
      <c r="L3045" s="38"/>
      <c r="Z3045" s="38"/>
    </row>
    <row r="3046" spans="12:26" x14ac:dyDescent="0.25">
      <c r="L3046" s="38"/>
      <c r="Z3046" s="38"/>
    </row>
    <row r="3047" spans="12:26" x14ac:dyDescent="0.25">
      <c r="L3047" s="38"/>
      <c r="Z3047" s="38"/>
    </row>
    <row r="3048" spans="12:26" x14ac:dyDescent="0.25">
      <c r="L3048" s="38"/>
      <c r="Z3048" s="38"/>
    </row>
    <row r="3049" spans="12:26" x14ac:dyDescent="0.25">
      <c r="L3049" s="38"/>
      <c r="Z3049" s="38"/>
    </row>
    <row r="3050" spans="12:26" x14ac:dyDescent="0.25">
      <c r="L3050" s="38"/>
      <c r="Z3050" s="38"/>
    </row>
    <row r="3051" spans="12:26" x14ac:dyDescent="0.25">
      <c r="L3051" s="38"/>
      <c r="Z3051" s="38"/>
    </row>
    <row r="3052" spans="12:26" x14ac:dyDescent="0.25">
      <c r="L3052" s="38"/>
      <c r="Z3052" s="38"/>
    </row>
    <row r="3053" spans="12:26" x14ac:dyDescent="0.25">
      <c r="L3053" s="38"/>
      <c r="Z3053" s="38"/>
    </row>
    <row r="3054" spans="12:26" x14ac:dyDescent="0.25">
      <c r="L3054" s="38"/>
      <c r="Z3054" s="38"/>
    </row>
    <row r="3055" spans="12:26" x14ac:dyDescent="0.25">
      <c r="L3055" s="38"/>
      <c r="Z3055" s="38"/>
    </row>
    <row r="3056" spans="12:26" x14ac:dyDescent="0.25">
      <c r="L3056" s="38"/>
      <c r="Z3056" s="38"/>
    </row>
    <row r="3057" spans="12:26" x14ac:dyDescent="0.25">
      <c r="L3057" s="38"/>
      <c r="Z3057" s="38"/>
    </row>
    <row r="3058" spans="12:26" x14ac:dyDescent="0.25">
      <c r="L3058" s="38"/>
      <c r="Z3058" s="38"/>
    </row>
    <row r="3059" spans="12:26" x14ac:dyDescent="0.25">
      <c r="L3059" s="38"/>
      <c r="Z3059" s="38"/>
    </row>
    <row r="3060" spans="12:26" x14ac:dyDescent="0.25">
      <c r="L3060" s="38"/>
      <c r="Z3060" s="38"/>
    </row>
    <row r="3061" spans="12:26" x14ac:dyDescent="0.25">
      <c r="L3061" s="38"/>
      <c r="Z3061" s="38"/>
    </row>
    <row r="3062" spans="12:26" x14ac:dyDescent="0.25">
      <c r="L3062" s="38"/>
      <c r="Z3062" s="38"/>
    </row>
    <row r="3063" spans="12:26" x14ac:dyDescent="0.25">
      <c r="L3063" s="38"/>
      <c r="Z3063" s="38"/>
    </row>
    <row r="3064" spans="12:26" x14ac:dyDescent="0.25">
      <c r="L3064" s="38"/>
      <c r="Z3064" s="38"/>
    </row>
    <row r="3065" spans="12:26" x14ac:dyDescent="0.25">
      <c r="L3065" s="38"/>
      <c r="Z3065" s="38"/>
    </row>
    <row r="3066" spans="12:26" x14ac:dyDescent="0.25">
      <c r="L3066" s="38"/>
      <c r="Z3066" s="38"/>
    </row>
    <row r="3067" spans="12:26" x14ac:dyDescent="0.25">
      <c r="L3067" s="38"/>
      <c r="Z3067" s="38"/>
    </row>
    <row r="3068" spans="12:26" x14ac:dyDescent="0.25">
      <c r="L3068" s="38"/>
      <c r="Z3068" s="38"/>
    </row>
    <row r="3069" spans="12:26" x14ac:dyDescent="0.25">
      <c r="L3069" s="38"/>
      <c r="Z3069" s="38"/>
    </row>
    <row r="3070" spans="12:26" x14ac:dyDescent="0.25">
      <c r="L3070" s="38"/>
      <c r="Z3070" s="38"/>
    </row>
    <row r="3071" spans="12:26" x14ac:dyDescent="0.25">
      <c r="L3071" s="38"/>
      <c r="Z3071" s="38"/>
    </row>
    <row r="3072" spans="12:26" x14ac:dyDescent="0.25">
      <c r="L3072" s="38"/>
      <c r="Z3072" s="38"/>
    </row>
    <row r="3073" spans="12:26" x14ac:dyDescent="0.25">
      <c r="L3073" s="38"/>
      <c r="Z3073" s="38"/>
    </row>
    <row r="3074" spans="12:26" x14ac:dyDescent="0.25">
      <c r="L3074" s="38"/>
      <c r="Z3074" s="38"/>
    </row>
    <row r="3075" spans="12:26" x14ac:dyDescent="0.25">
      <c r="L3075" s="38"/>
      <c r="Z3075" s="38"/>
    </row>
    <row r="3076" spans="12:26" x14ac:dyDescent="0.25">
      <c r="L3076" s="38"/>
      <c r="Z3076" s="38"/>
    </row>
    <row r="3077" spans="12:26" x14ac:dyDescent="0.25">
      <c r="L3077" s="38"/>
      <c r="Z3077" s="38"/>
    </row>
    <row r="3078" spans="12:26" x14ac:dyDescent="0.25">
      <c r="L3078" s="38"/>
      <c r="Z3078" s="38"/>
    </row>
    <row r="3079" spans="12:26" x14ac:dyDescent="0.25">
      <c r="L3079" s="38"/>
      <c r="Z3079" s="38"/>
    </row>
    <row r="3080" spans="12:26" x14ac:dyDescent="0.25">
      <c r="L3080" s="38"/>
      <c r="Z3080" s="38"/>
    </row>
    <row r="3081" spans="12:26" x14ac:dyDescent="0.25">
      <c r="L3081" s="38"/>
      <c r="Z3081" s="38"/>
    </row>
    <row r="3082" spans="12:26" x14ac:dyDescent="0.25">
      <c r="L3082" s="38"/>
      <c r="Z3082" s="38"/>
    </row>
    <row r="3083" spans="12:26" x14ac:dyDescent="0.25">
      <c r="L3083" s="38"/>
      <c r="Z3083" s="38"/>
    </row>
    <row r="3084" spans="12:26" x14ac:dyDescent="0.25">
      <c r="L3084" s="38"/>
      <c r="Z3084" s="38"/>
    </row>
    <row r="3085" spans="12:26" x14ac:dyDescent="0.25">
      <c r="L3085" s="38"/>
      <c r="Z3085" s="38"/>
    </row>
    <row r="3086" spans="12:26" x14ac:dyDescent="0.25">
      <c r="L3086" s="38"/>
      <c r="Z3086" s="38"/>
    </row>
    <row r="3087" spans="12:26" x14ac:dyDescent="0.25">
      <c r="L3087" s="38"/>
      <c r="Z3087" s="38"/>
    </row>
    <row r="3088" spans="12:26" x14ac:dyDescent="0.25">
      <c r="L3088" s="38"/>
      <c r="Z3088" s="38"/>
    </row>
    <row r="3089" spans="12:26" x14ac:dyDescent="0.25">
      <c r="L3089" s="38"/>
      <c r="Z3089" s="38"/>
    </row>
    <row r="3090" spans="12:26" x14ac:dyDescent="0.25">
      <c r="L3090" s="38"/>
      <c r="Z3090" s="38"/>
    </row>
    <row r="3091" spans="12:26" x14ac:dyDescent="0.25">
      <c r="L3091" s="38"/>
      <c r="Z3091" s="38"/>
    </row>
    <row r="3092" spans="12:26" x14ac:dyDescent="0.25">
      <c r="L3092" s="38"/>
      <c r="Z3092" s="38"/>
    </row>
    <row r="3093" spans="12:26" x14ac:dyDescent="0.25">
      <c r="L3093" s="38"/>
      <c r="Z3093" s="38"/>
    </row>
    <row r="3094" spans="12:26" x14ac:dyDescent="0.25">
      <c r="L3094" s="38"/>
      <c r="Z3094" s="38"/>
    </row>
    <row r="3095" spans="12:26" x14ac:dyDescent="0.25">
      <c r="L3095" s="38"/>
      <c r="Z3095" s="38"/>
    </row>
    <row r="3096" spans="12:26" x14ac:dyDescent="0.25">
      <c r="L3096" s="38"/>
      <c r="Z3096" s="38"/>
    </row>
    <row r="3097" spans="12:26" x14ac:dyDescent="0.25">
      <c r="L3097" s="38"/>
      <c r="Z3097" s="38"/>
    </row>
    <row r="3098" spans="12:26" x14ac:dyDescent="0.25">
      <c r="L3098" s="38"/>
      <c r="Z3098" s="38"/>
    </row>
    <row r="3099" spans="12:26" x14ac:dyDescent="0.25">
      <c r="L3099" s="38"/>
      <c r="Z3099" s="38"/>
    </row>
    <row r="3100" spans="12:26" x14ac:dyDescent="0.25">
      <c r="L3100" s="38"/>
      <c r="Z3100" s="38"/>
    </row>
    <row r="3101" spans="12:26" x14ac:dyDescent="0.25">
      <c r="L3101" s="38"/>
      <c r="Z3101" s="38"/>
    </row>
    <row r="3102" spans="12:26" x14ac:dyDescent="0.25">
      <c r="L3102" s="38"/>
      <c r="Z3102" s="38"/>
    </row>
    <row r="3103" spans="12:26" x14ac:dyDescent="0.25">
      <c r="L3103" s="38"/>
      <c r="Z3103" s="38"/>
    </row>
    <row r="3104" spans="12:26" x14ac:dyDescent="0.25">
      <c r="L3104" s="38"/>
      <c r="Z3104" s="38"/>
    </row>
    <row r="3105" spans="12:26" x14ac:dyDescent="0.25">
      <c r="L3105" s="38"/>
      <c r="Z3105" s="38"/>
    </row>
    <row r="3106" spans="12:26" x14ac:dyDescent="0.25">
      <c r="L3106" s="38"/>
      <c r="Z3106" s="38"/>
    </row>
    <row r="3107" spans="12:26" x14ac:dyDescent="0.25">
      <c r="L3107" s="38"/>
      <c r="Z3107" s="38"/>
    </row>
    <row r="3108" spans="12:26" x14ac:dyDescent="0.25">
      <c r="L3108" s="38"/>
      <c r="Z3108" s="38"/>
    </row>
    <row r="3109" spans="12:26" x14ac:dyDescent="0.25">
      <c r="L3109" s="38"/>
      <c r="Z3109" s="38"/>
    </row>
    <row r="3110" spans="12:26" x14ac:dyDescent="0.25">
      <c r="L3110" s="38"/>
      <c r="Z3110" s="38"/>
    </row>
    <row r="3111" spans="12:26" x14ac:dyDescent="0.25">
      <c r="L3111" s="38"/>
      <c r="Z3111" s="38"/>
    </row>
    <row r="3112" spans="12:26" x14ac:dyDescent="0.25">
      <c r="L3112" s="38"/>
      <c r="Z3112" s="38"/>
    </row>
    <row r="3113" spans="12:26" x14ac:dyDescent="0.25">
      <c r="L3113" s="38"/>
      <c r="Z3113" s="38"/>
    </row>
    <row r="3114" spans="12:26" x14ac:dyDescent="0.25">
      <c r="L3114" s="38"/>
      <c r="Z3114" s="38"/>
    </row>
    <row r="3115" spans="12:26" x14ac:dyDescent="0.25">
      <c r="L3115" s="38"/>
      <c r="Z3115" s="38"/>
    </row>
    <row r="3116" spans="12:26" x14ac:dyDescent="0.25">
      <c r="L3116" s="38"/>
      <c r="Z3116" s="38"/>
    </row>
    <row r="3117" spans="12:26" x14ac:dyDescent="0.25">
      <c r="L3117" s="38"/>
      <c r="Z3117" s="38"/>
    </row>
    <row r="3118" spans="12:26" x14ac:dyDescent="0.25">
      <c r="L3118" s="38"/>
      <c r="Z3118" s="38"/>
    </row>
    <row r="3119" spans="12:26" x14ac:dyDescent="0.25">
      <c r="L3119" s="38"/>
      <c r="Z3119" s="38"/>
    </row>
    <row r="3120" spans="12:26" x14ac:dyDescent="0.25">
      <c r="L3120" s="38"/>
      <c r="Z3120" s="38"/>
    </row>
    <row r="3121" spans="12:26" x14ac:dyDescent="0.25">
      <c r="L3121" s="38"/>
      <c r="Z3121" s="38"/>
    </row>
    <row r="3122" spans="12:26" x14ac:dyDescent="0.25">
      <c r="L3122" s="38"/>
      <c r="Z3122" s="38"/>
    </row>
    <row r="3123" spans="12:26" x14ac:dyDescent="0.25">
      <c r="L3123" s="38"/>
      <c r="Z3123" s="38"/>
    </row>
    <row r="3124" spans="12:26" x14ac:dyDescent="0.25">
      <c r="L3124" s="38"/>
      <c r="Z3124" s="38"/>
    </row>
    <row r="3125" spans="12:26" x14ac:dyDescent="0.25">
      <c r="L3125" s="38"/>
      <c r="Z3125" s="38"/>
    </row>
    <row r="3126" spans="12:26" x14ac:dyDescent="0.25">
      <c r="L3126" s="38"/>
      <c r="Z3126" s="38"/>
    </row>
    <row r="3127" spans="12:26" x14ac:dyDescent="0.25">
      <c r="L3127" s="38"/>
      <c r="Z3127" s="38"/>
    </row>
    <row r="3128" spans="12:26" x14ac:dyDescent="0.25">
      <c r="L3128" s="38"/>
      <c r="Z3128" s="38"/>
    </row>
    <row r="3129" spans="12:26" x14ac:dyDescent="0.25">
      <c r="L3129" s="38"/>
      <c r="Z3129" s="38"/>
    </row>
    <row r="3130" spans="12:26" x14ac:dyDescent="0.25">
      <c r="L3130" s="38"/>
      <c r="Z3130" s="38"/>
    </row>
    <row r="3131" spans="12:26" x14ac:dyDescent="0.25">
      <c r="L3131" s="38"/>
      <c r="Z3131" s="38"/>
    </row>
    <row r="3132" spans="12:26" x14ac:dyDescent="0.25">
      <c r="L3132" s="38"/>
      <c r="Z3132" s="38"/>
    </row>
    <row r="3133" spans="12:26" x14ac:dyDescent="0.25">
      <c r="L3133" s="38"/>
      <c r="Z3133" s="38"/>
    </row>
    <row r="3134" spans="12:26" x14ac:dyDescent="0.25">
      <c r="L3134" s="38"/>
      <c r="Z3134" s="38"/>
    </row>
    <row r="3135" spans="12:26" x14ac:dyDescent="0.25">
      <c r="L3135" s="38"/>
      <c r="Z3135" s="38"/>
    </row>
    <row r="3136" spans="12:26" x14ac:dyDescent="0.25">
      <c r="L3136" s="38"/>
      <c r="Z3136" s="38"/>
    </row>
    <row r="3137" spans="12:26" x14ac:dyDescent="0.25">
      <c r="L3137" s="38"/>
      <c r="Z3137" s="38"/>
    </row>
    <row r="3138" spans="12:26" x14ac:dyDescent="0.25">
      <c r="L3138" s="38"/>
      <c r="Z3138" s="38"/>
    </row>
    <row r="3139" spans="12:26" x14ac:dyDescent="0.25">
      <c r="L3139" s="38"/>
      <c r="Z3139" s="38"/>
    </row>
    <row r="3140" spans="12:26" x14ac:dyDescent="0.25">
      <c r="L3140" s="38"/>
      <c r="Z3140" s="38"/>
    </row>
    <row r="3141" spans="12:26" x14ac:dyDescent="0.25">
      <c r="L3141" s="38"/>
      <c r="Z3141" s="38"/>
    </row>
    <row r="3142" spans="12:26" x14ac:dyDescent="0.25">
      <c r="L3142" s="38"/>
      <c r="Z3142" s="38"/>
    </row>
    <row r="3143" spans="12:26" x14ac:dyDescent="0.25">
      <c r="L3143" s="38"/>
      <c r="Z3143" s="38"/>
    </row>
    <row r="3144" spans="12:26" x14ac:dyDescent="0.25">
      <c r="L3144" s="38"/>
      <c r="Z3144" s="38"/>
    </row>
    <row r="3145" spans="12:26" x14ac:dyDescent="0.25">
      <c r="L3145" s="38"/>
      <c r="Z3145" s="38"/>
    </row>
    <row r="3146" spans="12:26" x14ac:dyDescent="0.25">
      <c r="L3146" s="38"/>
      <c r="Z3146" s="38"/>
    </row>
    <row r="3147" spans="12:26" x14ac:dyDescent="0.25">
      <c r="L3147" s="38"/>
      <c r="Z3147" s="38"/>
    </row>
    <row r="3148" spans="12:26" x14ac:dyDescent="0.25">
      <c r="L3148" s="38"/>
      <c r="Z3148" s="38"/>
    </row>
    <row r="3149" spans="12:26" x14ac:dyDescent="0.25">
      <c r="L3149" s="38"/>
      <c r="Z3149" s="38"/>
    </row>
    <row r="3150" spans="12:26" x14ac:dyDescent="0.25">
      <c r="L3150" s="38"/>
      <c r="Z3150" s="38"/>
    </row>
    <row r="3151" spans="12:26" x14ac:dyDescent="0.25">
      <c r="L3151" s="38"/>
      <c r="Z3151" s="38"/>
    </row>
    <row r="3152" spans="12:26" x14ac:dyDescent="0.25">
      <c r="L3152" s="38"/>
      <c r="Z3152" s="38"/>
    </row>
    <row r="3153" spans="12:26" x14ac:dyDescent="0.25">
      <c r="L3153" s="38"/>
      <c r="Z3153" s="38"/>
    </row>
    <row r="3154" spans="12:26" x14ac:dyDescent="0.25">
      <c r="L3154" s="38"/>
      <c r="Z3154" s="38"/>
    </row>
    <row r="3155" spans="12:26" x14ac:dyDescent="0.25">
      <c r="L3155" s="38"/>
      <c r="Z3155" s="38"/>
    </row>
    <row r="3156" spans="12:26" x14ac:dyDescent="0.25">
      <c r="L3156" s="38"/>
      <c r="Z3156" s="38"/>
    </row>
    <row r="3157" spans="12:26" x14ac:dyDescent="0.25">
      <c r="L3157" s="38"/>
      <c r="Z3157" s="38"/>
    </row>
    <row r="3158" spans="12:26" x14ac:dyDescent="0.25">
      <c r="L3158" s="38"/>
      <c r="Z3158" s="38"/>
    </row>
    <row r="3159" spans="12:26" x14ac:dyDescent="0.25">
      <c r="L3159" s="38"/>
      <c r="Z3159" s="38"/>
    </row>
    <row r="3160" spans="12:26" x14ac:dyDescent="0.25">
      <c r="L3160" s="38"/>
      <c r="Z3160" s="38"/>
    </row>
    <row r="3161" spans="12:26" x14ac:dyDescent="0.25">
      <c r="L3161" s="38"/>
      <c r="Z3161" s="38"/>
    </row>
    <row r="3162" spans="12:26" x14ac:dyDescent="0.25">
      <c r="L3162" s="38"/>
      <c r="Z3162" s="38"/>
    </row>
    <row r="3163" spans="12:26" x14ac:dyDescent="0.25">
      <c r="L3163" s="38"/>
      <c r="Z3163" s="38"/>
    </row>
    <row r="3164" spans="12:26" x14ac:dyDescent="0.25">
      <c r="L3164" s="38"/>
      <c r="Z3164" s="38"/>
    </row>
    <row r="3165" spans="12:26" x14ac:dyDescent="0.25">
      <c r="L3165" s="38"/>
      <c r="Z3165" s="38"/>
    </row>
    <row r="3166" spans="12:26" x14ac:dyDescent="0.25">
      <c r="L3166" s="38"/>
      <c r="Z3166" s="38"/>
    </row>
    <row r="3167" spans="12:26" x14ac:dyDescent="0.25">
      <c r="L3167" s="38"/>
      <c r="Z3167" s="38"/>
    </row>
    <row r="3168" spans="12:26" x14ac:dyDescent="0.25">
      <c r="L3168" s="38"/>
      <c r="Z3168" s="38"/>
    </row>
    <row r="3169" spans="12:26" x14ac:dyDescent="0.25">
      <c r="L3169" s="38"/>
      <c r="Z3169" s="38"/>
    </row>
    <row r="3170" spans="12:26" x14ac:dyDescent="0.25">
      <c r="L3170" s="38"/>
      <c r="Z3170" s="38"/>
    </row>
    <row r="3171" spans="12:26" x14ac:dyDescent="0.25">
      <c r="L3171" s="38"/>
      <c r="Z3171" s="38"/>
    </row>
    <row r="3172" spans="12:26" x14ac:dyDescent="0.25">
      <c r="L3172" s="38"/>
      <c r="Z3172" s="38"/>
    </row>
    <row r="3173" spans="12:26" x14ac:dyDescent="0.25">
      <c r="L3173" s="38"/>
      <c r="Z3173" s="38"/>
    </row>
    <row r="3174" spans="12:26" x14ac:dyDescent="0.25">
      <c r="L3174" s="38"/>
      <c r="Z3174" s="38"/>
    </row>
    <row r="3175" spans="12:26" x14ac:dyDescent="0.25">
      <c r="L3175" s="38"/>
      <c r="Z3175" s="38"/>
    </row>
    <row r="3176" spans="12:26" x14ac:dyDescent="0.25">
      <c r="L3176" s="38"/>
      <c r="Z3176" s="38"/>
    </row>
    <row r="3177" spans="12:26" x14ac:dyDescent="0.25">
      <c r="L3177" s="38"/>
      <c r="Z3177" s="38"/>
    </row>
    <row r="3178" spans="12:26" x14ac:dyDescent="0.25">
      <c r="L3178" s="38"/>
      <c r="Z3178" s="38"/>
    </row>
    <row r="3179" spans="12:26" x14ac:dyDescent="0.25">
      <c r="L3179" s="38"/>
      <c r="Z3179" s="38"/>
    </row>
    <row r="3180" spans="12:26" x14ac:dyDescent="0.25">
      <c r="L3180" s="38"/>
      <c r="Z3180" s="38"/>
    </row>
    <row r="3181" spans="12:26" x14ac:dyDescent="0.25">
      <c r="L3181" s="38"/>
      <c r="Z3181" s="38"/>
    </row>
    <row r="3182" spans="12:26" x14ac:dyDescent="0.25">
      <c r="L3182" s="38"/>
      <c r="Z3182" s="38"/>
    </row>
    <row r="3183" spans="12:26" x14ac:dyDescent="0.25">
      <c r="L3183" s="38"/>
      <c r="Z3183" s="38"/>
    </row>
    <row r="3184" spans="12:26" x14ac:dyDescent="0.25">
      <c r="L3184" s="38"/>
      <c r="Z3184" s="38"/>
    </row>
    <row r="3185" spans="12:26" x14ac:dyDescent="0.25">
      <c r="L3185" s="38"/>
      <c r="Z3185" s="38"/>
    </row>
    <row r="3186" spans="12:26" x14ac:dyDescent="0.25">
      <c r="L3186" s="38"/>
      <c r="Z3186" s="38"/>
    </row>
    <row r="3187" spans="12:26" x14ac:dyDescent="0.25">
      <c r="L3187" s="38"/>
      <c r="Z3187" s="38"/>
    </row>
    <row r="3188" spans="12:26" x14ac:dyDescent="0.25">
      <c r="L3188" s="38"/>
      <c r="Z3188" s="38"/>
    </row>
    <row r="3189" spans="12:26" x14ac:dyDescent="0.25">
      <c r="L3189" s="38"/>
      <c r="Z3189" s="38"/>
    </row>
    <row r="3190" spans="12:26" x14ac:dyDescent="0.25">
      <c r="L3190" s="38"/>
      <c r="Z3190" s="38"/>
    </row>
    <row r="3191" spans="12:26" x14ac:dyDescent="0.25">
      <c r="L3191" s="38"/>
      <c r="Z3191" s="38"/>
    </row>
    <row r="3192" spans="12:26" x14ac:dyDescent="0.25">
      <c r="L3192" s="38"/>
      <c r="Z3192" s="38"/>
    </row>
    <row r="3193" spans="12:26" x14ac:dyDescent="0.25">
      <c r="L3193" s="38"/>
      <c r="Z3193" s="38"/>
    </row>
    <row r="3194" spans="12:26" x14ac:dyDescent="0.25">
      <c r="L3194" s="38"/>
      <c r="Z3194" s="38"/>
    </row>
    <row r="3195" spans="12:26" x14ac:dyDescent="0.25">
      <c r="L3195" s="38"/>
      <c r="Z3195" s="38"/>
    </row>
    <row r="3196" spans="12:26" x14ac:dyDescent="0.25">
      <c r="L3196" s="38"/>
      <c r="Z3196" s="38"/>
    </row>
    <row r="3197" spans="12:26" x14ac:dyDescent="0.25">
      <c r="L3197" s="38"/>
      <c r="Z3197" s="38"/>
    </row>
    <row r="3198" spans="12:26" x14ac:dyDescent="0.25">
      <c r="L3198" s="38"/>
      <c r="Z3198" s="38"/>
    </row>
    <row r="3199" spans="12:26" x14ac:dyDescent="0.25">
      <c r="L3199" s="38"/>
      <c r="Z3199" s="38"/>
    </row>
    <row r="3200" spans="12:26" x14ac:dyDescent="0.25">
      <c r="L3200" s="38"/>
      <c r="Z3200" s="38"/>
    </row>
    <row r="3201" spans="12:26" x14ac:dyDescent="0.25">
      <c r="L3201" s="38"/>
      <c r="Z3201" s="38"/>
    </row>
    <row r="3202" spans="12:26" x14ac:dyDescent="0.25">
      <c r="L3202" s="38"/>
      <c r="Z3202" s="38"/>
    </row>
    <row r="3203" spans="12:26" x14ac:dyDescent="0.25">
      <c r="L3203" s="38"/>
      <c r="Z3203" s="38"/>
    </row>
    <row r="3204" spans="12:26" x14ac:dyDescent="0.25">
      <c r="L3204" s="38"/>
      <c r="Z3204" s="38"/>
    </row>
    <row r="3205" spans="12:26" x14ac:dyDescent="0.25">
      <c r="L3205" s="38"/>
      <c r="Z3205" s="38"/>
    </row>
    <row r="3206" spans="12:26" x14ac:dyDescent="0.25">
      <c r="L3206" s="38"/>
      <c r="Z3206" s="38"/>
    </row>
    <row r="3207" spans="12:26" x14ac:dyDescent="0.25">
      <c r="L3207" s="38"/>
      <c r="Z3207" s="38"/>
    </row>
    <row r="3208" spans="12:26" x14ac:dyDescent="0.25">
      <c r="L3208" s="38"/>
      <c r="Z3208" s="38"/>
    </row>
    <row r="3209" spans="12:26" x14ac:dyDescent="0.25">
      <c r="L3209" s="38"/>
      <c r="Z3209" s="38"/>
    </row>
    <row r="3210" spans="12:26" x14ac:dyDescent="0.25">
      <c r="L3210" s="38"/>
      <c r="Z3210" s="38"/>
    </row>
    <row r="3211" spans="12:26" x14ac:dyDescent="0.25">
      <c r="L3211" s="38"/>
      <c r="Z3211" s="38"/>
    </row>
    <row r="3212" spans="12:26" x14ac:dyDescent="0.25">
      <c r="L3212" s="38"/>
      <c r="Z3212" s="38"/>
    </row>
    <row r="3213" spans="12:26" x14ac:dyDescent="0.25">
      <c r="L3213" s="38"/>
      <c r="Z3213" s="38"/>
    </row>
    <row r="3214" spans="12:26" x14ac:dyDescent="0.25">
      <c r="L3214" s="38"/>
      <c r="Z3214" s="38"/>
    </row>
    <row r="3215" spans="12:26" x14ac:dyDescent="0.25">
      <c r="L3215" s="38"/>
      <c r="Z3215" s="38"/>
    </row>
    <row r="3216" spans="12:26" x14ac:dyDescent="0.25">
      <c r="L3216" s="38"/>
      <c r="Z3216" s="38"/>
    </row>
    <row r="3217" spans="12:26" x14ac:dyDescent="0.25">
      <c r="L3217" s="38"/>
      <c r="Z3217" s="38"/>
    </row>
    <row r="3218" spans="12:26" x14ac:dyDescent="0.25">
      <c r="L3218" s="38"/>
      <c r="Z3218" s="38"/>
    </row>
    <row r="3219" spans="12:26" x14ac:dyDescent="0.25">
      <c r="L3219" s="38"/>
      <c r="Z3219" s="38"/>
    </row>
    <row r="3220" spans="12:26" x14ac:dyDescent="0.25">
      <c r="L3220" s="38"/>
      <c r="Z3220" s="38"/>
    </row>
    <row r="3221" spans="12:26" x14ac:dyDescent="0.25">
      <c r="L3221" s="38"/>
      <c r="Z3221" s="38"/>
    </row>
    <row r="3222" spans="12:26" x14ac:dyDescent="0.25">
      <c r="L3222" s="38"/>
      <c r="Z3222" s="38"/>
    </row>
    <row r="3223" spans="12:26" x14ac:dyDescent="0.25">
      <c r="L3223" s="38"/>
      <c r="Z3223" s="38"/>
    </row>
    <row r="3224" spans="12:26" x14ac:dyDescent="0.25">
      <c r="L3224" s="38"/>
      <c r="Z3224" s="38"/>
    </row>
    <row r="3225" spans="12:26" x14ac:dyDescent="0.25">
      <c r="L3225" s="38"/>
      <c r="Z3225" s="38"/>
    </row>
    <row r="3226" spans="12:26" x14ac:dyDescent="0.25">
      <c r="L3226" s="38"/>
      <c r="Z3226" s="38"/>
    </row>
    <row r="3227" spans="12:26" x14ac:dyDescent="0.25">
      <c r="L3227" s="38"/>
      <c r="Z3227" s="38"/>
    </row>
    <row r="3228" spans="12:26" x14ac:dyDescent="0.25">
      <c r="L3228" s="38"/>
      <c r="Z3228" s="38"/>
    </row>
    <row r="3229" spans="12:26" x14ac:dyDescent="0.25">
      <c r="L3229" s="38"/>
      <c r="Z3229" s="38"/>
    </row>
    <row r="3230" spans="12:26" x14ac:dyDescent="0.25">
      <c r="L3230" s="38"/>
      <c r="Z3230" s="38"/>
    </row>
    <row r="3231" spans="12:26" x14ac:dyDescent="0.25">
      <c r="L3231" s="38"/>
      <c r="Z3231" s="38"/>
    </row>
    <row r="3232" spans="12:26" x14ac:dyDescent="0.25">
      <c r="L3232" s="38"/>
      <c r="Z3232" s="38"/>
    </row>
    <row r="3233" spans="12:26" x14ac:dyDescent="0.25">
      <c r="L3233" s="38"/>
      <c r="Z3233" s="38"/>
    </row>
    <row r="3234" spans="12:26" x14ac:dyDescent="0.25">
      <c r="L3234" s="38"/>
      <c r="Z3234" s="38"/>
    </row>
    <row r="3235" spans="12:26" x14ac:dyDescent="0.25">
      <c r="L3235" s="38"/>
      <c r="Z3235" s="38"/>
    </row>
    <row r="3236" spans="12:26" x14ac:dyDescent="0.25">
      <c r="L3236" s="38"/>
      <c r="Z3236" s="38"/>
    </row>
    <row r="3237" spans="12:26" x14ac:dyDescent="0.25">
      <c r="L3237" s="38"/>
      <c r="Z3237" s="38"/>
    </row>
    <row r="3238" spans="12:26" x14ac:dyDescent="0.25">
      <c r="L3238" s="38"/>
      <c r="Z3238" s="38"/>
    </row>
    <row r="3239" spans="12:26" x14ac:dyDescent="0.25">
      <c r="L3239" s="38"/>
      <c r="Z3239" s="38"/>
    </row>
    <row r="3240" spans="12:26" x14ac:dyDescent="0.25">
      <c r="L3240" s="38"/>
      <c r="Z3240" s="38"/>
    </row>
    <row r="3241" spans="12:26" x14ac:dyDescent="0.25">
      <c r="L3241" s="38"/>
      <c r="Z3241" s="38"/>
    </row>
    <row r="3242" spans="12:26" x14ac:dyDescent="0.25">
      <c r="L3242" s="38"/>
      <c r="Z3242" s="38"/>
    </row>
    <row r="3243" spans="12:26" x14ac:dyDescent="0.25">
      <c r="L3243" s="38"/>
      <c r="Z3243" s="38"/>
    </row>
    <row r="3244" spans="12:26" x14ac:dyDescent="0.25">
      <c r="L3244" s="38"/>
      <c r="Z3244" s="38"/>
    </row>
    <row r="3245" spans="12:26" x14ac:dyDescent="0.25">
      <c r="L3245" s="38"/>
      <c r="Z3245" s="38"/>
    </row>
    <row r="3246" spans="12:26" x14ac:dyDescent="0.25">
      <c r="L3246" s="38"/>
      <c r="Z3246" s="38"/>
    </row>
    <row r="3247" spans="12:26" x14ac:dyDescent="0.25">
      <c r="L3247" s="38"/>
      <c r="Z3247" s="38"/>
    </row>
    <row r="3248" spans="12:26" x14ac:dyDescent="0.25">
      <c r="L3248" s="38"/>
      <c r="Z3248" s="38"/>
    </row>
    <row r="3249" spans="12:26" x14ac:dyDescent="0.25">
      <c r="L3249" s="38"/>
      <c r="Z3249" s="38"/>
    </row>
    <row r="3250" spans="12:26" x14ac:dyDescent="0.25">
      <c r="L3250" s="38"/>
      <c r="Z3250" s="38"/>
    </row>
    <row r="3251" spans="12:26" x14ac:dyDescent="0.25">
      <c r="L3251" s="38"/>
      <c r="Z3251" s="38"/>
    </row>
    <row r="3252" spans="12:26" x14ac:dyDescent="0.25">
      <c r="L3252" s="38"/>
      <c r="Z3252" s="38"/>
    </row>
    <row r="3253" spans="12:26" x14ac:dyDescent="0.25">
      <c r="L3253" s="38"/>
      <c r="Z3253" s="38"/>
    </row>
    <row r="3254" spans="12:26" x14ac:dyDescent="0.25">
      <c r="L3254" s="38"/>
      <c r="Z3254" s="38"/>
    </row>
    <row r="3255" spans="12:26" x14ac:dyDescent="0.25">
      <c r="L3255" s="38"/>
      <c r="Z3255" s="38"/>
    </row>
    <row r="3256" spans="12:26" x14ac:dyDescent="0.25">
      <c r="L3256" s="38"/>
      <c r="Z3256" s="38"/>
    </row>
    <row r="3257" spans="12:26" x14ac:dyDescent="0.25">
      <c r="L3257" s="38"/>
      <c r="Z3257" s="38"/>
    </row>
    <row r="3258" spans="12:26" x14ac:dyDescent="0.25">
      <c r="L3258" s="38"/>
      <c r="Z3258" s="38"/>
    </row>
    <row r="3259" spans="12:26" x14ac:dyDescent="0.25">
      <c r="L3259" s="38"/>
      <c r="Z3259" s="38"/>
    </row>
    <row r="3260" spans="12:26" x14ac:dyDescent="0.25">
      <c r="L3260" s="38"/>
      <c r="Z3260" s="38"/>
    </row>
    <row r="3261" spans="12:26" x14ac:dyDescent="0.25">
      <c r="L3261" s="38"/>
      <c r="Z3261" s="38"/>
    </row>
    <row r="3262" spans="12:26" x14ac:dyDescent="0.25">
      <c r="L3262" s="38"/>
      <c r="Z3262" s="38"/>
    </row>
    <row r="3263" spans="12:26" x14ac:dyDescent="0.25">
      <c r="L3263" s="38"/>
      <c r="Z3263" s="38"/>
    </row>
    <row r="3264" spans="12:26" x14ac:dyDescent="0.25">
      <c r="L3264" s="38"/>
      <c r="Z3264" s="38"/>
    </row>
    <row r="3265" spans="12:26" x14ac:dyDescent="0.25">
      <c r="L3265" s="38"/>
      <c r="Z3265" s="38"/>
    </row>
    <row r="3266" spans="12:26" x14ac:dyDescent="0.25">
      <c r="L3266" s="38"/>
      <c r="Z3266" s="38"/>
    </row>
    <row r="3267" spans="12:26" x14ac:dyDescent="0.25">
      <c r="L3267" s="38"/>
      <c r="Z3267" s="38"/>
    </row>
    <row r="3268" spans="12:26" x14ac:dyDescent="0.25">
      <c r="L3268" s="38"/>
      <c r="Z3268" s="38"/>
    </row>
    <row r="3269" spans="12:26" x14ac:dyDescent="0.25">
      <c r="L3269" s="38"/>
      <c r="Z3269" s="38"/>
    </row>
    <row r="3270" spans="12:26" x14ac:dyDescent="0.25">
      <c r="L3270" s="38"/>
      <c r="Z3270" s="38"/>
    </row>
    <row r="3271" spans="12:26" x14ac:dyDescent="0.25">
      <c r="L3271" s="38"/>
      <c r="Z3271" s="38"/>
    </row>
    <row r="3272" spans="12:26" x14ac:dyDescent="0.25">
      <c r="L3272" s="38"/>
      <c r="Z3272" s="38"/>
    </row>
    <row r="3273" spans="12:26" x14ac:dyDescent="0.25">
      <c r="L3273" s="38"/>
      <c r="Z3273" s="38"/>
    </row>
    <row r="3274" spans="12:26" x14ac:dyDescent="0.25">
      <c r="L3274" s="38"/>
      <c r="Z3274" s="38"/>
    </row>
    <row r="3275" spans="12:26" x14ac:dyDescent="0.25">
      <c r="L3275" s="38"/>
      <c r="Z3275" s="38"/>
    </row>
    <row r="3276" spans="12:26" x14ac:dyDescent="0.25">
      <c r="L3276" s="38"/>
      <c r="Z3276" s="38"/>
    </row>
    <row r="3277" spans="12:26" x14ac:dyDescent="0.25">
      <c r="L3277" s="38"/>
      <c r="Z3277" s="38"/>
    </row>
    <row r="3278" spans="12:26" x14ac:dyDescent="0.25">
      <c r="L3278" s="38"/>
      <c r="Z3278" s="38"/>
    </row>
    <row r="3279" spans="12:26" x14ac:dyDescent="0.25">
      <c r="L3279" s="38"/>
      <c r="Z3279" s="38"/>
    </row>
    <row r="3280" spans="12:26" x14ac:dyDescent="0.25">
      <c r="L3280" s="38"/>
      <c r="Z3280" s="38"/>
    </row>
    <row r="3281" spans="12:26" x14ac:dyDescent="0.25">
      <c r="L3281" s="38"/>
      <c r="Z3281" s="38"/>
    </row>
    <row r="3282" spans="12:26" x14ac:dyDescent="0.25">
      <c r="L3282" s="38"/>
      <c r="Z3282" s="38"/>
    </row>
    <row r="3283" spans="12:26" x14ac:dyDescent="0.25">
      <c r="L3283" s="38"/>
      <c r="Z3283" s="38"/>
    </row>
    <row r="3284" spans="12:26" x14ac:dyDescent="0.25">
      <c r="L3284" s="38"/>
      <c r="Z3284" s="38"/>
    </row>
    <row r="3285" spans="12:26" x14ac:dyDescent="0.25">
      <c r="L3285" s="38"/>
      <c r="Z3285" s="38"/>
    </row>
    <row r="3286" spans="12:26" x14ac:dyDescent="0.25">
      <c r="L3286" s="38"/>
      <c r="Z3286" s="38"/>
    </row>
    <row r="3287" spans="12:26" x14ac:dyDescent="0.25">
      <c r="L3287" s="38"/>
      <c r="Z3287" s="38"/>
    </row>
    <row r="3288" spans="12:26" x14ac:dyDescent="0.25">
      <c r="L3288" s="38"/>
      <c r="Z3288" s="38"/>
    </row>
    <row r="3289" spans="12:26" x14ac:dyDescent="0.25">
      <c r="L3289" s="38"/>
      <c r="Z3289" s="38"/>
    </row>
    <row r="3290" spans="12:26" x14ac:dyDescent="0.25">
      <c r="L3290" s="38"/>
      <c r="Z3290" s="38"/>
    </row>
    <row r="3291" spans="12:26" x14ac:dyDescent="0.25">
      <c r="L3291" s="38"/>
      <c r="Z3291" s="38"/>
    </row>
    <row r="3292" spans="12:26" x14ac:dyDescent="0.25">
      <c r="L3292" s="38"/>
      <c r="Z3292" s="38"/>
    </row>
    <row r="3293" spans="12:26" x14ac:dyDescent="0.25">
      <c r="L3293" s="38"/>
      <c r="Z3293" s="38"/>
    </row>
    <row r="3294" spans="12:26" x14ac:dyDescent="0.25">
      <c r="L3294" s="38"/>
      <c r="Z3294" s="38"/>
    </row>
    <row r="3295" spans="12:26" x14ac:dyDescent="0.25">
      <c r="L3295" s="38"/>
      <c r="Z3295" s="38"/>
    </row>
    <row r="3296" spans="12:26" x14ac:dyDescent="0.25">
      <c r="L3296" s="38"/>
      <c r="Z3296" s="38"/>
    </row>
    <row r="3297" spans="12:26" x14ac:dyDescent="0.25">
      <c r="L3297" s="38"/>
      <c r="Z3297" s="38"/>
    </row>
    <row r="3298" spans="12:26" x14ac:dyDescent="0.25">
      <c r="L3298" s="38"/>
      <c r="Z3298" s="38"/>
    </row>
    <row r="3299" spans="12:26" x14ac:dyDescent="0.25">
      <c r="L3299" s="38"/>
      <c r="Z3299" s="38"/>
    </row>
    <row r="3300" spans="12:26" x14ac:dyDescent="0.25">
      <c r="L3300" s="38"/>
      <c r="Z3300" s="38"/>
    </row>
    <row r="3301" spans="12:26" x14ac:dyDescent="0.25">
      <c r="L3301" s="38"/>
      <c r="Z3301" s="38"/>
    </row>
    <row r="3302" spans="12:26" x14ac:dyDescent="0.25">
      <c r="L3302" s="38"/>
      <c r="Z3302" s="38"/>
    </row>
    <row r="3303" spans="12:26" x14ac:dyDescent="0.25">
      <c r="L3303" s="38"/>
      <c r="Z3303" s="38"/>
    </row>
    <row r="3304" spans="12:26" x14ac:dyDescent="0.25">
      <c r="L3304" s="38"/>
      <c r="Z3304" s="38"/>
    </row>
    <row r="3305" spans="12:26" x14ac:dyDescent="0.25">
      <c r="L3305" s="38"/>
      <c r="Z3305" s="38"/>
    </row>
    <row r="3306" spans="12:26" x14ac:dyDescent="0.25">
      <c r="L3306" s="38"/>
      <c r="Z3306" s="38"/>
    </row>
    <row r="3307" spans="12:26" x14ac:dyDescent="0.25">
      <c r="L3307" s="38"/>
      <c r="Z3307" s="38"/>
    </row>
    <row r="3308" spans="12:26" x14ac:dyDescent="0.25">
      <c r="L3308" s="38"/>
      <c r="Z3308" s="38"/>
    </row>
    <row r="3309" spans="12:26" x14ac:dyDescent="0.25">
      <c r="L3309" s="38"/>
      <c r="Z3309" s="38"/>
    </row>
    <row r="3310" spans="12:26" x14ac:dyDescent="0.25">
      <c r="L3310" s="38"/>
      <c r="Z3310" s="38"/>
    </row>
    <row r="3311" spans="12:26" x14ac:dyDescent="0.25">
      <c r="L3311" s="38"/>
      <c r="Z3311" s="38"/>
    </row>
    <row r="3312" spans="12:26" x14ac:dyDescent="0.25">
      <c r="L3312" s="38"/>
      <c r="Z3312" s="38"/>
    </row>
    <row r="3313" spans="12:26" x14ac:dyDescent="0.25">
      <c r="L3313" s="38"/>
      <c r="Z3313" s="38"/>
    </row>
    <row r="3314" spans="12:26" x14ac:dyDescent="0.25">
      <c r="L3314" s="38"/>
      <c r="Z3314" s="38"/>
    </row>
    <row r="3315" spans="12:26" x14ac:dyDescent="0.25">
      <c r="L3315" s="38"/>
      <c r="Z3315" s="38"/>
    </row>
    <row r="3316" spans="12:26" x14ac:dyDescent="0.25">
      <c r="L3316" s="38"/>
      <c r="Z3316" s="38"/>
    </row>
    <row r="3317" spans="12:26" x14ac:dyDescent="0.25">
      <c r="L3317" s="38"/>
      <c r="Z3317" s="38"/>
    </row>
    <row r="3318" spans="12:26" x14ac:dyDescent="0.25">
      <c r="L3318" s="38"/>
      <c r="Z3318" s="38"/>
    </row>
    <row r="3319" spans="12:26" x14ac:dyDescent="0.25">
      <c r="L3319" s="38"/>
      <c r="Z3319" s="38"/>
    </row>
    <row r="3320" spans="12:26" x14ac:dyDescent="0.25">
      <c r="L3320" s="38"/>
      <c r="Z3320" s="38"/>
    </row>
    <row r="3321" spans="12:26" x14ac:dyDescent="0.25">
      <c r="L3321" s="38"/>
      <c r="Z3321" s="38"/>
    </row>
    <row r="3322" spans="12:26" x14ac:dyDescent="0.25">
      <c r="L3322" s="38"/>
      <c r="Z3322" s="38"/>
    </row>
    <row r="3323" spans="12:26" x14ac:dyDescent="0.25">
      <c r="L3323" s="38"/>
      <c r="Z3323" s="38"/>
    </row>
    <row r="3324" spans="12:26" x14ac:dyDescent="0.25">
      <c r="L3324" s="38"/>
      <c r="Z3324" s="38"/>
    </row>
    <row r="3325" spans="12:26" x14ac:dyDescent="0.25">
      <c r="L3325" s="38"/>
      <c r="Z3325" s="38"/>
    </row>
    <row r="3326" spans="12:26" x14ac:dyDescent="0.25">
      <c r="L3326" s="38"/>
      <c r="Z3326" s="38"/>
    </row>
    <row r="3327" spans="12:26" x14ac:dyDescent="0.25">
      <c r="L3327" s="38"/>
      <c r="Z3327" s="38"/>
    </row>
    <row r="3328" spans="12:26" x14ac:dyDescent="0.25">
      <c r="L3328" s="38"/>
      <c r="Z3328" s="38"/>
    </row>
    <row r="3329" spans="12:26" x14ac:dyDescent="0.25">
      <c r="L3329" s="38"/>
      <c r="Z3329" s="38"/>
    </row>
    <row r="3330" spans="12:26" x14ac:dyDescent="0.25">
      <c r="L3330" s="38"/>
      <c r="Z3330" s="38"/>
    </row>
    <row r="3331" spans="12:26" x14ac:dyDescent="0.25">
      <c r="L3331" s="38"/>
      <c r="Z3331" s="38"/>
    </row>
    <row r="3332" spans="12:26" x14ac:dyDescent="0.25">
      <c r="L3332" s="38"/>
      <c r="Z3332" s="38"/>
    </row>
    <row r="3333" spans="12:26" x14ac:dyDescent="0.25">
      <c r="L3333" s="38"/>
      <c r="Z3333" s="38"/>
    </row>
    <row r="3334" spans="12:26" x14ac:dyDescent="0.25">
      <c r="L3334" s="38"/>
      <c r="Z3334" s="38"/>
    </row>
    <row r="3335" spans="12:26" x14ac:dyDescent="0.25">
      <c r="L3335" s="38"/>
      <c r="Z3335" s="38"/>
    </row>
    <row r="3336" spans="12:26" x14ac:dyDescent="0.25">
      <c r="L3336" s="38"/>
      <c r="Z3336" s="38"/>
    </row>
    <row r="3337" spans="12:26" x14ac:dyDescent="0.25">
      <c r="L3337" s="38"/>
      <c r="Z3337" s="38"/>
    </row>
    <row r="3338" spans="12:26" x14ac:dyDescent="0.25">
      <c r="L3338" s="38"/>
      <c r="Z3338" s="38"/>
    </row>
    <row r="3339" spans="12:26" x14ac:dyDescent="0.25">
      <c r="L3339" s="38"/>
      <c r="Z3339" s="38"/>
    </row>
    <row r="3340" spans="12:26" x14ac:dyDescent="0.25">
      <c r="L3340" s="38"/>
      <c r="Z3340" s="38"/>
    </row>
    <row r="3341" spans="12:26" x14ac:dyDescent="0.25">
      <c r="L3341" s="38"/>
      <c r="Z3341" s="38"/>
    </row>
    <row r="3342" spans="12:26" x14ac:dyDescent="0.25">
      <c r="L3342" s="38"/>
      <c r="Z3342" s="38"/>
    </row>
    <row r="3343" spans="12:26" x14ac:dyDescent="0.25">
      <c r="L3343" s="38"/>
      <c r="Z3343" s="38"/>
    </row>
    <row r="3344" spans="12:26" x14ac:dyDescent="0.25">
      <c r="L3344" s="38"/>
      <c r="Z3344" s="38"/>
    </row>
    <row r="3345" spans="12:26" x14ac:dyDescent="0.25">
      <c r="L3345" s="38"/>
      <c r="Z3345" s="38"/>
    </row>
    <row r="3346" spans="12:26" x14ac:dyDescent="0.25">
      <c r="L3346" s="38"/>
      <c r="Z3346" s="38"/>
    </row>
    <row r="3347" spans="12:26" x14ac:dyDescent="0.25">
      <c r="L3347" s="38"/>
      <c r="Z3347" s="38"/>
    </row>
    <row r="3348" spans="12:26" x14ac:dyDescent="0.25">
      <c r="L3348" s="38"/>
      <c r="Z3348" s="38"/>
    </row>
    <row r="3349" spans="12:26" x14ac:dyDescent="0.25">
      <c r="L3349" s="38"/>
      <c r="Z3349" s="38"/>
    </row>
    <row r="3350" spans="12:26" x14ac:dyDescent="0.25">
      <c r="L3350" s="38"/>
      <c r="Z3350" s="38"/>
    </row>
    <row r="3351" spans="12:26" x14ac:dyDescent="0.25">
      <c r="L3351" s="38"/>
      <c r="Z3351" s="38"/>
    </row>
    <row r="3352" spans="12:26" x14ac:dyDescent="0.25">
      <c r="L3352" s="38"/>
      <c r="Z3352" s="38"/>
    </row>
    <row r="3353" spans="12:26" x14ac:dyDescent="0.25">
      <c r="L3353" s="38"/>
      <c r="Z3353" s="38"/>
    </row>
    <row r="3354" spans="12:26" x14ac:dyDescent="0.25">
      <c r="L3354" s="38"/>
      <c r="Z3354" s="38"/>
    </row>
    <row r="3355" spans="12:26" x14ac:dyDescent="0.25">
      <c r="L3355" s="38"/>
      <c r="Z3355" s="38"/>
    </row>
    <row r="3356" spans="12:26" x14ac:dyDescent="0.25">
      <c r="L3356" s="38"/>
      <c r="Z3356" s="38"/>
    </row>
    <row r="3357" spans="12:26" x14ac:dyDescent="0.25">
      <c r="L3357" s="38"/>
      <c r="Z3357" s="38"/>
    </row>
    <row r="3358" spans="12:26" x14ac:dyDescent="0.25">
      <c r="L3358" s="38"/>
      <c r="Z3358" s="38"/>
    </row>
    <row r="3359" spans="12:26" x14ac:dyDescent="0.25">
      <c r="L3359" s="38"/>
      <c r="Z3359" s="38"/>
    </row>
    <row r="3360" spans="12:26" x14ac:dyDescent="0.25">
      <c r="L3360" s="38"/>
      <c r="Z3360" s="38"/>
    </row>
    <row r="3361" spans="12:26" x14ac:dyDescent="0.25">
      <c r="L3361" s="38"/>
      <c r="Z3361" s="38"/>
    </row>
    <row r="3362" spans="12:26" x14ac:dyDescent="0.25">
      <c r="L3362" s="38"/>
      <c r="Z3362" s="38"/>
    </row>
    <row r="3363" spans="12:26" x14ac:dyDescent="0.25">
      <c r="L3363" s="38"/>
      <c r="Z3363" s="38"/>
    </row>
    <row r="3364" spans="12:26" x14ac:dyDescent="0.25">
      <c r="L3364" s="38"/>
      <c r="Z3364" s="38"/>
    </row>
    <row r="3365" spans="12:26" x14ac:dyDescent="0.25">
      <c r="L3365" s="38"/>
      <c r="Z3365" s="38"/>
    </row>
    <row r="3366" spans="12:26" x14ac:dyDescent="0.25">
      <c r="L3366" s="38"/>
      <c r="Z3366" s="38"/>
    </row>
    <row r="3367" spans="12:26" x14ac:dyDescent="0.25">
      <c r="L3367" s="38"/>
      <c r="Z3367" s="38"/>
    </row>
    <row r="3368" spans="12:26" x14ac:dyDescent="0.25">
      <c r="L3368" s="38"/>
      <c r="Z3368" s="38"/>
    </row>
    <row r="3369" spans="12:26" x14ac:dyDescent="0.25">
      <c r="L3369" s="38"/>
      <c r="Z3369" s="38"/>
    </row>
    <row r="3370" spans="12:26" x14ac:dyDescent="0.25">
      <c r="L3370" s="38"/>
      <c r="Z3370" s="38"/>
    </row>
    <row r="3371" spans="12:26" x14ac:dyDescent="0.25">
      <c r="L3371" s="38"/>
      <c r="Z3371" s="38"/>
    </row>
    <row r="3372" spans="12:26" x14ac:dyDescent="0.25">
      <c r="L3372" s="38"/>
      <c r="Z3372" s="38"/>
    </row>
    <row r="3373" spans="12:26" x14ac:dyDescent="0.25">
      <c r="L3373" s="38"/>
      <c r="Z3373" s="38"/>
    </row>
    <row r="3374" spans="12:26" x14ac:dyDescent="0.25">
      <c r="L3374" s="38"/>
      <c r="Z3374" s="38"/>
    </row>
    <row r="3375" spans="12:26" x14ac:dyDescent="0.25">
      <c r="L3375" s="38"/>
      <c r="Z3375" s="38"/>
    </row>
    <row r="3376" spans="12:26" x14ac:dyDescent="0.25">
      <c r="L3376" s="38"/>
      <c r="Z3376" s="38"/>
    </row>
    <row r="3377" spans="12:26" x14ac:dyDescent="0.25">
      <c r="L3377" s="38"/>
      <c r="Z3377" s="38"/>
    </row>
    <row r="3378" spans="12:26" x14ac:dyDescent="0.25">
      <c r="L3378" s="38"/>
      <c r="Z3378" s="38"/>
    </row>
    <row r="3379" spans="12:26" x14ac:dyDescent="0.25">
      <c r="L3379" s="38"/>
      <c r="Z3379" s="38"/>
    </row>
    <row r="3380" spans="12:26" x14ac:dyDescent="0.25">
      <c r="L3380" s="38"/>
      <c r="Z3380" s="38"/>
    </row>
    <row r="3381" spans="12:26" x14ac:dyDescent="0.25">
      <c r="L3381" s="38"/>
      <c r="Z3381" s="38"/>
    </row>
    <row r="3382" spans="12:26" x14ac:dyDescent="0.25">
      <c r="L3382" s="38"/>
      <c r="Z3382" s="38"/>
    </row>
    <row r="3383" spans="12:26" x14ac:dyDescent="0.25">
      <c r="L3383" s="38"/>
      <c r="Z3383" s="38"/>
    </row>
    <row r="3384" spans="12:26" x14ac:dyDescent="0.25">
      <c r="L3384" s="38"/>
      <c r="Z3384" s="38"/>
    </row>
    <row r="3385" spans="12:26" x14ac:dyDescent="0.25">
      <c r="L3385" s="38"/>
      <c r="Z3385" s="38"/>
    </row>
    <row r="3386" spans="12:26" x14ac:dyDescent="0.25">
      <c r="L3386" s="38"/>
      <c r="Z3386" s="38"/>
    </row>
    <row r="3387" spans="12:26" x14ac:dyDescent="0.25">
      <c r="L3387" s="38"/>
      <c r="Z3387" s="38"/>
    </row>
    <row r="3388" spans="12:26" x14ac:dyDescent="0.25">
      <c r="L3388" s="38"/>
      <c r="Z3388" s="38"/>
    </row>
    <row r="3389" spans="12:26" x14ac:dyDescent="0.25">
      <c r="L3389" s="38"/>
      <c r="Z3389" s="38"/>
    </row>
    <row r="3390" spans="12:26" x14ac:dyDescent="0.25">
      <c r="L3390" s="38"/>
      <c r="Z3390" s="38"/>
    </row>
    <row r="3391" spans="12:26" x14ac:dyDescent="0.25">
      <c r="L3391" s="38"/>
      <c r="Z3391" s="38"/>
    </row>
    <row r="3392" spans="12:26" x14ac:dyDescent="0.25">
      <c r="L3392" s="38"/>
      <c r="Z3392" s="38"/>
    </row>
    <row r="3393" spans="12:26" x14ac:dyDescent="0.25">
      <c r="L3393" s="38"/>
      <c r="Z3393" s="38"/>
    </row>
    <row r="3394" spans="12:26" x14ac:dyDescent="0.25">
      <c r="L3394" s="38"/>
      <c r="Z3394" s="38"/>
    </row>
    <row r="3395" spans="12:26" x14ac:dyDescent="0.25">
      <c r="L3395" s="38"/>
      <c r="Z3395" s="38"/>
    </row>
    <row r="3396" spans="12:26" x14ac:dyDescent="0.25">
      <c r="L3396" s="38"/>
      <c r="Z3396" s="38"/>
    </row>
    <row r="3397" spans="12:26" x14ac:dyDescent="0.25">
      <c r="L3397" s="38"/>
      <c r="Z3397" s="38"/>
    </row>
    <row r="3398" spans="12:26" x14ac:dyDescent="0.25">
      <c r="L3398" s="38"/>
      <c r="Z3398" s="38"/>
    </row>
    <row r="3399" spans="12:26" x14ac:dyDescent="0.25">
      <c r="L3399" s="38"/>
      <c r="Z3399" s="38"/>
    </row>
    <row r="3400" spans="12:26" x14ac:dyDescent="0.25">
      <c r="L3400" s="38"/>
      <c r="Z3400" s="38"/>
    </row>
    <row r="3401" spans="12:26" x14ac:dyDescent="0.25">
      <c r="L3401" s="38"/>
      <c r="Z3401" s="38"/>
    </row>
    <row r="3402" spans="12:26" x14ac:dyDescent="0.25">
      <c r="L3402" s="38"/>
      <c r="Z3402" s="38"/>
    </row>
    <row r="3403" spans="12:26" x14ac:dyDescent="0.25">
      <c r="L3403" s="38"/>
      <c r="Z3403" s="38"/>
    </row>
    <row r="3404" spans="12:26" x14ac:dyDescent="0.25">
      <c r="L3404" s="38"/>
      <c r="Z3404" s="38"/>
    </row>
    <row r="3405" spans="12:26" x14ac:dyDescent="0.25">
      <c r="L3405" s="38"/>
      <c r="Z3405" s="38"/>
    </row>
    <row r="3406" spans="12:26" x14ac:dyDescent="0.25">
      <c r="L3406" s="38"/>
      <c r="Z3406" s="38"/>
    </row>
    <row r="3407" spans="12:26" x14ac:dyDescent="0.25">
      <c r="L3407" s="38"/>
      <c r="Z3407" s="38"/>
    </row>
    <row r="3408" spans="12:26" x14ac:dyDescent="0.25">
      <c r="L3408" s="38"/>
      <c r="Z3408" s="38"/>
    </row>
    <row r="3409" spans="12:26" x14ac:dyDescent="0.25">
      <c r="L3409" s="38"/>
      <c r="Z3409" s="38"/>
    </row>
    <row r="3410" spans="12:26" x14ac:dyDescent="0.25">
      <c r="L3410" s="38"/>
      <c r="Z3410" s="38"/>
    </row>
    <row r="3411" spans="12:26" x14ac:dyDescent="0.25">
      <c r="L3411" s="38"/>
      <c r="Z3411" s="38"/>
    </row>
    <row r="3412" spans="12:26" x14ac:dyDescent="0.25">
      <c r="L3412" s="38"/>
      <c r="Z3412" s="38"/>
    </row>
    <row r="3413" spans="12:26" x14ac:dyDescent="0.25">
      <c r="L3413" s="38"/>
      <c r="Z3413" s="38"/>
    </row>
    <row r="3414" spans="12:26" x14ac:dyDescent="0.25">
      <c r="L3414" s="38"/>
      <c r="Z3414" s="38"/>
    </row>
    <row r="3415" spans="12:26" x14ac:dyDescent="0.25">
      <c r="L3415" s="38"/>
      <c r="Z3415" s="38"/>
    </row>
    <row r="3416" spans="12:26" x14ac:dyDescent="0.25">
      <c r="L3416" s="38"/>
      <c r="Z3416" s="38"/>
    </row>
    <row r="3417" spans="12:26" x14ac:dyDescent="0.25">
      <c r="L3417" s="38"/>
      <c r="Z3417" s="38"/>
    </row>
    <row r="3418" spans="12:26" x14ac:dyDescent="0.25">
      <c r="L3418" s="38"/>
      <c r="Z3418" s="38"/>
    </row>
    <row r="3419" spans="12:26" x14ac:dyDescent="0.25">
      <c r="L3419" s="38"/>
      <c r="Z3419" s="38"/>
    </row>
    <row r="3420" spans="12:26" x14ac:dyDescent="0.25">
      <c r="L3420" s="38"/>
      <c r="Z3420" s="38"/>
    </row>
    <row r="3421" spans="12:26" x14ac:dyDescent="0.25">
      <c r="L3421" s="38"/>
      <c r="Z3421" s="38"/>
    </row>
    <row r="3422" spans="12:26" x14ac:dyDescent="0.25">
      <c r="L3422" s="38"/>
      <c r="Z3422" s="38"/>
    </row>
    <row r="3423" spans="12:26" x14ac:dyDescent="0.25">
      <c r="L3423" s="38"/>
      <c r="Z3423" s="38"/>
    </row>
    <row r="3424" spans="12:26" x14ac:dyDescent="0.25">
      <c r="L3424" s="38"/>
      <c r="Z3424" s="38"/>
    </row>
    <row r="3425" spans="12:26" x14ac:dyDescent="0.25">
      <c r="L3425" s="38"/>
      <c r="Z3425" s="38"/>
    </row>
    <row r="3426" spans="12:26" x14ac:dyDescent="0.25">
      <c r="L3426" s="38"/>
      <c r="Z3426" s="38"/>
    </row>
    <row r="3427" spans="12:26" x14ac:dyDescent="0.25">
      <c r="L3427" s="38"/>
      <c r="Z3427" s="38"/>
    </row>
    <row r="3428" spans="12:26" x14ac:dyDescent="0.25">
      <c r="L3428" s="38"/>
      <c r="Z3428" s="38"/>
    </row>
    <row r="3429" spans="12:26" x14ac:dyDescent="0.25">
      <c r="L3429" s="38"/>
      <c r="Z3429" s="38"/>
    </row>
    <row r="3430" spans="12:26" x14ac:dyDescent="0.25">
      <c r="L3430" s="38"/>
      <c r="Z3430" s="38"/>
    </row>
    <row r="3431" spans="12:26" x14ac:dyDescent="0.25">
      <c r="L3431" s="38"/>
      <c r="Z3431" s="38"/>
    </row>
    <row r="3432" spans="12:26" x14ac:dyDescent="0.25">
      <c r="L3432" s="38"/>
      <c r="Z3432" s="38"/>
    </row>
    <row r="3433" spans="12:26" x14ac:dyDescent="0.25">
      <c r="L3433" s="38"/>
      <c r="Z3433" s="38"/>
    </row>
    <row r="3434" spans="12:26" x14ac:dyDescent="0.25">
      <c r="L3434" s="38"/>
      <c r="Z3434" s="38"/>
    </row>
    <row r="3435" spans="12:26" x14ac:dyDescent="0.25">
      <c r="L3435" s="38"/>
      <c r="Z3435" s="38"/>
    </row>
    <row r="3436" spans="12:26" x14ac:dyDescent="0.25">
      <c r="L3436" s="38"/>
      <c r="Z3436" s="38"/>
    </row>
    <row r="3437" spans="12:26" x14ac:dyDescent="0.25">
      <c r="L3437" s="38"/>
      <c r="Z3437" s="38"/>
    </row>
    <row r="3438" spans="12:26" x14ac:dyDescent="0.25">
      <c r="L3438" s="38"/>
      <c r="Z3438" s="38"/>
    </row>
    <row r="3439" spans="12:26" x14ac:dyDescent="0.25">
      <c r="L3439" s="38"/>
      <c r="Z3439" s="38"/>
    </row>
    <row r="3440" spans="12:26" x14ac:dyDescent="0.25">
      <c r="L3440" s="38"/>
      <c r="Z3440" s="38"/>
    </row>
    <row r="3441" spans="12:26" x14ac:dyDescent="0.25">
      <c r="L3441" s="38"/>
      <c r="Z3441" s="38"/>
    </row>
    <row r="3442" spans="12:26" x14ac:dyDescent="0.25">
      <c r="L3442" s="38"/>
      <c r="Z3442" s="38"/>
    </row>
    <row r="3443" spans="12:26" x14ac:dyDescent="0.25">
      <c r="L3443" s="38"/>
      <c r="Z3443" s="38"/>
    </row>
    <row r="3444" spans="12:26" x14ac:dyDescent="0.25">
      <c r="L3444" s="38"/>
      <c r="Z3444" s="38"/>
    </row>
    <row r="3445" spans="12:26" x14ac:dyDescent="0.25">
      <c r="L3445" s="38"/>
      <c r="Z3445" s="38"/>
    </row>
    <row r="3446" spans="12:26" x14ac:dyDescent="0.25">
      <c r="L3446" s="38"/>
      <c r="Z3446" s="38"/>
    </row>
    <row r="3447" spans="12:26" x14ac:dyDescent="0.25">
      <c r="L3447" s="38"/>
      <c r="Z3447" s="38"/>
    </row>
    <row r="3448" spans="12:26" x14ac:dyDescent="0.25">
      <c r="L3448" s="38"/>
      <c r="Z3448" s="38"/>
    </row>
    <row r="3449" spans="12:26" x14ac:dyDescent="0.25">
      <c r="L3449" s="38"/>
      <c r="Z3449" s="38"/>
    </row>
    <row r="3450" spans="12:26" x14ac:dyDescent="0.25">
      <c r="L3450" s="38"/>
      <c r="Z3450" s="38"/>
    </row>
    <row r="3451" spans="12:26" x14ac:dyDescent="0.25">
      <c r="L3451" s="38"/>
      <c r="Z3451" s="38"/>
    </row>
    <row r="3452" spans="12:26" x14ac:dyDescent="0.25">
      <c r="L3452" s="38"/>
      <c r="Z3452" s="38"/>
    </row>
    <row r="3453" spans="12:26" x14ac:dyDescent="0.25">
      <c r="L3453" s="38"/>
      <c r="Z3453" s="38"/>
    </row>
    <row r="3454" spans="12:26" x14ac:dyDescent="0.25">
      <c r="L3454" s="38"/>
      <c r="Z3454" s="38"/>
    </row>
    <row r="3455" spans="12:26" x14ac:dyDescent="0.25">
      <c r="L3455" s="38"/>
      <c r="Z3455" s="38"/>
    </row>
    <row r="3456" spans="12:26" x14ac:dyDescent="0.25">
      <c r="L3456" s="38"/>
      <c r="Z3456" s="38"/>
    </row>
    <row r="3457" spans="12:26" x14ac:dyDescent="0.25">
      <c r="L3457" s="38"/>
      <c r="Z3457" s="38"/>
    </row>
    <row r="3458" spans="12:26" x14ac:dyDescent="0.25">
      <c r="L3458" s="38"/>
      <c r="Z3458" s="38"/>
    </row>
    <row r="3459" spans="12:26" x14ac:dyDescent="0.25">
      <c r="L3459" s="38"/>
      <c r="Z3459" s="38"/>
    </row>
    <row r="3460" spans="12:26" x14ac:dyDescent="0.25">
      <c r="L3460" s="38"/>
      <c r="Z3460" s="38"/>
    </row>
    <row r="3461" spans="12:26" x14ac:dyDescent="0.25">
      <c r="L3461" s="38"/>
      <c r="Z3461" s="38"/>
    </row>
    <row r="3462" spans="12:26" x14ac:dyDescent="0.25">
      <c r="L3462" s="38"/>
      <c r="Z3462" s="38"/>
    </row>
    <row r="3463" spans="12:26" x14ac:dyDescent="0.25">
      <c r="L3463" s="38"/>
      <c r="Z3463" s="38"/>
    </row>
    <row r="3464" spans="12:26" x14ac:dyDescent="0.25">
      <c r="L3464" s="38"/>
      <c r="Z3464" s="38"/>
    </row>
    <row r="3465" spans="12:26" x14ac:dyDescent="0.25">
      <c r="L3465" s="38"/>
      <c r="Z3465" s="38"/>
    </row>
    <row r="3466" spans="12:26" x14ac:dyDescent="0.25">
      <c r="L3466" s="38"/>
      <c r="Z3466" s="38"/>
    </row>
    <row r="3467" spans="12:26" x14ac:dyDescent="0.25">
      <c r="L3467" s="38"/>
      <c r="Z3467" s="38"/>
    </row>
    <row r="3468" spans="12:26" x14ac:dyDescent="0.25">
      <c r="L3468" s="38"/>
      <c r="Z3468" s="38"/>
    </row>
    <row r="3469" spans="12:26" x14ac:dyDescent="0.25">
      <c r="L3469" s="38"/>
      <c r="Z3469" s="38"/>
    </row>
    <row r="3470" spans="12:26" x14ac:dyDescent="0.25">
      <c r="L3470" s="38"/>
      <c r="Z3470" s="38"/>
    </row>
    <row r="3471" spans="12:26" x14ac:dyDescent="0.25">
      <c r="L3471" s="38"/>
      <c r="Z3471" s="38"/>
    </row>
    <row r="3472" spans="12:26" x14ac:dyDescent="0.25">
      <c r="L3472" s="38"/>
      <c r="Z3472" s="38"/>
    </row>
    <row r="3473" spans="12:26" x14ac:dyDescent="0.25">
      <c r="L3473" s="38"/>
      <c r="Z3473" s="38"/>
    </row>
    <row r="3474" spans="12:26" x14ac:dyDescent="0.25">
      <c r="L3474" s="38"/>
      <c r="Z3474" s="38"/>
    </row>
    <row r="3475" spans="12:26" x14ac:dyDescent="0.25">
      <c r="L3475" s="38"/>
      <c r="Z3475" s="38"/>
    </row>
    <row r="3476" spans="12:26" x14ac:dyDescent="0.25">
      <c r="L3476" s="38"/>
      <c r="Z3476" s="38"/>
    </row>
    <row r="3477" spans="12:26" x14ac:dyDescent="0.25">
      <c r="L3477" s="38"/>
      <c r="Z3477" s="38"/>
    </row>
    <row r="3478" spans="12:26" x14ac:dyDescent="0.25">
      <c r="L3478" s="38"/>
      <c r="Z3478" s="38"/>
    </row>
    <row r="3479" spans="12:26" x14ac:dyDescent="0.25">
      <c r="L3479" s="38"/>
      <c r="Z3479" s="38"/>
    </row>
    <row r="3480" spans="12:26" x14ac:dyDescent="0.25">
      <c r="L3480" s="38"/>
      <c r="Z3480" s="38"/>
    </row>
    <row r="3481" spans="12:26" x14ac:dyDescent="0.25">
      <c r="L3481" s="38"/>
      <c r="Z3481" s="38"/>
    </row>
    <row r="3482" spans="12:26" x14ac:dyDescent="0.25">
      <c r="L3482" s="38"/>
      <c r="Z3482" s="38"/>
    </row>
    <row r="3483" spans="12:26" x14ac:dyDescent="0.25">
      <c r="L3483" s="38"/>
      <c r="Z3483" s="38"/>
    </row>
    <row r="3484" spans="12:26" x14ac:dyDescent="0.25">
      <c r="L3484" s="38"/>
      <c r="Z3484" s="38"/>
    </row>
    <row r="3485" spans="12:26" x14ac:dyDescent="0.25">
      <c r="L3485" s="38"/>
      <c r="Z3485" s="38"/>
    </row>
    <row r="3486" spans="12:26" x14ac:dyDescent="0.25">
      <c r="L3486" s="38"/>
      <c r="Z3486" s="38"/>
    </row>
    <row r="3487" spans="12:26" x14ac:dyDescent="0.25">
      <c r="L3487" s="38"/>
      <c r="Z3487" s="38"/>
    </row>
    <row r="3488" spans="12:26" x14ac:dyDescent="0.25">
      <c r="L3488" s="38"/>
      <c r="Z3488" s="38"/>
    </row>
    <row r="3489" spans="12:26" x14ac:dyDescent="0.25">
      <c r="L3489" s="38"/>
      <c r="Z3489" s="38"/>
    </row>
    <row r="3490" spans="12:26" x14ac:dyDescent="0.25">
      <c r="L3490" s="38"/>
      <c r="Z3490" s="38"/>
    </row>
    <row r="3491" spans="12:26" x14ac:dyDescent="0.25">
      <c r="L3491" s="38"/>
      <c r="Z3491" s="38"/>
    </row>
    <row r="3492" spans="12:26" x14ac:dyDescent="0.25">
      <c r="L3492" s="38"/>
      <c r="Z3492" s="38"/>
    </row>
    <row r="3493" spans="12:26" x14ac:dyDescent="0.25">
      <c r="L3493" s="38"/>
      <c r="Z3493" s="38"/>
    </row>
    <row r="3494" spans="12:26" x14ac:dyDescent="0.25">
      <c r="L3494" s="38"/>
      <c r="Z3494" s="38"/>
    </row>
    <row r="3495" spans="12:26" x14ac:dyDescent="0.25">
      <c r="L3495" s="38"/>
      <c r="Z3495" s="38"/>
    </row>
    <row r="3496" spans="12:26" x14ac:dyDescent="0.25">
      <c r="L3496" s="38"/>
      <c r="Z3496" s="38"/>
    </row>
    <row r="3497" spans="12:26" x14ac:dyDescent="0.25">
      <c r="L3497" s="38"/>
      <c r="Z3497" s="38"/>
    </row>
    <row r="3498" spans="12:26" x14ac:dyDescent="0.25">
      <c r="L3498" s="38"/>
      <c r="Z3498" s="38"/>
    </row>
    <row r="3499" spans="12:26" x14ac:dyDescent="0.25">
      <c r="L3499" s="38"/>
      <c r="Z3499" s="38"/>
    </row>
    <row r="3500" spans="12:26" x14ac:dyDescent="0.25">
      <c r="L3500" s="38"/>
      <c r="Z3500" s="38"/>
    </row>
    <row r="3501" spans="12:26" x14ac:dyDescent="0.25">
      <c r="L3501" s="38"/>
      <c r="Z3501" s="38"/>
    </row>
    <row r="3502" spans="12:26" x14ac:dyDescent="0.25">
      <c r="L3502" s="38"/>
      <c r="Z3502" s="38"/>
    </row>
    <row r="3503" spans="12:26" x14ac:dyDescent="0.25">
      <c r="L3503" s="38"/>
      <c r="Z3503" s="38"/>
    </row>
    <row r="3504" spans="12:26" x14ac:dyDescent="0.25">
      <c r="L3504" s="38"/>
      <c r="Z3504" s="38"/>
    </row>
    <row r="3505" spans="12:26" x14ac:dyDescent="0.25">
      <c r="L3505" s="38"/>
      <c r="Z3505" s="38"/>
    </row>
    <row r="3506" spans="12:26" x14ac:dyDescent="0.25">
      <c r="L3506" s="38"/>
      <c r="Z3506" s="38"/>
    </row>
    <row r="3507" spans="12:26" x14ac:dyDescent="0.25">
      <c r="L3507" s="38"/>
      <c r="Z3507" s="38"/>
    </row>
    <row r="3508" spans="12:26" x14ac:dyDescent="0.25">
      <c r="L3508" s="38"/>
      <c r="Z3508" s="38"/>
    </row>
    <row r="3509" spans="12:26" x14ac:dyDescent="0.25">
      <c r="L3509" s="38"/>
      <c r="Z3509" s="38"/>
    </row>
    <row r="3510" spans="12:26" x14ac:dyDescent="0.25">
      <c r="L3510" s="38"/>
      <c r="Z3510" s="38"/>
    </row>
    <row r="3511" spans="12:26" x14ac:dyDescent="0.25">
      <c r="L3511" s="38"/>
      <c r="Z3511" s="38"/>
    </row>
    <row r="3512" spans="12:26" x14ac:dyDescent="0.25">
      <c r="L3512" s="38"/>
      <c r="Z3512" s="38"/>
    </row>
    <row r="3513" spans="12:26" x14ac:dyDescent="0.25">
      <c r="L3513" s="38"/>
      <c r="Z3513" s="38"/>
    </row>
    <row r="3514" spans="12:26" x14ac:dyDescent="0.25">
      <c r="L3514" s="38"/>
      <c r="Z3514" s="38"/>
    </row>
    <row r="3515" spans="12:26" x14ac:dyDescent="0.25">
      <c r="L3515" s="38"/>
      <c r="Z3515" s="38"/>
    </row>
    <row r="3516" spans="12:26" x14ac:dyDescent="0.25">
      <c r="L3516" s="38"/>
      <c r="Z3516" s="38"/>
    </row>
    <row r="3517" spans="12:26" x14ac:dyDescent="0.25">
      <c r="L3517" s="38"/>
      <c r="Z3517" s="38"/>
    </row>
    <row r="3518" spans="12:26" x14ac:dyDescent="0.25">
      <c r="L3518" s="38"/>
      <c r="Z3518" s="38"/>
    </row>
    <row r="3519" spans="12:26" x14ac:dyDescent="0.25">
      <c r="L3519" s="38"/>
      <c r="Z3519" s="38"/>
    </row>
    <row r="3520" spans="12:26" x14ac:dyDescent="0.25">
      <c r="L3520" s="38"/>
      <c r="Z3520" s="38"/>
    </row>
    <row r="3521" spans="12:26" x14ac:dyDescent="0.25">
      <c r="L3521" s="38"/>
      <c r="Z3521" s="38"/>
    </row>
    <row r="3522" spans="12:26" x14ac:dyDescent="0.25">
      <c r="L3522" s="38"/>
      <c r="Z3522" s="38"/>
    </row>
    <row r="3523" spans="12:26" x14ac:dyDescent="0.25">
      <c r="L3523" s="38"/>
      <c r="Z3523" s="38"/>
    </row>
    <row r="3524" spans="12:26" x14ac:dyDescent="0.25">
      <c r="L3524" s="38"/>
      <c r="Z3524" s="38"/>
    </row>
    <row r="3525" spans="12:26" x14ac:dyDescent="0.25">
      <c r="L3525" s="38"/>
      <c r="Z3525" s="38"/>
    </row>
    <row r="3526" spans="12:26" x14ac:dyDescent="0.25">
      <c r="L3526" s="38"/>
      <c r="Z3526" s="38"/>
    </row>
    <row r="3527" spans="12:26" x14ac:dyDescent="0.25">
      <c r="L3527" s="38"/>
      <c r="Z3527" s="38"/>
    </row>
    <row r="3528" spans="12:26" x14ac:dyDescent="0.25">
      <c r="L3528" s="38"/>
      <c r="Z3528" s="38"/>
    </row>
    <row r="3529" spans="12:26" x14ac:dyDescent="0.25">
      <c r="L3529" s="38"/>
      <c r="Z3529" s="38"/>
    </row>
    <row r="3530" spans="12:26" x14ac:dyDescent="0.25">
      <c r="L3530" s="38"/>
      <c r="Z3530" s="38"/>
    </row>
    <row r="3531" spans="12:26" x14ac:dyDescent="0.25">
      <c r="L3531" s="38"/>
      <c r="Z3531" s="38"/>
    </row>
    <row r="3532" spans="12:26" x14ac:dyDescent="0.25">
      <c r="L3532" s="38"/>
      <c r="Z3532" s="38"/>
    </row>
    <row r="3533" spans="12:26" x14ac:dyDescent="0.25">
      <c r="L3533" s="38"/>
      <c r="Z3533" s="38"/>
    </row>
    <row r="3534" spans="12:26" x14ac:dyDescent="0.25">
      <c r="L3534" s="38"/>
      <c r="Z3534" s="38"/>
    </row>
    <row r="3535" spans="12:26" x14ac:dyDescent="0.25">
      <c r="L3535" s="38"/>
      <c r="Z3535" s="38"/>
    </row>
    <row r="3536" spans="12:26" x14ac:dyDescent="0.25">
      <c r="L3536" s="38"/>
      <c r="Z3536" s="38"/>
    </row>
    <row r="3537" spans="12:26" x14ac:dyDescent="0.25">
      <c r="L3537" s="38"/>
      <c r="Z3537" s="38"/>
    </row>
    <row r="3538" spans="12:26" x14ac:dyDescent="0.25">
      <c r="L3538" s="38"/>
      <c r="Z3538" s="38"/>
    </row>
    <row r="3539" spans="12:26" x14ac:dyDescent="0.25">
      <c r="L3539" s="38"/>
      <c r="Z3539" s="38"/>
    </row>
    <row r="3540" spans="12:26" x14ac:dyDescent="0.25">
      <c r="L3540" s="38"/>
      <c r="Z3540" s="38"/>
    </row>
    <row r="3541" spans="12:26" x14ac:dyDescent="0.25">
      <c r="L3541" s="38"/>
      <c r="Z3541" s="38"/>
    </row>
    <row r="3542" spans="12:26" x14ac:dyDescent="0.25">
      <c r="L3542" s="38"/>
      <c r="Z3542" s="38"/>
    </row>
    <row r="3543" spans="12:26" x14ac:dyDescent="0.25">
      <c r="L3543" s="38"/>
      <c r="Z3543" s="38"/>
    </row>
    <row r="3544" spans="12:26" x14ac:dyDescent="0.25">
      <c r="L3544" s="38"/>
      <c r="Z3544" s="38"/>
    </row>
    <row r="3545" spans="12:26" x14ac:dyDescent="0.25">
      <c r="L3545" s="38"/>
      <c r="Z3545" s="38"/>
    </row>
    <row r="3546" spans="12:26" x14ac:dyDescent="0.25">
      <c r="L3546" s="38"/>
      <c r="Z3546" s="38"/>
    </row>
    <row r="3547" spans="12:26" x14ac:dyDescent="0.25">
      <c r="L3547" s="38"/>
      <c r="Z3547" s="38"/>
    </row>
    <row r="3548" spans="12:26" x14ac:dyDescent="0.25">
      <c r="L3548" s="38"/>
      <c r="Z3548" s="38"/>
    </row>
    <row r="3549" spans="12:26" x14ac:dyDescent="0.25">
      <c r="L3549" s="38"/>
      <c r="Z3549" s="38"/>
    </row>
    <row r="3550" spans="12:26" x14ac:dyDescent="0.25">
      <c r="L3550" s="38"/>
      <c r="Z3550" s="38"/>
    </row>
    <row r="3551" spans="12:26" x14ac:dyDescent="0.25">
      <c r="L3551" s="38"/>
      <c r="Z3551" s="38"/>
    </row>
    <row r="3552" spans="12:26" x14ac:dyDescent="0.25">
      <c r="L3552" s="38"/>
      <c r="Z3552" s="38"/>
    </row>
    <row r="3553" spans="12:26" x14ac:dyDescent="0.25">
      <c r="L3553" s="38"/>
      <c r="Z3553" s="38"/>
    </row>
    <row r="3554" spans="12:26" x14ac:dyDescent="0.25">
      <c r="L3554" s="38"/>
      <c r="Z3554" s="38"/>
    </row>
    <row r="3555" spans="12:26" x14ac:dyDescent="0.25">
      <c r="L3555" s="38"/>
      <c r="Z3555" s="38"/>
    </row>
    <row r="3556" spans="12:26" x14ac:dyDescent="0.25">
      <c r="L3556" s="38"/>
      <c r="Z3556" s="38"/>
    </row>
    <row r="3557" spans="12:26" x14ac:dyDescent="0.25">
      <c r="L3557" s="38"/>
      <c r="Z3557" s="38"/>
    </row>
    <row r="3558" spans="12:26" x14ac:dyDescent="0.25">
      <c r="L3558" s="38"/>
      <c r="Z3558" s="38"/>
    </row>
    <row r="3559" spans="12:26" x14ac:dyDescent="0.25">
      <c r="L3559" s="38"/>
      <c r="Z3559" s="38"/>
    </row>
    <row r="3560" spans="12:26" x14ac:dyDescent="0.25">
      <c r="L3560" s="38"/>
      <c r="Z3560" s="38"/>
    </row>
    <row r="3561" spans="12:26" x14ac:dyDescent="0.25">
      <c r="L3561" s="38"/>
      <c r="Z3561" s="38"/>
    </row>
    <row r="3562" spans="12:26" x14ac:dyDescent="0.25">
      <c r="L3562" s="38"/>
      <c r="Z3562" s="38"/>
    </row>
    <row r="3563" spans="12:26" x14ac:dyDescent="0.25">
      <c r="L3563" s="38"/>
      <c r="Z3563" s="38"/>
    </row>
    <row r="3564" spans="12:26" x14ac:dyDescent="0.25">
      <c r="L3564" s="38"/>
      <c r="Z3564" s="38"/>
    </row>
    <row r="3565" spans="12:26" x14ac:dyDescent="0.25">
      <c r="L3565" s="38"/>
      <c r="Z3565" s="38"/>
    </row>
    <row r="3566" spans="12:26" x14ac:dyDescent="0.25">
      <c r="L3566" s="38"/>
      <c r="Z3566" s="38"/>
    </row>
    <row r="3567" spans="12:26" x14ac:dyDescent="0.25">
      <c r="L3567" s="38"/>
      <c r="Z3567" s="38"/>
    </row>
    <row r="3568" spans="12:26" x14ac:dyDescent="0.25">
      <c r="L3568" s="38"/>
      <c r="Z3568" s="38"/>
    </row>
    <row r="3569" spans="12:26" x14ac:dyDescent="0.25">
      <c r="L3569" s="38"/>
      <c r="Z3569" s="38"/>
    </row>
    <row r="3570" spans="12:26" x14ac:dyDescent="0.25">
      <c r="L3570" s="38"/>
      <c r="Z3570" s="38"/>
    </row>
    <row r="3571" spans="12:26" x14ac:dyDescent="0.25">
      <c r="L3571" s="38"/>
      <c r="Z3571" s="38"/>
    </row>
    <row r="3572" spans="12:26" x14ac:dyDescent="0.25">
      <c r="L3572" s="38"/>
      <c r="Z3572" s="38"/>
    </row>
    <row r="3573" spans="12:26" x14ac:dyDescent="0.25">
      <c r="L3573" s="38"/>
      <c r="Z3573" s="38"/>
    </row>
    <row r="3574" spans="12:26" x14ac:dyDescent="0.25">
      <c r="L3574" s="38"/>
      <c r="Z3574" s="38"/>
    </row>
    <row r="3575" spans="12:26" x14ac:dyDescent="0.25">
      <c r="L3575" s="38"/>
      <c r="Z3575" s="38"/>
    </row>
    <row r="3576" spans="12:26" x14ac:dyDescent="0.25">
      <c r="L3576" s="38"/>
      <c r="Z3576" s="38"/>
    </row>
    <row r="3577" spans="12:26" x14ac:dyDescent="0.25">
      <c r="L3577" s="38"/>
      <c r="Z3577" s="38"/>
    </row>
    <row r="3578" spans="12:26" x14ac:dyDescent="0.25">
      <c r="L3578" s="38"/>
      <c r="Z3578" s="38"/>
    </row>
    <row r="3579" spans="12:26" x14ac:dyDescent="0.25">
      <c r="L3579" s="38"/>
      <c r="Z3579" s="38"/>
    </row>
    <row r="3580" spans="12:26" x14ac:dyDescent="0.25">
      <c r="L3580" s="38"/>
      <c r="Z3580" s="38"/>
    </row>
    <row r="3581" spans="12:26" x14ac:dyDescent="0.25">
      <c r="L3581" s="38"/>
      <c r="Z3581" s="38"/>
    </row>
    <row r="3582" spans="12:26" x14ac:dyDescent="0.25">
      <c r="L3582" s="38"/>
      <c r="Z3582" s="38"/>
    </row>
    <row r="3583" spans="12:26" x14ac:dyDescent="0.25">
      <c r="L3583" s="38"/>
      <c r="Z3583" s="38"/>
    </row>
    <row r="3584" spans="12:26" x14ac:dyDescent="0.25">
      <c r="L3584" s="38"/>
      <c r="Z3584" s="38"/>
    </row>
    <row r="3585" spans="12:26" x14ac:dyDescent="0.25">
      <c r="L3585" s="38"/>
      <c r="Z3585" s="38"/>
    </row>
    <row r="3586" spans="12:26" x14ac:dyDescent="0.25">
      <c r="L3586" s="38"/>
      <c r="Z3586" s="38"/>
    </row>
    <row r="3587" spans="12:26" x14ac:dyDescent="0.25">
      <c r="L3587" s="38"/>
      <c r="Z3587" s="38"/>
    </row>
    <row r="3588" spans="12:26" x14ac:dyDescent="0.25">
      <c r="L3588" s="38"/>
      <c r="Z3588" s="38"/>
    </row>
    <row r="3589" spans="12:26" x14ac:dyDescent="0.25">
      <c r="L3589" s="38"/>
      <c r="Z3589" s="38"/>
    </row>
    <row r="3590" spans="12:26" x14ac:dyDescent="0.25">
      <c r="L3590" s="38"/>
      <c r="Z3590" s="38"/>
    </row>
    <row r="3591" spans="12:26" x14ac:dyDescent="0.25">
      <c r="L3591" s="38"/>
      <c r="Z3591" s="38"/>
    </row>
    <row r="3592" spans="12:26" x14ac:dyDescent="0.25">
      <c r="L3592" s="38"/>
      <c r="Z3592" s="38"/>
    </row>
    <row r="3593" spans="12:26" x14ac:dyDescent="0.25">
      <c r="L3593" s="38"/>
      <c r="Z3593" s="38"/>
    </row>
    <row r="3594" spans="12:26" x14ac:dyDescent="0.25">
      <c r="L3594" s="38"/>
      <c r="Z3594" s="38"/>
    </row>
    <row r="3595" spans="12:26" x14ac:dyDescent="0.25">
      <c r="L3595" s="38"/>
      <c r="Z3595" s="38"/>
    </row>
    <row r="3596" spans="12:26" x14ac:dyDescent="0.25">
      <c r="L3596" s="38"/>
      <c r="Z3596" s="38"/>
    </row>
    <row r="3597" spans="12:26" x14ac:dyDescent="0.25">
      <c r="L3597" s="38"/>
      <c r="Z3597" s="38"/>
    </row>
    <row r="3598" spans="12:26" x14ac:dyDescent="0.25">
      <c r="L3598" s="38"/>
      <c r="Z3598" s="38"/>
    </row>
    <row r="3599" spans="12:26" x14ac:dyDescent="0.25">
      <c r="L3599" s="38"/>
      <c r="Z3599" s="38"/>
    </row>
    <row r="3600" spans="12:26" x14ac:dyDescent="0.25">
      <c r="L3600" s="38"/>
      <c r="Z3600" s="38"/>
    </row>
    <row r="3601" spans="12:26" x14ac:dyDescent="0.25">
      <c r="L3601" s="38"/>
      <c r="Z3601" s="38"/>
    </row>
    <row r="3602" spans="12:26" x14ac:dyDescent="0.25">
      <c r="L3602" s="38"/>
      <c r="Z3602" s="38"/>
    </row>
    <row r="3603" spans="12:26" x14ac:dyDescent="0.25">
      <c r="L3603" s="38"/>
      <c r="Z3603" s="38"/>
    </row>
    <row r="3604" spans="12:26" x14ac:dyDescent="0.25">
      <c r="L3604" s="38"/>
      <c r="Z3604" s="38"/>
    </row>
    <row r="3605" spans="12:26" x14ac:dyDescent="0.25">
      <c r="L3605" s="38"/>
      <c r="Z3605" s="38"/>
    </row>
    <row r="3606" spans="12:26" x14ac:dyDescent="0.25">
      <c r="L3606" s="38"/>
      <c r="Z3606" s="38"/>
    </row>
    <row r="3607" spans="12:26" x14ac:dyDescent="0.25">
      <c r="L3607" s="38"/>
      <c r="Z3607" s="38"/>
    </row>
    <row r="3608" spans="12:26" x14ac:dyDescent="0.25">
      <c r="L3608" s="38"/>
      <c r="Z3608" s="38"/>
    </row>
    <row r="3609" spans="12:26" x14ac:dyDescent="0.25">
      <c r="L3609" s="38"/>
      <c r="Z3609" s="38"/>
    </row>
    <row r="3610" spans="12:26" x14ac:dyDescent="0.25">
      <c r="L3610" s="38"/>
      <c r="Z3610" s="38"/>
    </row>
    <row r="3611" spans="12:26" x14ac:dyDescent="0.25">
      <c r="L3611" s="38"/>
      <c r="Z3611" s="38"/>
    </row>
    <row r="3612" spans="12:26" x14ac:dyDescent="0.25">
      <c r="L3612" s="38"/>
      <c r="Z3612" s="38"/>
    </row>
    <row r="3613" spans="12:26" x14ac:dyDescent="0.25">
      <c r="L3613" s="38"/>
      <c r="Z3613" s="38"/>
    </row>
    <row r="3614" spans="12:26" x14ac:dyDescent="0.25">
      <c r="L3614" s="38"/>
      <c r="Z3614" s="38"/>
    </row>
    <row r="3615" spans="12:26" x14ac:dyDescent="0.25">
      <c r="L3615" s="38"/>
      <c r="Z3615" s="38"/>
    </row>
    <row r="3616" spans="12:26" x14ac:dyDescent="0.25">
      <c r="L3616" s="38"/>
      <c r="Z3616" s="38"/>
    </row>
    <row r="3617" spans="12:26" x14ac:dyDescent="0.25">
      <c r="L3617" s="38"/>
      <c r="Z3617" s="38"/>
    </row>
    <row r="3618" spans="12:26" x14ac:dyDescent="0.25">
      <c r="L3618" s="38"/>
      <c r="Z3618" s="38"/>
    </row>
    <row r="3619" spans="12:26" x14ac:dyDescent="0.25">
      <c r="L3619" s="38"/>
      <c r="Z3619" s="38"/>
    </row>
    <row r="3620" spans="12:26" x14ac:dyDescent="0.25">
      <c r="L3620" s="38"/>
      <c r="Z3620" s="38"/>
    </row>
    <row r="3621" spans="12:26" x14ac:dyDescent="0.25">
      <c r="L3621" s="38"/>
      <c r="Z3621" s="38"/>
    </row>
    <row r="3622" spans="12:26" x14ac:dyDescent="0.25">
      <c r="L3622" s="38"/>
      <c r="Z3622" s="38"/>
    </row>
    <row r="3623" spans="12:26" x14ac:dyDescent="0.25">
      <c r="L3623" s="38"/>
      <c r="Z3623" s="38"/>
    </row>
    <row r="3624" spans="12:26" x14ac:dyDescent="0.25">
      <c r="L3624" s="38"/>
      <c r="Z3624" s="38"/>
    </row>
    <row r="3625" spans="12:26" x14ac:dyDescent="0.25">
      <c r="L3625" s="38"/>
      <c r="Z3625" s="38"/>
    </row>
    <row r="3626" spans="12:26" x14ac:dyDescent="0.25">
      <c r="L3626" s="38"/>
      <c r="Z3626" s="38"/>
    </row>
    <row r="3627" spans="12:26" x14ac:dyDescent="0.25">
      <c r="L3627" s="38"/>
      <c r="Z3627" s="38"/>
    </row>
    <row r="3628" spans="12:26" x14ac:dyDescent="0.25">
      <c r="L3628" s="38"/>
      <c r="Z3628" s="38"/>
    </row>
    <row r="3629" spans="12:26" x14ac:dyDescent="0.25">
      <c r="L3629" s="38"/>
      <c r="Z3629" s="38"/>
    </row>
    <row r="3630" spans="12:26" x14ac:dyDescent="0.25">
      <c r="L3630" s="38"/>
      <c r="Z3630" s="38"/>
    </row>
    <row r="3631" spans="12:26" x14ac:dyDescent="0.25">
      <c r="L3631" s="38"/>
      <c r="Z3631" s="38"/>
    </row>
    <row r="3632" spans="12:26" x14ac:dyDescent="0.25">
      <c r="L3632" s="38"/>
      <c r="Z3632" s="38"/>
    </row>
    <row r="3633" spans="12:26" x14ac:dyDescent="0.25">
      <c r="L3633" s="38"/>
      <c r="Z3633" s="38"/>
    </row>
    <row r="3634" spans="12:26" x14ac:dyDescent="0.25">
      <c r="L3634" s="38"/>
      <c r="Z3634" s="38"/>
    </row>
    <row r="3635" spans="12:26" x14ac:dyDescent="0.25">
      <c r="L3635" s="38"/>
      <c r="Z3635" s="38"/>
    </row>
    <row r="3636" spans="12:26" x14ac:dyDescent="0.25">
      <c r="L3636" s="38"/>
      <c r="Z3636" s="38"/>
    </row>
    <row r="3637" spans="12:26" x14ac:dyDescent="0.25">
      <c r="L3637" s="38"/>
      <c r="Z3637" s="38"/>
    </row>
    <row r="3638" spans="12:26" x14ac:dyDescent="0.25">
      <c r="L3638" s="38"/>
      <c r="Z3638" s="38"/>
    </row>
    <row r="3639" spans="12:26" x14ac:dyDescent="0.25">
      <c r="L3639" s="38"/>
      <c r="Z3639" s="38"/>
    </row>
    <row r="3640" spans="12:26" x14ac:dyDescent="0.25">
      <c r="L3640" s="38"/>
      <c r="Z3640" s="38"/>
    </row>
    <row r="3641" spans="12:26" x14ac:dyDescent="0.25">
      <c r="L3641" s="38"/>
      <c r="Z3641" s="38"/>
    </row>
    <row r="3642" spans="12:26" x14ac:dyDescent="0.25">
      <c r="L3642" s="38"/>
      <c r="Z3642" s="38"/>
    </row>
    <row r="3643" spans="12:26" x14ac:dyDescent="0.25">
      <c r="L3643" s="38"/>
      <c r="Z3643" s="38"/>
    </row>
    <row r="3644" spans="12:26" x14ac:dyDescent="0.25">
      <c r="L3644" s="38"/>
      <c r="Z3644" s="38"/>
    </row>
    <row r="3645" spans="12:26" x14ac:dyDescent="0.25">
      <c r="L3645" s="38"/>
      <c r="Z3645" s="38"/>
    </row>
    <row r="3646" spans="12:26" x14ac:dyDescent="0.25">
      <c r="L3646" s="38"/>
      <c r="Z3646" s="38"/>
    </row>
    <row r="3647" spans="12:26" x14ac:dyDescent="0.25">
      <c r="L3647" s="38"/>
      <c r="Z3647" s="38"/>
    </row>
    <row r="3648" spans="12:26" x14ac:dyDescent="0.25">
      <c r="L3648" s="38"/>
      <c r="Z3648" s="38"/>
    </row>
    <row r="3649" spans="12:26" x14ac:dyDescent="0.25">
      <c r="L3649" s="38"/>
      <c r="Z3649" s="38"/>
    </row>
    <row r="3650" spans="12:26" x14ac:dyDescent="0.25">
      <c r="L3650" s="38"/>
      <c r="Z3650" s="38"/>
    </row>
    <row r="3651" spans="12:26" x14ac:dyDescent="0.25">
      <c r="L3651" s="38"/>
      <c r="Z3651" s="38"/>
    </row>
    <row r="3652" spans="12:26" x14ac:dyDescent="0.25">
      <c r="L3652" s="38"/>
      <c r="Z3652" s="38"/>
    </row>
    <row r="3653" spans="12:26" x14ac:dyDescent="0.25">
      <c r="L3653" s="38"/>
      <c r="Z3653" s="38"/>
    </row>
    <row r="3654" spans="12:26" x14ac:dyDescent="0.25">
      <c r="L3654" s="38"/>
      <c r="Z3654" s="38"/>
    </row>
    <row r="3655" spans="12:26" x14ac:dyDescent="0.25">
      <c r="L3655" s="38"/>
      <c r="Z3655" s="38"/>
    </row>
    <row r="3656" spans="12:26" x14ac:dyDescent="0.25">
      <c r="L3656" s="38"/>
      <c r="Z3656" s="38"/>
    </row>
    <row r="3657" spans="12:26" x14ac:dyDescent="0.25">
      <c r="L3657" s="38"/>
      <c r="Z3657" s="38"/>
    </row>
    <row r="3658" spans="12:26" x14ac:dyDescent="0.25">
      <c r="L3658" s="38"/>
      <c r="Z3658" s="38"/>
    </row>
    <row r="3659" spans="12:26" x14ac:dyDescent="0.25">
      <c r="L3659" s="38"/>
      <c r="Z3659" s="38"/>
    </row>
    <row r="3660" spans="12:26" x14ac:dyDescent="0.25">
      <c r="L3660" s="38"/>
      <c r="Z3660" s="38"/>
    </row>
    <row r="3661" spans="12:26" x14ac:dyDescent="0.25">
      <c r="L3661" s="38"/>
      <c r="Z3661" s="38"/>
    </row>
    <row r="3662" spans="12:26" x14ac:dyDescent="0.25">
      <c r="L3662" s="38"/>
      <c r="Z3662" s="38"/>
    </row>
    <row r="3663" spans="12:26" x14ac:dyDescent="0.25">
      <c r="L3663" s="38"/>
      <c r="Z3663" s="38"/>
    </row>
    <row r="3664" spans="12:26" x14ac:dyDescent="0.25">
      <c r="L3664" s="38"/>
      <c r="Z3664" s="38"/>
    </row>
    <row r="3665" spans="12:26" x14ac:dyDescent="0.25">
      <c r="L3665" s="38"/>
      <c r="Z3665" s="38"/>
    </row>
    <row r="3666" spans="12:26" x14ac:dyDescent="0.25">
      <c r="L3666" s="38"/>
      <c r="Z3666" s="38"/>
    </row>
    <row r="3667" spans="12:26" x14ac:dyDescent="0.25">
      <c r="L3667" s="38"/>
      <c r="Z3667" s="38"/>
    </row>
    <row r="3668" spans="12:26" x14ac:dyDescent="0.25">
      <c r="L3668" s="38"/>
      <c r="Z3668" s="38"/>
    </row>
    <row r="3669" spans="12:26" x14ac:dyDescent="0.25">
      <c r="L3669" s="38"/>
      <c r="Z3669" s="38"/>
    </row>
    <row r="3670" spans="12:26" x14ac:dyDescent="0.25">
      <c r="L3670" s="38"/>
      <c r="Z3670" s="38"/>
    </row>
    <row r="3671" spans="12:26" x14ac:dyDescent="0.25">
      <c r="L3671" s="38"/>
      <c r="Z3671" s="38"/>
    </row>
    <row r="3672" spans="12:26" x14ac:dyDescent="0.25">
      <c r="L3672" s="38"/>
      <c r="Z3672" s="38"/>
    </row>
    <row r="3673" spans="12:26" x14ac:dyDescent="0.25">
      <c r="L3673" s="38"/>
      <c r="Z3673" s="38"/>
    </row>
    <row r="3674" spans="12:26" x14ac:dyDescent="0.25">
      <c r="L3674" s="38"/>
      <c r="Z3674" s="38"/>
    </row>
    <row r="3675" spans="12:26" x14ac:dyDescent="0.25">
      <c r="L3675" s="38"/>
      <c r="Z3675" s="38"/>
    </row>
    <row r="3676" spans="12:26" x14ac:dyDescent="0.25">
      <c r="L3676" s="38"/>
      <c r="Z3676" s="38"/>
    </row>
    <row r="3677" spans="12:26" x14ac:dyDescent="0.25">
      <c r="L3677" s="38"/>
      <c r="Z3677" s="38"/>
    </row>
    <row r="3678" spans="12:26" x14ac:dyDescent="0.25">
      <c r="L3678" s="38"/>
      <c r="Z3678" s="38"/>
    </row>
    <row r="3679" spans="12:26" x14ac:dyDescent="0.25">
      <c r="L3679" s="38"/>
      <c r="Z3679" s="38"/>
    </row>
    <row r="3680" spans="12:26" x14ac:dyDescent="0.25">
      <c r="L3680" s="38"/>
      <c r="Z3680" s="38"/>
    </row>
    <row r="3681" spans="12:26" x14ac:dyDescent="0.25">
      <c r="L3681" s="38"/>
      <c r="Z3681" s="38"/>
    </row>
    <row r="3682" spans="12:26" x14ac:dyDescent="0.25">
      <c r="L3682" s="38"/>
      <c r="Z3682" s="38"/>
    </row>
    <row r="3683" spans="12:26" x14ac:dyDescent="0.25">
      <c r="L3683" s="38"/>
      <c r="Z3683" s="38"/>
    </row>
    <row r="3684" spans="12:26" x14ac:dyDescent="0.25">
      <c r="L3684" s="38"/>
      <c r="Z3684" s="38"/>
    </row>
    <row r="3685" spans="12:26" x14ac:dyDescent="0.25">
      <c r="L3685" s="38"/>
      <c r="Z3685" s="38"/>
    </row>
    <row r="3686" spans="12:26" x14ac:dyDescent="0.25">
      <c r="L3686" s="38"/>
      <c r="Z3686" s="38"/>
    </row>
    <row r="3687" spans="12:26" x14ac:dyDescent="0.25">
      <c r="L3687" s="38"/>
      <c r="Z3687" s="38"/>
    </row>
    <row r="3688" spans="12:26" x14ac:dyDescent="0.25">
      <c r="L3688" s="38"/>
      <c r="Z3688" s="38"/>
    </row>
    <row r="3689" spans="12:26" x14ac:dyDescent="0.25">
      <c r="L3689" s="38"/>
      <c r="Z3689" s="38"/>
    </row>
    <row r="3690" spans="12:26" x14ac:dyDescent="0.25">
      <c r="L3690" s="38"/>
      <c r="Z3690" s="38"/>
    </row>
    <row r="3691" spans="12:26" x14ac:dyDescent="0.25">
      <c r="L3691" s="38"/>
      <c r="Z3691" s="38"/>
    </row>
    <row r="3692" spans="12:26" x14ac:dyDescent="0.25">
      <c r="L3692" s="38"/>
      <c r="Z3692" s="38"/>
    </row>
    <row r="3693" spans="12:26" x14ac:dyDescent="0.25">
      <c r="L3693" s="38"/>
      <c r="Z3693" s="38"/>
    </row>
    <row r="3694" spans="12:26" x14ac:dyDescent="0.25">
      <c r="L3694" s="38"/>
      <c r="Z3694" s="38"/>
    </row>
    <row r="3695" spans="12:26" x14ac:dyDescent="0.25">
      <c r="L3695" s="38"/>
      <c r="Z3695" s="38"/>
    </row>
    <row r="3696" spans="12:26" x14ac:dyDescent="0.25">
      <c r="L3696" s="38"/>
      <c r="Z3696" s="38"/>
    </row>
    <row r="3697" spans="12:26" x14ac:dyDescent="0.25">
      <c r="L3697" s="38"/>
      <c r="Z3697" s="38"/>
    </row>
    <row r="3698" spans="12:26" x14ac:dyDescent="0.25">
      <c r="L3698" s="38"/>
      <c r="Z3698" s="38"/>
    </row>
    <row r="3699" spans="12:26" x14ac:dyDescent="0.25">
      <c r="L3699" s="38"/>
      <c r="Z3699" s="38"/>
    </row>
    <row r="3700" spans="12:26" x14ac:dyDescent="0.25">
      <c r="L3700" s="38"/>
      <c r="Z3700" s="38"/>
    </row>
    <row r="3701" spans="12:26" x14ac:dyDescent="0.25">
      <c r="L3701" s="38"/>
      <c r="Z3701" s="38"/>
    </row>
    <row r="3702" spans="12:26" x14ac:dyDescent="0.25">
      <c r="L3702" s="38"/>
      <c r="Z3702" s="38"/>
    </row>
    <row r="3703" spans="12:26" x14ac:dyDescent="0.25">
      <c r="L3703" s="38"/>
      <c r="Z3703" s="38"/>
    </row>
    <row r="3704" spans="12:26" x14ac:dyDescent="0.25">
      <c r="L3704" s="38"/>
      <c r="Z3704" s="38"/>
    </row>
    <row r="3705" spans="12:26" x14ac:dyDescent="0.25">
      <c r="L3705" s="38"/>
      <c r="Z3705" s="38"/>
    </row>
    <row r="3706" spans="12:26" x14ac:dyDescent="0.25">
      <c r="L3706" s="38"/>
      <c r="Z3706" s="38"/>
    </row>
    <row r="3707" spans="12:26" x14ac:dyDescent="0.25">
      <c r="L3707" s="38"/>
      <c r="Z3707" s="38"/>
    </row>
    <row r="3708" spans="12:26" x14ac:dyDescent="0.25">
      <c r="L3708" s="38"/>
      <c r="Z3708" s="38"/>
    </row>
    <row r="3709" spans="12:26" x14ac:dyDescent="0.25">
      <c r="L3709" s="38"/>
      <c r="Z3709" s="38"/>
    </row>
    <row r="3710" spans="12:26" x14ac:dyDescent="0.25">
      <c r="L3710" s="38"/>
      <c r="Z3710" s="38"/>
    </row>
    <row r="3711" spans="12:26" x14ac:dyDescent="0.25">
      <c r="L3711" s="38"/>
      <c r="Z3711" s="38"/>
    </row>
    <row r="3712" spans="12:26" x14ac:dyDescent="0.25">
      <c r="L3712" s="38"/>
      <c r="Z3712" s="38"/>
    </row>
    <row r="3713" spans="12:26" x14ac:dyDescent="0.25">
      <c r="L3713" s="38"/>
      <c r="Z3713" s="38"/>
    </row>
    <row r="3714" spans="12:26" x14ac:dyDescent="0.25">
      <c r="L3714" s="38"/>
      <c r="Z3714" s="38"/>
    </row>
    <row r="3715" spans="12:26" x14ac:dyDescent="0.25">
      <c r="L3715" s="38"/>
      <c r="Z3715" s="38"/>
    </row>
    <row r="3716" spans="12:26" x14ac:dyDescent="0.25">
      <c r="L3716" s="38"/>
      <c r="Z3716" s="38"/>
    </row>
    <row r="3717" spans="12:26" x14ac:dyDescent="0.25">
      <c r="L3717" s="38"/>
      <c r="Z3717" s="38"/>
    </row>
    <row r="3718" spans="12:26" x14ac:dyDescent="0.25">
      <c r="L3718" s="38"/>
      <c r="Z3718" s="38"/>
    </row>
    <row r="3719" spans="12:26" x14ac:dyDescent="0.25">
      <c r="L3719" s="38"/>
      <c r="Z3719" s="38"/>
    </row>
    <row r="3720" spans="12:26" x14ac:dyDescent="0.25">
      <c r="L3720" s="38"/>
      <c r="Z3720" s="38"/>
    </row>
    <row r="3721" spans="12:26" x14ac:dyDescent="0.25">
      <c r="L3721" s="38"/>
      <c r="Z3721" s="38"/>
    </row>
    <row r="3722" spans="12:26" x14ac:dyDescent="0.25">
      <c r="L3722" s="38"/>
      <c r="Z3722" s="38"/>
    </row>
    <row r="3723" spans="12:26" x14ac:dyDescent="0.25">
      <c r="L3723" s="38"/>
      <c r="Z3723" s="38"/>
    </row>
    <row r="3724" spans="12:26" x14ac:dyDescent="0.25">
      <c r="L3724" s="38"/>
      <c r="Z3724" s="38"/>
    </row>
    <row r="3725" spans="12:26" x14ac:dyDescent="0.25">
      <c r="L3725" s="38"/>
      <c r="Z3725" s="38"/>
    </row>
    <row r="3726" spans="12:26" x14ac:dyDescent="0.25">
      <c r="L3726" s="38"/>
      <c r="Z3726" s="38"/>
    </row>
    <row r="3727" spans="12:26" x14ac:dyDescent="0.25">
      <c r="L3727" s="38"/>
      <c r="Z3727" s="38"/>
    </row>
    <row r="3728" spans="12:26" x14ac:dyDescent="0.25">
      <c r="L3728" s="38"/>
      <c r="Z3728" s="38"/>
    </row>
    <row r="3729" spans="12:26" x14ac:dyDescent="0.25">
      <c r="L3729" s="38"/>
      <c r="Z3729" s="38"/>
    </row>
    <row r="3730" spans="12:26" x14ac:dyDescent="0.25">
      <c r="L3730" s="38"/>
      <c r="Z3730" s="38"/>
    </row>
    <row r="3731" spans="12:26" x14ac:dyDescent="0.25">
      <c r="L3731" s="38"/>
      <c r="Z3731" s="38"/>
    </row>
    <row r="3732" spans="12:26" x14ac:dyDescent="0.25">
      <c r="L3732" s="38"/>
      <c r="Z3732" s="38"/>
    </row>
    <row r="3733" spans="12:26" x14ac:dyDescent="0.25">
      <c r="L3733" s="38"/>
      <c r="Z3733" s="38"/>
    </row>
    <row r="3734" spans="12:26" x14ac:dyDescent="0.25">
      <c r="L3734" s="38"/>
      <c r="Z3734" s="38"/>
    </row>
    <row r="3735" spans="12:26" x14ac:dyDescent="0.25">
      <c r="L3735" s="38"/>
      <c r="Z3735" s="38"/>
    </row>
    <row r="3736" spans="12:26" x14ac:dyDescent="0.25">
      <c r="L3736" s="38"/>
      <c r="Z3736" s="38"/>
    </row>
    <row r="3737" spans="12:26" x14ac:dyDescent="0.25">
      <c r="L3737" s="38"/>
      <c r="Z3737" s="38"/>
    </row>
    <row r="3738" spans="12:26" x14ac:dyDescent="0.25">
      <c r="L3738" s="38"/>
      <c r="Z3738" s="38"/>
    </row>
    <row r="3739" spans="12:26" x14ac:dyDescent="0.25">
      <c r="L3739" s="38"/>
      <c r="Z3739" s="38"/>
    </row>
    <row r="3740" spans="12:26" x14ac:dyDescent="0.25">
      <c r="L3740" s="38"/>
      <c r="Z3740" s="38"/>
    </row>
    <row r="3741" spans="12:26" x14ac:dyDescent="0.25">
      <c r="L3741" s="38"/>
      <c r="Z3741" s="38"/>
    </row>
    <row r="3742" spans="12:26" x14ac:dyDescent="0.25">
      <c r="L3742" s="38"/>
      <c r="Z3742" s="38"/>
    </row>
    <row r="3743" spans="12:26" x14ac:dyDescent="0.25">
      <c r="L3743" s="38"/>
      <c r="Z3743" s="38"/>
    </row>
    <row r="3744" spans="12:26" x14ac:dyDescent="0.25">
      <c r="L3744" s="38"/>
      <c r="Z3744" s="38"/>
    </row>
    <row r="3745" spans="12:26" x14ac:dyDescent="0.25">
      <c r="L3745" s="38"/>
      <c r="Z3745" s="38"/>
    </row>
    <row r="3746" spans="12:26" x14ac:dyDescent="0.25">
      <c r="L3746" s="38"/>
      <c r="Z3746" s="38"/>
    </row>
    <row r="3747" spans="12:26" x14ac:dyDescent="0.25">
      <c r="L3747" s="38"/>
      <c r="Z3747" s="38"/>
    </row>
    <row r="3748" spans="12:26" x14ac:dyDescent="0.25">
      <c r="L3748" s="38"/>
      <c r="Z3748" s="38"/>
    </row>
    <row r="3749" spans="12:26" x14ac:dyDescent="0.25">
      <c r="L3749" s="38"/>
      <c r="Z3749" s="38"/>
    </row>
    <row r="3750" spans="12:26" x14ac:dyDescent="0.25">
      <c r="L3750" s="38"/>
      <c r="Z3750" s="38"/>
    </row>
    <row r="3751" spans="12:26" x14ac:dyDescent="0.25">
      <c r="L3751" s="38"/>
      <c r="Z3751" s="38"/>
    </row>
    <row r="3752" spans="12:26" x14ac:dyDescent="0.25">
      <c r="L3752" s="38"/>
      <c r="Z3752" s="38"/>
    </row>
    <row r="3753" spans="12:26" x14ac:dyDescent="0.25">
      <c r="L3753" s="38"/>
      <c r="Z3753" s="38"/>
    </row>
    <row r="3754" spans="12:26" x14ac:dyDescent="0.25">
      <c r="L3754" s="38"/>
      <c r="Z3754" s="38"/>
    </row>
    <row r="3755" spans="12:26" x14ac:dyDescent="0.25">
      <c r="L3755" s="38"/>
      <c r="Z3755" s="38"/>
    </row>
    <row r="3756" spans="12:26" x14ac:dyDescent="0.25">
      <c r="L3756" s="38"/>
      <c r="Z3756" s="38"/>
    </row>
    <row r="3757" spans="12:26" x14ac:dyDescent="0.25">
      <c r="L3757" s="38"/>
      <c r="Z3757" s="38"/>
    </row>
    <row r="3758" spans="12:26" x14ac:dyDescent="0.25">
      <c r="L3758" s="38"/>
      <c r="Z3758" s="38"/>
    </row>
    <row r="3759" spans="12:26" x14ac:dyDescent="0.25">
      <c r="L3759" s="38"/>
      <c r="Z3759" s="38"/>
    </row>
    <row r="3760" spans="12:26" x14ac:dyDescent="0.25">
      <c r="L3760" s="38"/>
      <c r="Z3760" s="38"/>
    </row>
    <row r="3761" spans="12:26" x14ac:dyDescent="0.25">
      <c r="L3761" s="38"/>
      <c r="Z3761" s="38"/>
    </row>
    <row r="3762" spans="12:26" x14ac:dyDescent="0.25">
      <c r="L3762" s="38"/>
      <c r="Z3762" s="38"/>
    </row>
    <row r="3763" spans="12:26" x14ac:dyDescent="0.25">
      <c r="L3763" s="38"/>
      <c r="Z3763" s="38"/>
    </row>
    <row r="3764" spans="12:26" x14ac:dyDescent="0.25">
      <c r="L3764" s="38"/>
      <c r="Z3764" s="38"/>
    </row>
    <row r="3765" spans="12:26" x14ac:dyDescent="0.25">
      <c r="L3765" s="38"/>
      <c r="Z3765" s="38"/>
    </row>
    <row r="3766" spans="12:26" x14ac:dyDescent="0.25">
      <c r="L3766" s="38"/>
      <c r="Z3766" s="38"/>
    </row>
    <row r="3767" spans="12:26" x14ac:dyDescent="0.25">
      <c r="L3767" s="38"/>
      <c r="Z3767" s="38"/>
    </row>
    <row r="3768" spans="12:26" x14ac:dyDescent="0.25">
      <c r="L3768" s="38"/>
      <c r="Z3768" s="38"/>
    </row>
    <row r="3769" spans="12:26" x14ac:dyDescent="0.25">
      <c r="L3769" s="38"/>
      <c r="Z3769" s="38"/>
    </row>
    <row r="3770" spans="12:26" x14ac:dyDescent="0.25">
      <c r="L3770" s="38"/>
      <c r="Z3770" s="38"/>
    </row>
    <row r="3771" spans="12:26" x14ac:dyDescent="0.25">
      <c r="L3771" s="38"/>
      <c r="Z3771" s="38"/>
    </row>
    <row r="3772" spans="12:26" x14ac:dyDescent="0.25">
      <c r="L3772" s="38"/>
      <c r="Z3772" s="38"/>
    </row>
    <row r="3773" spans="12:26" x14ac:dyDescent="0.25">
      <c r="L3773" s="38"/>
      <c r="Z3773" s="38"/>
    </row>
    <row r="3774" spans="12:26" x14ac:dyDescent="0.25">
      <c r="L3774" s="38"/>
      <c r="Z3774" s="38"/>
    </row>
    <row r="3775" spans="12:26" x14ac:dyDescent="0.25">
      <c r="L3775" s="38"/>
      <c r="Z3775" s="38"/>
    </row>
    <row r="3776" spans="12:26" x14ac:dyDescent="0.25">
      <c r="L3776" s="38"/>
      <c r="Z3776" s="38"/>
    </row>
    <row r="3777" spans="12:26" x14ac:dyDescent="0.25">
      <c r="L3777" s="38"/>
      <c r="Z3777" s="38"/>
    </row>
    <row r="3778" spans="12:26" x14ac:dyDescent="0.25">
      <c r="L3778" s="38"/>
      <c r="Z3778" s="38"/>
    </row>
    <row r="3779" spans="12:26" x14ac:dyDescent="0.25">
      <c r="L3779" s="38"/>
      <c r="Z3779" s="38"/>
    </row>
    <row r="3780" spans="12:26" x14ac:dyDescent="0.25">
      <c r="L3780" s="38"/>
      <c r="Z3780" s="38"/>
    </row>
    <row r="3781" spans="12:26" x14ac:dyDescent="0.25">
      <c r="L3781" s="38"/>
      <c r="Z3781" s="38"/>
    </row>
    <row r="3782" spans="12:26" x14ac:dyDescent="0.25">
      <c r="L3782" s="38"/>
      <c r="Z3782" s="38"/>
    </row>
    <row r="3783" spans="12:26" x14ac:dyDescent="0.25">
      <c r="L3783" s="38"/>
      <c r="Z3783" s="38"/>
    </row>
    <row r="3784" spans="12:26" x14ac:dyDescent="0.25">
      <c r="L3784" s="38"/>
      <c r="Z3784" s="38"/>
    </row>
    <row r="3785" spans="12:26" x14ac:dyDescent="0.25">
      <c r="L3785" s="38"/>
      <c r="Z3785" s="38"/>
    </row>
    <row r="3786" spans="12:26" x14ac:dyDescent="0.25">
      <c r="L3786" s="38"/>
      <c r="Z3786" s="38"/>
    </row>
    <row r="3787" spans="12:26" x14ac:dyDescent="0.25">
      <c r="L3787" s="38"/>
      <c r="Z3787" s="38"/>
    </row>
    <row r="3788" spans="12:26" x14ac:dyDescent="0.25">
      <c r="L3788" s="38"/>
      <c r="Z3788" s="38"/>
    </row>
    <row r="3789" spans="12:26" x14ac:dyDescent="0.25">
      <c r="L3789" s="38"/>
      <c r="Z3789" s="38"/>
    </row>
    <row r="3790" spans="12:26" x14ac:dyDescent="0.25">
      <c r="L3790" s="38"/>
      <c r="Z3790" s="38"/>
    </row>
    <row r="3791" spans="12:26" x14ac:dyDescent="0.25">
      <c r="L3791" s="38"/>
      <c r="Z3791" s="38"/>
    </row>
    <row r="3792" spans="12:26" x14ac:dyDescent="0.25">
      <c r="L3792" s="38"/>
      <c r="Z3792" s="38"/>
    </row>
    <row r="3793" spans="12:26" x14ac:dyDescent="0.25">
      <c r="L3793" s="38"/>
      <c r="Z3793" s="38"/>
    </row>
    <row r="3794" spans="12:26" x14ac:dyDescent="0.25">
      <c r="L3794" s="38"/>
      <c r="Z3794" s="38"/>
    </row>
    <row r="3795" spans="12:26" x14ac:dyDescent="0.25">
      <c r="L3795" s="38"/>
      <c r="Z3795" s="38"/>
    </row>
    <row r="3796" spans="12:26" x14ac:dyDescent="0.25">
      <c r="L3796" s="38"/>
      <c r="Z3796" s="38"/>
    </row>
    <row r="3797" spans="12:26" x14ac:dyDescent="0.25">
      <c r="L3797" s="38"/>
      <c r="Z3797" s="38"/>
    </row>
    <row r="3798" spans="12:26" x14ac:dyDescent="0.25">
      <c r="L3798" s="38"/>
      <c r="Z3798" s="38"/>
    </row>
    <row r="3799" spans="12:26" x14ac:dyDescent="0.25">
      <c r="L3799" s="38"/>
      <c r="Z3799" s="38"/>
    </row>
    <row r="3800" spans="12:26" x14ac:dyDescent="0.25">
      <c r="L3800" s="38"/>
      <c r="Z3800" s="38"/>
    </row>
    <row r="3801" spans="12:26" x14ac:dyDescent="0.25">
      <c r="L3801" s="38"/>
      <c r="Z3801" s="38"/>
    </row>
    <row r="3802" spans="12:26" x14ac:dyDescent="0.25">
      <c r="L3802" s="38"/>
      <c r="Z3802" s="38"/>
    </row>
    <row r="3803" spans="12:26" x14ac:dyDescent="0.25">
      <c r="L3803" s="38"/>
      <c r="Z3803" s="38"/>
    </row>
    <row r="3804" spans="12:26" x14ac:dyDescent="0.25">
      <c r="L3804" s="38"/>
      <c r="Z3804" s="38"/>
    </row>
    <row r="3805" spans="12:26" x14ac:dyDescent="0.25">
      <c r="L3805" s="38"/>
      <c r="Z3805" s="38"/>
    </row>
    <row r="3806" spans="12:26" x14ac:dyDescent="0.25">
      <c r="L3806" s="38"/>
      <c r="Z3806" s="38"/>
    </row>
    <row r="3807" spans="12:26" x14ac:dyDescent="0.25">
      <c r="L3807" s="38"/>
      <c r="Z3807" s="38"/>
    </row>
    <row r="3808" spans="12:26" x14ac:dyDescent="0.25">
      <c r="L3808" s="38"/>
      <c r="Z3808" s="38"/>
    </row>
    <row r="3809" spans="12:26" x14ac:dyDescent="0.25">
      <c r="L3809" s="38"/>
      <c r="Z3809" s="38"/>
    </row>
    <row r="3810" spans="12:26" x14ac:dyDescent="0.25">
      <c r="L3810" s="38"/>
      <c r="Z3810" s="38"/>
    </row>
    <row r="3811" spans="12:26" x14ac:dyDescent="0.25">
      <c r="L3811" s="38"/>
      <c r="Z3811" s="38"/>
    </row>
    <row r="3812" spans="12:26" x14ac:dyDescent="0.25">
      <c r="L3812" s="38"/>
      <c r="Z3812" s="38"/>
    </row>
    <row r="3813" spans="12:26" x14ac:dyDescent="0.25">
      <c r="L3813" s="38"/>
      <c r="Z3813" s="38"/>
    </row>
    <row r="3814" spans="12:26" x14ac:dyDescent="0.25">
      <c r="L3814" s="38"/>
      <c r="Z3814" s="38"/>
    </row>
    <row r="3815" spans="12:26" x14ac:dyDescent="0.25">
      <c r="L3815" s="38"/>
      <c r="Z3815" s="38"/>
    </row>
    <row r="3816" spans="12:26" x14ac:dyDescent="0.25">
      <c r="L3816" s="38"/>
      <c r="Z3816" s="38"/>
    </row>
    <row r="3817" spans="12:26" x14ac:dyDescent="0.25">
      <c r="L3817" s="38"/>
      <c r="Z3817" s="38"/>
    </row>
    <row r="3818" spans="12:26" x14ac:dyDescent="0.25">
      <c r="L3818" s="38"/>
      <c r="Z3818" s="38"/>
    </row>
    <row r="3819" spans="12:26" x14ac:dyDescent="0.25">
      <c r="L3819" s="38"/>
      <c r="Z3819" s="38"/>
    </row>
    <row r="3820" spans="12:26" x14ac:dyDescent="0.25">
      <c r="L3820" s="38"/>
      <c r="Z3820" s="38"/>
    </row>
    <row r="3821" spans="12:26" x14ac:dyDescent="0.25">
      <c r="L3821" s="38"/>
      <c r="Z3821" s="38"/>
    </row>
    <row r="3822" spans="12:26" x14ac:dyDescent="0.25">
      <c r="L3822" s="38"/>
      <c r="Z3822" s="38"/>
    </row>
    <row r="3823" spans="12:26" x14ac:dyDescent="0.25">
      <c r="L3823" s="38"/>
      <c r="Z3823" s="38"/>
    </row>
    <row r="3824" spans="12:26" x14ac:dyDescent="0.25">
      <c r="L3824" s="38"/>
      <c r="Z3824" s="38"/>
    </row>
    <row r="3825" spans="12:26" x14ac:dyDescent="0.25">
      <c r="L3825" s="38"/>
      <c r="Z3825" s="38"/>
    </row>
    <row r="3826" spans="12:26" x14ac:dyDescent="0.25">
      <c r="L3826" s="38"/>
      <c r="Z3826" s="38"/>
    </row>
    <row r="3827" spans="12:26" x14ac:dyDescent="0.25">
      <c r="L3827" s="38"/>
      <c r="Z3827" s="38"/>
    </row>
    <row r="3828" spans="12:26" x14ac:dyDescent="0.25">
      <c r="L3828" s="38"/>
      <c r="Z3828" s="38"/>
    </row>
    <row r="3829" spans="12:26" x14ac:dyDescent="0.25">
      <c r="L3829" s="38"/>
      <c r="Z3829" s="38"/>
    </row>
    <row r="3830" spans="12:26" x14ac:dyDescent="0.25">
      <c r="L3830" s="38"/>
      <c r="Z3830" s="38"/>
    </row>
    <row r="3831" spans="12:26" x14ac:dyDescent="0.25">
      <c r="L3831" s="38"/>
      <c r="Z3831" s="38"/>
    </row>
    <row r="3832" spans="12:26" x14ac:dyDescent="0.25">
      <c r="L3832" s="38"/>
      <c r="Z3832" s="38"/>
    </row>
    <row r="3833" spans="12:26" x14ac:dyDescent="0.25">
      <c r="L3833" s="38"/>
      <c r="Z3833" s="38"/>
    </row>
    <row r="3834" spans="12:26" x14ac:dyDescent="0.25">
      <c r="L3834" s="38"/>
      <c r="Z3834" s="38"/>
    </row>
    <row r="3835" spans="12:26" x14ac:dyDescent="0.25">
      <c r="L3835" s="38"/>
      <c r="Z3835" s="38"/>
    </row>
    <row r="3836" spans="12:26" x14ac:dyDescent="0.25">
      <c r="L3836" s="38"/>
      <c r="Z3836" s="38"/>
    </row>
    <row r="3837" spans="12:26" x14ac:dyDescent="0.25">
      <c r="L3837" s="38"/>
      <c r="Z3837" s="38"/>
    </row>
    <row r="3838" spans="12:26" x14ac:dyDescent="0.25">
      <c r="L3838" s="38"/>
      <c r="Z3838" s="38"/>
    </row>
    <row r="3839" spans="12:26" x14ac:dyDescent="0.25">
      <c r="L3839" s="38"/>
      <c r="Z3839" s="38"/>
    </row>
    <row r="3840" spans="12:26" x14ac:dyDescent="0.25">
      <c r="L3840" s="38"/>
      <c r="Z3840" s="38"/>
    </row>
    <row r="3841" spans="12:26" x14ac:dyDescent="0.25">
      <c r="L3841" s="38"/>
      <c r="Z3841" s="38"/>
    </row>
    <row r="3842" spans="12:26" x14ac:dyDescent="0.25">
      <c r="L3842" s="38"/>
      <c r="Z3842" s="38"/>
    </row>
    <row r="3843" spans="12:26" x14ac:dyDescent="0.25">
      <c r="L3843" s="38"/>
      <c r="Z3843" s="38"/>
    </row>
    <row r="3844" spans="12:26" x14ac:dyDescent="0.25">
      <c r="L3844" s="38"/>
      <c r="Z3844" s="38"/>
    </row>
    <row r="3845" spans="12:26" x14ac:dyDescent="0.25">
      <c r="L3845" s="38"/>
      <c r="Z3845" s="38"/>
    </row>
    <row r="3846" spans="12:26" x14ac:dyDescent="0.25">
      <c r="L3846" s="38"/>
      <c r="Z3846" s="38"/>
    </row>
    <row r="3847" spans="12:26" x14ac:dyDescent="0.25">
      <c r="L3847" s="38"/>
      <c r="Z3847" s="38"/>
    </row>
    <row r="3848" spans="12:26" x14ac:dyDescent="0.25">
      <c r="L3848" s="38"/>
      <c r="Z3848" s="38"/>
    </row>
    <row r="3849" spans="12:26" x14ac:dyDescent="0.25">
      <c r="L3849" s="38"/>
      <c r="Z3849" s="38"/>
    </row>
    <row r="3850" spans="12:26" x14ac:dyDescent="0.25">
      <c r="L3850" s="38"/>
      <c r="Z3850" s="38"/>
    </row>
    <row r="3851" spans="12:26" x14ac:dyDescent="0.25">
      <c r="L3851" s="38"/>
      <c r="Z3851" s="38"/>
    </row>
    <row r="3852" spans="12:26" x14ac:dyDescent="0.25">
      <c r="L3852" s="38"/>
      <c r="Z3852" s="38"/>
    </row>
    <row r="3853" spans="12:26" x14ac:dyDescent="0.25">
      <c r="L3853" s="38"/>
      <c r="Z3853" s="38"/>
    </row>
    <row r="3854" spans="12:26" x14ac:dyDescent="0.25">
      <c r="L3854" s="38"/>
      <c r="Z3854" s="38"/>
    </row>
    <row r="3855" spans="12:26" x14ac:dyDescent="0.25">
      <c r="L3855" s="38"/>
      <c r="Z3855" s="38"/>
    </row>
    <row r="3856" spans="12:26" x14ac:dyDescent="0.25">
      <c r="L3856" s="38"/>
      <c r="Z3856" s="38"/>
    </row>
    <row r="3857" spans="12:26" x14ac:dyDescent="0.25">
      <c r="L3857" s="38"/>
      <c r="Z3857" s="38"/>
    </row>
    <row r="3858" spans="12:26" x14ac:dyDescent="0.25">
      <c r="L3858" s="38"/>
      <c r="Z3858" s="38"/>
    </row>
    <row r="3859" spans="12:26" x14ac:dyDescent="0.25">
      <c r="L3859" s="38"/>
      <c r="Z3859" s="38"/>
    </row>
    <row r="3860" spans="12:26" x14ac:dyDescent="0.25">
      <c r="L3860" s="38"/>
      <c r="Z3860" s="38"/>
    </row>
    <row r="3861" spans="12:26" x14ac:dyDescent="0.25">
      <c r="L3861" s="38"/>
      <c r="Z3861" s="38"/>
    </row>
    <row r="3862" spans="12:26" x14ac:dyDescent="0.25">
      <c r="L3862" s="38"/>
      <c r="Z3862" s="38"/>
    </row>
    <row r="3863" spans="12:26" x14ac:dyDescent="0.25">
      <c r="L3863" s="38"/>
      <c r="Z3863" s="38"/>
    </row>
    <row r="3864" spans="12:26" x14ac:dyDescent="0.25">
      <c r="L3864" s="38"/>
      <c r="Z3864" s="38"/>
    </row>
    <row r="3865" spans="12:26" x14ac:dyDescent="0.25">
      <c r="L3865" s="38"/>
      <c r="Z3865" s="38"/>
    </row>
    <row r="3866" spans="12:26" x14ac:dyDescent="0.25">
      <c r="L3866" s="38"/>
      <c r="Z3866" s="38"/>
    </row>
    <row r="3867" spans="12:26" x14ac:dyDescent="0.25">
      <c r="L3867" s="38"/>
      <c r="Z3867" s="38"/>
    </row>
    <row r="3868" spans="12:26" x14ac:dyDescent="0.25">
      <c r="L3868" s="38"/>
      <c r="Z3868" s="38"/>
    </row>
    <row r="3869" spans="12:26" x14ac:dyDescent="0.25">
      <c r="L3869" s="38"/>
      <c r="Z3869" s="38"/>
    </row>
    <row r="3870" spans="12:26" x14ac:dyDescent="0.25">
      <c r="L3870" s="38"/>
      <c r="Z3870" s="38"/>
    </row>
    <row r="3871" spans="12:26" x14ac:dyDescent="0.25">
      <c r="L3871" s="38"/>
      <c r="Z3871" s="38"/>
    </row>
    <row r="3872" spans="12:26" x14ac:dyDescent="0.25">
      <c r="L3872" s="38"/>
      <c r="Z3872" s="38"/>
    </row>
    <row r="3873" spans="12:26" x14ac:dyDescent="0.25">
      <c r="L3873" s="38"/>
      <c r="Z3873" s="38"/>
    </row>
    <row r="3874" spans="12:26" x14ac:dyDescent="0.25">
      <c r="L3874" s="38"/>
      <c r="Z3874" s="38"/>
    </row>
    <row r="3875" spans="12:26" x14ac:dyDescent="0.25">
      <c r="L3875" s="38"/>
      <c r="Z3875" s="38"/>
    </row>
    <row r="3876" spans="12:26" x14ac:dyDescent="0.25">
      <c r="L3876" s="38"/>
      <c r="Z3876" s="38"/>
    </row>
    <row r="3877" spans="12:26" x14ac:dyDescent="0.25">
      <c r="L3877" s="38"/>
      <c r="Z3877" s="38"/>
    </row>
    <row r="3878" spans="12:26" x14ac:dyDescent="0.25">
      <c r="L3878" s="38"/>
      <c r="Z3878" s="38"/>
    </row>
    <row r="3879" spans="12:26" x14ac:dyDescent="0.25">
      <c r="L3879" s="38"/>
      <c r="Z3879" s="38"/>
    </row>
    <row r="3880" spans="12:26" x14ac:dyDescent="0.25">
      <c r="L3880" s="38"/>
      <c r="Z3880" s="38"/>
    </row>
    <row r="3881" spans="12:26" x14ac:dyDescent="0.25">
      <c r="L3881" s="38"/>
      <c r="Z3881" s="38"/>
    </row>
    <row r="3882" spans="12:26" x14ac:dyDescent="0.25">
      <c r="L3882" s="38"/>
      <c r="Z3882" s="38"/>
    </row>
    <row r="3883" spans="12:26" x14ac:dyDescent="0.25">
      <c r="L3883" s="38"/>
      <c r="Z3883" s="38"/>
    </row>
    <row r="3884" spans="12:26" x14ac:dyDescent="0.25">
      <c r="L3884" s="38"/>
      <c r="Z3884" s="38"/>
    </row>
    <row r="3885" spans="12:26" x14ac:dyDescent="0.25">
      <c r="L3885" s="38"/>
      <c r="Z3885" s="38"/>
    </row>
    <row r="3886" spans="12:26" x14ac:dyDescent="0.25">
      <c r="L3886" s="38"/>
      <c r="Z3886" s="38"/>
    </row>
    <row r="3887" spans="12:26" x14ac:dyDescent="0.25">
      <c r="L3887" s="38"/>
      <c r="Z3887" s="38"/>
    </row>
    <row r="3888" spans="12:26" x14ac:dyDescent="0.25">
      <c r="L3888" s="38"/>
      <c r="Z3888" s="38"/>
    </row>
    <row r="3889" spans="12:26" x14ac:dyDescent="0.25">
      <c r="L3889" s="38"/>
      <c r="Z3889" s="38"/>
    </row>
    <row r="3890" spans="12:26" x14ac:dyDescent="0.25">
      <c r="L3890" s="38"/>
      <c r="Z3890" s="38"/>
    </row>
    <row r="3891" spans="12:26" x14ac:dyDescent="0.25">
      <c r="L3891" s="38"/>
      <c r="Z3891" s="38"/>
    </row>
    <row r="3892" spans="12:26" x14ac:dyDescent="0.25">
      <c r="L3892" s="38"/>
      <c r="Z3892" s="38"/>
    </row>
    <row r="3893" spans="12:26" x14ac:dyDescent="0.25">
      <c r="L3893" s="38"/>
      <c r="Z3893" s="38"/>
    </row>
    <row r="3894" spans="12:26" x14ac:dyDescent="0.25">
      <c r="L3894" s="38"/>
      <c r="Z3894" s="38"/>
    </row>
    <row r="3895" spans="12:26" x14ac:dyDescent="0.25">
      <c r="L3895" s="38"/>
      <c r="Z3895" s="38"/>
    </row>
    <row r="3896" spans="12:26" x14ac:dyDescent="0.25">
      <c r="L3896" s="38"/>
      <c r="Z3896" s="38"/>
    </row>
    <row r="3897" spans="12:26" x14ac:dyDescent="0.25">
      <c r="L3897" s="38"/>
      <c r="Z3897" s="38"/>
    </row>
    <row r="3898" spans="12:26" x14ac:dyDescent="0.25">
      <c r="L3898" s="38"/>
      <c r="Z3898" s="38"/>
    </row>
    <row r="3899" spans="12:26" x14ac:dyDescent="0.25">
      <c r="L3899" s="38"/>
      <c r="Z3899" s="38"/>
    </row>
    <row r="3900" spans="12:26" x14ac:dyDescent="0.25">
      <c r="L3900" s="38"/>
      <c r="Z3900" s="38"/>
    </row>
    <row r="3901" spans="12:26" x14ac:dyDescent="0.25">
      <c r="L3901" s="38"/>
      <c r="Z3901" s="38"/>
    </row>
    <row r="3902" spans="12:26" x14ac:dyDescent="0.25">
      <c r="L3902" s="38"/>
      <c r="Z3902" s="38"/>
    </row>
    <row r="3903" spans="12:26" x14ac:dyDescent="0.25">
      <c r="L3903" s="38"/>
      <c r="Z3903" s="38"/>
    </row>
    <row r="3904" spans="12:26" x14ac:dyDescent="0.25">
      <c r="L3904" s="38"/>
      <c r="Z3904" s="38"/>
    </row>
    <row r="3905" spans="12:26" x14ac:dyDescent="0.25">
      <c r="L3905" s="38"/>
      <c r="Z3905" s="38"/>
    </row>
    <row r="3906" spans="12:26" x14ac:dyDescent="0.25">
      <c r="L3906" s="38"/>
      <c r="Z3906" s="38"/>
    </row>
    <row r="3907" spans="12:26" x14ac:dyDescent="0.25">
      <c r="L3907" s="38"/>
      <c r="Z3907" s="38"/>
    </row>
    <row r="3908" spans="12:26" x14ac:dyDescent="0.25">
      <c r="L3908" s="38"/>
      <c r="Z3908" s="38"/>
    </row>
    <row r="3909" spans="12:26" x14ac:dyDescent="0.25">
      <c r="L3909" s="38"/>
      <c r="Z3909" s="38"/>
    </row>
    <row r="3910" spans="12:26" x14ac:dyDescent="0.25">
      <c r="L3910" s="38"/>
      <c r="Z3910" s="38"/>
    </row>
    <row r="3911" spans="12:26" x14ac:dyDescent="0.25">
      <c r="L3911" s="38"/>
      <c r="Z3911" s="38"/>
    </row>
    <row r="3912" spans="12:26" x14ac:dyDescent="0.25">
      <c r="L3912" s="38"/>
      <c r="Z3912" s="38"/>
    </row>
    <row r="3913" spans="12:26" x14ac:dyDescent="0.25">
      <c r="L3913" s="38"/>
      <c r="Z3913" s="38"/>
    </row>
    <row r="3914" spans="12:26" x14ac:dyDescent="0.25">
      <c r="L3914" s="38"/>
      <c r="Z3914" s="38"/>
    </row>
    <row r="3915" spans="12:26" x14ac:dyDescent="0.25">
      <c r="L3915" s="38"/>
      <c r="Z3915" s="38"/>
    </row>
    <row r="3916" spans="12:26" x14ac:dyDescent="0.25">
      <c r="L3916" s="38"/>
      <c r="Z3916" s="38"/>
    </row>
    <row r="3917" spans="12:26" x14ac:dyDescent="0.25">
      <c r="L3917" s="38"/>
      <c r="Z3917" s="38"/>
    </row>
    <row r="3918" spans="12:26" x14ac:dyDescent="0.25">
      <c r="L3918" s="38"/>
      <c r="Z3918" s="38"/>
    </row>
    <row r="3919" spans="12:26" x14ac:dyDescent="0.25">
      <c r="L3919" s="38"/>
      <c r="Z3919" s="38"/>
    </row>
    <row r="3920" spans="12:26" x14ac:dyDescent="0.25">
      <c r="L3920" s="38"/>
      <c r="Z3920" s="38"/>
    </row>
    <row r="3921" spans="12:26" x14ac:dyDescent="0.25">
      <c r="L3921" s="38"/>
      <c r="Z3921" s="38"/>
    </row>
    <row r="3922" spans="12:26" x14ac:dyDescent="0.25">
      <c r="L3922" s="38"/>
      <c r="Z3922" s="38"/>
    </row>
    <row r="3923" spans="12:26" x14ac:dyDescent="0.25">
      <c r="L3923" s="38"/>
      <c r="Z3923" s="38"/>
    </row>
    <row r="3924" spans="12:26" x14ac:dyDescent="0.25">
      <c r="L3924" s="38"/>
      <c r="Z3924" s="38"/>
    </row>
    <row r="3925" spans="12:26" x14ac:dyDescent="0.25">
      <c r="L3925" s="38"/>
      <c r="Z3925" s="38"/>
    </row>
    <row r="3926" spans="12:26" x14ac:dyDescent="0.25">
      <c r="L3926" s="38"/>
      <c r="Z3926" s="38"/>
    </row>
    <row r="3927" spans="12:26" x14ac:dyDescent="0.25">
      <c r="L3927" s="38"/>
      <c r="Z3927" s="38"/>
    </row>
    <row r="3928" spans="12:26" x14ac:dyDescent="0.25">
      <c r="L3928" s="38"/>
      <c r="Z3928" s="38"/>
    </row>
    <row r="3929" spans="12:26" x14ac:dyDescent="0.25">
      <c r="L3929" s="38"/>
      <c r="Z3929" s="38"/>
    </row>
    <row r="3930" spans="12:26" x14ac:dyDescent="0.25">
      <c r="L3930" s="38"/>
      <c r="Z3930" s="38"/>
    </row>
    <row r="3931" spans="12:26" x14ac:dyDescent="0.25">
      <c r="L3931" s="38"/>
      <c r="Z3931" s="38"/>
    </row>
    <row r="3932" spans="12:26" x14ac:dyDescent="0.25">
      <c r="L3932" s="38"/>
      <c r="Z3932" s="38"/>
    </row>
    <row r="3933" spans="12:26" x14ac:dyDescent="0.25">
      <c r="L3933" s="38"/>
      <c r="Z3933" s="38"/>
    </row>
    <row r="3934" spans="12:26" x14ac:dyDescent="0.25">
      <c r="L3934" s="38"/>
      <c r="Z3934" s="38"/>
    </row>
    <row r="3935" spans="12:26" x14ac:dyDescent="0.25">
      <c r="L3935" s="38"/>
      <c r="Z3935" s="38"/>
    </row>
    <row r="3936" spans="12:26" x14ac:dyDescent="0.25">
      <c r="L3936" s="38"/>
      <c r="Z3936" s="38"/>
    </row>
    <row r="3937" spans="12:26" x14ac:dyDescent="0.25">
      <c r="L3937" s="38"/>
      <c r="Z3937" s="38"/>
    </row>
    <row r="3938" spans="12:26" x14ac:dyDescent="0.25">
      <c r="L3938" s="38"/>
      <c r="Z3938" s="38"/>
    </row>
    <row r="3939" spans="12:26" x14ac:dyDescent="0.25">
      <c r="L3939" s="38"/>
      <c r="Z3939" s="38"/>
    </row>
    <row r="3940" spans="12:26" x14ac:dyDescent="0.25">
      <c r="L3940" s="38"/>
      <c r="Z3940" s="38"/>
    </row>
    <row r="3941" spans="12:26" x14ac:dyDescent="0.25">
      <c r="L3941" s="38"/>
      <c r="Z3941" s="38"/>
    </row>
    <row r="3942" spans="12:26" x14ac:dyDescent="0.25">
      <c r="L3942" s="38"/>
      <c r="Z3942" s="38"/>
    </row>
    <row r="3943" spans="12:26" x14ac:dyDescent="0.25">
      <c r="L3943" s="38"/>
      <c r="Z3943" s="38"/>
    </row>
    <row r="3944" spans="12:26" x14ac:dyDescent="0.25">
      <c r="L3944" s="38"/>
      <c r="Z3944" s="38"/>
    </row>
    <row r="3945" spans="12:26" x14ac:dyDescent="0.25">
      <c r="L3945" s="38"/>
      <c r="Z3945" s="38"/>
    </row>
    <row r="3946" spans="12:26" x14ac:dyDescent="0.25">
      <c r="L3946" s="38"/>
      <c r="Z3946" s="38"/>
    </row>
    <row r="3947" spans="12:26" x14ac:dyDescent="0.25">
      <c r="L3947" s="38"/>
      <c r="Z3947" s="38"/>
    </row>
    <row r="3948" spans="12:26" x14ac:dyDescent="0.25">
      <c r="L3948" s="38"/>
      <c r="Z3948" s="38"/>
    </row>
    <row r="3949" spans="12:26" x14ac:dyDescent="0.25">
      <c r="L3949" s="38"/>
      <c r="Z3949" s="38"/>
    </row>
    <row r="3950" spans="12:26" x14ac:dyDescent="0.25">
      <c r="L3950" s="38"/>
      <c r="Z3950" s="38"/>
    </row>
    <row r="3951" spans="12:26" x14ac:dyDescent="0.25">
      <c r="L3951" s="38"/>
      <c r="Z3951" s="38"/>
    </row>
    <row r="3952" spans="12:26" x14ac:dyDescent="0.25">
      <c r="L3952" s="38"/>
      <c r="Z3952" s="38"/>
    </row>
    <row r="3953" spans="12:26" x14ac:dyDescent="0.25">
      <c r="L3953" s="38"/>
      <c r="Z3953" s="38"/>
    </row>
    <row r="3954" spans="12:26" x14ac:dyDescent="0.25">
      <c r="L3954" s="38"/>
      <c r="Z3954" s="38"/>
    </row>
    <row r="3955" spans="12:26" x14ac:dyDescent="0.25">
      <c r="L3955" s="38"/>
      <c r="Z3955" s="38"/>
    </row>
    <row r="3956" spans="12:26" x14ac:dyDescent="0.25">
      <c r="L3956" s="38"/>
      <c r="Z3956" s="38"/>
    </row>
    <row r="3957" spans="12:26" x14ac:dyDescent="0.25">
      <c r="L3957" s="38"/>
      <c r="Z3957" s="38"/>
    </row>
    <row r="3958" spans="12:26" x14ac:dyDescent="0.25">
      <c r="L3958" s="38"/>
      <c r="Z3958" s="38"/>
    </row>
    <row r="3959" spans="12:26" x14ac:dyDescent="0.25">
      <c r="L3959" s="38"/>
      <c r="Z3959" s="38"/>
    </row>
    <row r="3960" spans="12:26" x14ac:dyDescent="0.25">
      <c r="L3960" s="38"/>
      <c r="Z3960" s="38"/>
    </row>
    <row r="3961" spans="12:26" x14ac:dyDescent="0.25">
      <c r="L3961" s="38"/>
      <c r="Z3961" s="38"/>
    </row>
    <row r="3962" spans="12:26" x14ac:dyDescent="0.25">
      <c r="L3962" s="38"/>
      <c r="Z3962" s="38"/>
    </row>
    <row r="3963" spans="12:26" x14ac:dyDescent="0.25">
      <c r="L3963" s="38"/>
      <c r="Z3963" s="38"/>
    </row>
    <row r="3964" spans="12:26" x14ac:dyDescent="0.25">
      <c r="L3964" s="38"/>
      <c r="Z3964" s="38"/>
    </row>
    <row r="3965" spans="12:26" x14ac:dyDescent="0.25">
      <c r="L3965" s="38"/>
      <c r="Z3965" s="38"/>
    </row>
    <row r="3966" spans="12:26" x14ac:dyDescent="0.25">
      <c r="L3966" s="38"/>
      <c r="Z3966" s="38"/>
    </row>
    <row r="3967" spans="12:26" x14ac:dyDescent="0.25">
      <c r="L3967" s="38"/>
      <c r="Z3967" s="38"/>
    </row>
    <row r="3968" spans="12:26" x14ac:dyDescent="0.25">
      <c r="L3968" s="38"/>
      <c r="Z3968" s="38"/>
    </row>
    <row r="3969" spans="12:26" x14ac:dyDescent="0.25">
      <c r="L3969" s="38"/>
      <c r="Z3969" s="38"/>
    </row>
    <row r="3970" spans="12:26" x14ac:dyDescent="0.25">
      <c r="L3970" s="38"/>
      <c r="Z3970" s="38"/>
    </row>
    <row r="3971" spans="12:26" x14ac:dyDescent="0.25">
      <c r="L3971" s="38"/>
      <c r="Z3971" s="38"/>
    </row>
    <row r="3972" spans="12:26" x14ac:dyDescent="0.25">
      <c r="L3972" s="38"/>
      <c r="Z3972" s="38"/>
    </row>
    <row r="3973" spans="12:26" x14ac:dyDescent="0.25">
      <c r="L3973" s="38"/>
      <c r="Z3973" s="38"/>
    </row>
    <row r="3974" spans="12:26" x14ac:dyDescent="0.25">
      <c r="L3974" s="38"/>
      <c r="Z3974" s="38"/>
    </row>
    <row r="3975" spans="12:26" x14ac:dyDescent="0.25">
      <c r="L3975" s="38"/>
      <c r="Z3975" s="38"/>
    </row>
    <row r="3976" spans="12:26" x14ac:dyDescent="0.25">
      <c r="L3976" s="38"/>
      <c r="Z3976" s="38"/>
    </row>
    <row r="3977" spans="12:26" x14ac:dyDescent="0.25">
      <c r="L3977" s="38"/>
      <c r="Z3977" s="38"/>
    </row>
    <row r="3978" spans="12:26" x14ac:dyDescent="0.25">
      <c r="L3978" s="38"/>
      <c r="Z3978" s="38"/>
    </row>
    <row r="3979" spans="12:26" x14ac:dyDescent="0.25">
      <c r="L3979" s="38"/>
      <c r="Z3979" s="38"/>
    </row>
    <row r="3980" spans="12:26" x14ac:dyDescent="0.25">
      <c r="L3980" s="38"/>
      <c r="Z3980" s="38"/>
    </row>
    <row r="3981" spans="12:26" x14ac:dyDescent="0.25">
      <c r="L3981" s="38"/>
      <c r="Z3981" s="38"/>
    </row>
    <row r="3982" spans="12:26" x14ac:dyDescent="0.25">
      <c r="L3982" s="38"/>
      <c r="Z3982" s="38"/>
    </row>
    <row r="3983" spans="12:26" x14ac:dyDescent="0.25">
      <c r="L3983" s="38"/>
      <c r="Z3983" s="38"/>
    </row>
    <row r="3984" spans="12:26" x14ac:dyDescent="0.25">
      <c r="L3984" s="38"/>
      <c r="Z3984" s="38"/>
    </row>
    <row r="3985" spans="12:26" x14ac:dyDescent="0.25">
      <c r="L3985" s="38"/>
      <c r="Z3985" s="38"/>
    </row>
    <row r="3986" spans="12:26" x14ac:dyDescent="0.25">
      <c r="L3986" s="38"/>
      <c r="Z3986" s="38"/>
    </row>
    <row r="3987" spans="12:26" x14ac:dyDescent="0.25">
      <c r="L3987" s="38"/>
      <c r="Z3987" s="38"/>
    </row>
    <row r="3988" spans="12:26" x14ac:dyDescent="0.25">
      <c r="L3988" s="38"/>
      <c r="Z3988" s="38"/>
    </row>
    <row r="3989" spans="12:26" x14ac:dyDescent="0.25">
      <c r="L3989" s="38"/>
      <c r="Z3989" s="38"/>
    </row>
    <row r="3990" spans="12:26" x14ac:dyDescent="0.25">
      <c r="L3990" s="38"/>
      <c r="Z3990" s="38"/>
    </row>
    <row r="3991" spans="12:26" x14ac:dyDescent="0.25">
      <c r="L3991" s="38"/>
      <c r="Z3991" s="38"/>
    </row>
    <row r="3992" spans="12:26" x14ac:dyDescent="0.25">
      <c r="L3992" s="38"/>
      <c r="Z3992" s="38"/>
    </row>
    <row r="3993" spans="12:26" x14ac:dyDescent="0.25">
      <c r="L3993" s="38"/>
      <c r="Z3993" s="38"/>
    </row>
    <row r="3994" spans="12:26" x14ac:dyDescent="0.25">
      <c r="L3994" s="38"/>
      <c r="Z3994" s="38"/>
    </row>
    <row r="3995" spans="12:26" x14ac:dyDescent="0.25">
      <c r="L3995" s="38"/>
      <c r="Z3995" s="38"/>
    </row>
    <row r="3996" spans="12:26" x14ac:dyDescent="0.25">
      <c r="L3996" s="38"/>
      <c r="Z3996" s="38"/>
    </row>
    <row r="3997" spans="12:26" x14ac:dyDescent="0.25">
      <c r="L3997" s="38"/>
      <c r="Z3997" s="38"/>
    </row>
    <row r="3998" spans="12:26" x14ac:dyDescent="0.25">
      <c r="L3998" s="38"/>
      <c r="Z3998" s="38"/>
    </row>
    <row r="3999" spans="12:26" x14ac:dyDescent="0.25">
      <c r="L3999" s="38"/>
      <c r="Z3999" s="38"/>
    </row>
    <row r="4000" spans="12:26" x14ac:dyDescent="0.25">
      <c r="L4000" s="38"/>
      <c r="Z4000" s="38"/>
    </row>
    <row r="4001" spans="12:26" x14ac:dyDescent="0.25">
      <c r="L4001" s="38"/>
      <c r="Z4001" s="38"/>
    </row>
    <row r="4002" spans="12:26" x14ac:dyDescent="0.25">
      <c r="L4002" s="38"/>
      <c r="Z4002" s="38"/>
    </row>
    <row r="4003" spans="12:26" x14ac:dyDescent="0.25">
      <c r="L4003" s="38"/>
      <c r="Z4003" s="38"/>
    </row>
    <row r="4004" spans="12:26" x14ac:dyDescent="0.25">
      <c r="L4004" s="38"/>
      <c r="Z4004" s="38"/>
    </row>
    <row r="4005" spans="12:26" x14ac:dyDescent="0.25">
      <c r="L4005" s="38"/>
      <c r="Z4005" s="38"/>
    </row>
    <row r="4006" spans="12:26" x14ac:dyDescent="0.25">
      <c r="L4006" s="38"/>
      <c r="Z4006" s="38"/>
    </row>
    <row r="4007" spans="12:26" x14ac:dyDescent="0.25">
      <c r="L4007" s="38"/>
      <c r="Z4007" s="38"/>
    </row>
    <row r="4008" spans="12:26" x14ac:dyDescent="0.25">
      <c r="L4008" s="38"/>
      <c r="Z4008" s="38"/>
    </row>
    <row r="4009" spans="12:26" x14ac:dyDescent="0.25">
      <c r="L4009" s="38"/>
      <c r="Z4009" s="38"/>
    </row>
    <row r="4010" spans="12:26" x14ac:dyDescent="0.25">
      <c r="L4010" s="38"/>
      <c r="Z4010" s="38"/>
    </row>
    <row r="4011" spans="12:26" x14ac:dyDescent="0.25">
      <c r="L4011" s="38"/>
      <c r="Z4011" s="38"/>
    </row>
    <row r="4012" spans="12:26" x14ac:dyDescent="0.25">
      <c r="L4012" s="38"/>
      <c r="Z4012" s="38"/>
    </row>
    <row r="4013" spans="12:26" x14ac:dyDescent="0.25">
      <c r="L4013" s="38"/>
      <c r="Z4013" s="38"/>
    </row>
    <row r="4014" spans="12:26" x14ac:dyDescent="0.25">
      <c r="L4014" s="38"/>
      <c r="Z4014" s="38"/>
    </row>
    <row r="4015" spans="12:26" x14ac:dyDescent="0.25">
      <c r="L4015" s="38"/>
      <c r="Z4015" s="38"/>
    </row>
    <row r="4016" spans="12:26" x14ac:dyDescent="0.25">
      <c r="L4016" s="38"/>
      <c r="Z4016" s="38"/>
    </row>
    <row r="4017" spans="12:26" x14ac:dyDescent="0.25">
      <c r="L4017" s="38"/>
      <c r="Z4017" s="38"/>
    </row>
    <row r="4018" spans="12:26" x14ac:dyDescent="0.25">
      <c r="L4018" s="38"/>
      <c r="Z4018" s="38"/>
    </row>
    <row r="4019" spans="12:26" x14ac:dyDescent="0.25">
      <c r="L4019" s="38"/>
      <c r="Z4019" s="38"/>
    </row>
    <row r="4020" spans="12:26" x14ac:dyDescent="0.25">
      <c r="L4020" s="38"/>
      <c r="Z4020" s="38"/>
    </row>
    <row r="4021" spans="12:26" x14ac:dyDescent="0.25">
      <c r="L4021" s="38"/>
      <c r="Z4021" s="38"/>
    </row>
    <row r="4022" spans="12:26" x14ac:dyDescent="0.25">
      <c r="L4022" s="38"/>
      <c r="Z4022" s="38"/>
    </row>
    <row r="4023" spans="12:26" x14ac:dyDescent="0.25">
      <c r="L4023" s="38"/>
      <c r="Z4023" s="38"/>
    </row>
    <row r="4024" spans="12:26" x14ac:dyDescent="0.25">
      <c r="L4024" s="38"/>
      <c r="Z4024" s="38"/>
    </row>
    <row r="4025" spans="12:26" x14ac:dyDescent="0.25">
      <c r="L4025" s="38"/>
      <c r="Z4025" s="38"/>
    </row>
    <row r="4026" spans="12:26" x14ac:dyDescent="0.25">
      <c r="L4026" s="38"/>
      <c r="Z4026" s="38"/>
    </row>
    <row r="4027" spans="12:26" x14ac:dyDescent="0.25">
      <c r="L4027" s="38"/>
      <c r="Z4027" s="38"/>
    </row>
    <row r="4028" spans="12:26" x14ac:dyDescent="0.25">
      <c r="L4028" s="38"/>
      <c r="Z4028" s="38"/>
    </row>
    <row r="4029" spans="12:26" x14ac:dyDescent="0.25">
      <c r="L4029" s="38"/>
      <c r="Z4029" s="38"/>
    </row>
    <row r="4030" spans="12:26" x14ac:dyDescent="0.25">
      <c r="L4030" s="38"/>
      <c r="Z4030" s="38"/>
    </row>
    <row r="4031" spans="12:26" x14ac:dyDescent="0.25">
      <c r="L4031" s="38"/>
      <c r="Z4031" s="38"/>
    </row>
    <row r="4032" spans="12:26" x14ac:dyDescent="0.25">
      <c r="L4032" s="38"/>
      <c r="Z4032" s="38"/>
    </row>
    <row r="4033" spans="12:26" x14ac:dyDescent="0.25">
      <c r="L4033" s="38"/>
      <c r="Z4033" s="38"/>
    </row>
    <row r="4034" spans="12:26" x14ac:dyDescent="0.25">
      <c r="L4034" s="38"/>
      <c r="Z4034" s="38"/>
    </row>
    <row r="4035" spans="12:26" x14ac:dyDescent="0.25">
      <c r="L4035" s="38"/>
      <c r="Z4035" s="38"/>
    </row>
    <row r="4036" spans="12:26" x14ac:dyDescent="0.25">
      <c r="L4036" s="38"/>
      <c r="Z4036" s="38"/>
    </row>
    <row r="4037" spans="12:26" x14ac:dyDescent="0.25">
      <c r="L4037" s="38"/>
      <c r="Z4037" s="38"/>
    </row>
    <row r="4038" spans="12:26" x14ac:dyDescent="0.25">
      <c r="L4038" s="38"/>
      <c r="Z4038" s="38"/>
    </row>
    <row r="4039" spans="12:26" x14ac:dyDescent="0.25">
      <c r="L4039" s="38"/>
      <c r="Z4039" s="38"/>
    </row>
    <row r="4040" spans="12:26" x14ac:dyDescent="0.25">
      <c r="L4040" s="38"/>
      <c r="Z4040" s="38"/>
    </row>
    <row r="4041" spans="12:26" x14ac:dyDescent="0.25">
      <c r="L4041" s="38"/>
      <c r="Z4041" s="38"/>
    </row>
    <row r="4042" spans="12:26" x14ac:dyDescent="0.25">
      <c r="L4042" s="38"/>
      <c r="Z4042" s="38"/>
    </row>
    <row r="4043" spans="12:26" x14ac:dyDescent="0.25">
      <c r="L4043" s="38"/>
      <c r="Z4043" s="38"/>
    </row>
    <row r="4044" spans="12:26" x14ac:dyDescent="0.25">
      <c r="L4044" s="38"/>
      <c r="Z4044" s="38"/>
    </row>
    <row r="4045" spans="12:26" x14ac:dyDescent="0.25">
      <c r="L4045" s="38"/>
      <c r="Z4045" s="38"/>
    </row>
    <row r="4046" spans="12:26" x14ac:dyDescent="0.25">
      <c r="L4046" s="38"/>
      <c r="Z4046" s="38"/>
    </row>
    <row r="4047" spans="12:26" x14ac:dyDescent="0.25">
      <c r="L4047" s="38"/>
      <c r="Z4047" s="38"/>
    </row>
    <row r="4048" spans="12:26" x14ac:dyDescent="0.25">
      <c r="L4048" s="38"/>
      <c r="Z4048" s="38"/>
    </row>
    <row r="4049" spans="12:26" x14ac:dyDescent="0.25">
      <c r="L4049" s="38"/>
      <c r="Z4049" s="38"/>
    </row>
    <row r="4050" spans="12:26" x14ac:dyDescent="0.25">
      <c r="L4050" s="38"/>
      <c r="Z4050" s="38"/>
    </row>
    <row r="4051" spans="12:26" x14ac:dyDescent="0.25">
      <c r="L4051" s="38"/>
      <c r="Z4051" s="38"/>
    </row>
    <row r="4052" spans="12:26" x14ac:dyDescent="0.25">
      <c r="L4052" s="38"/>
      <c r="Z4052" s="38"/>
    </row>
    <row r="4053" spans="12:26" x14ac:dyDescent="0.25">
      <c r="L4053" s="38"/>
      <c r="Z4053" s="38"/>
    </row>
    <row r="4054" spans="12:26" x14ac:dyDescent="0.25">
      <c r="L4054" s="38"/>
      <c r="Z4054" s="38"/>
    </row>
    <row r="4055" spans="12:26" x14ac:dyDescent="0.25">
      <c r="L4055" s="38"/>
      <c r="Z4055" s="38"/>
    </row>
    <row r="4056" spans="12:26" x14ac:dyDescent="0.25">
      <c r="L4056" s="38"/>
      <c r="Z4056" s="38"/>
    </row>
    <row r="4057" spans="12:26" x14ac:dyDescent="0.25">
      <c r="L4057" s="38"/>
      <c r="Z4057" s="38"/>
    </row>
    <row r="4058" spans="12:26" x14ac:dyDescent="0.25">
      <c r="L4058" s="38"/>
      <c r="Z4058" s="38"/>
    </row>
    <row r="4059" spans="12:26" x14ac:dyDescent="0.25">
      <c r="L4059" s="38"/>
      <c r="Z4059" s="38"/>
    </row>
    <row r="4060" spans="12:26" x14ac:dyDescent="0.25">
      <c r="L4060" s="38"/>
      <c r="Z4060" s="38"/>
    </row>
    <row r="4061" spans="12:26" x14ac:dyDescent="0.25">
      <c r="L4061" s="38"/>
      <c r="Z4061" s="38"/>
    </row>
    <row r="4062" spans="12:26" x14ac:dyDescent="0.25">
      <c r="L4062" s="38"/>
      <c r="Z4062" s="38"/>
    </row>
    <row r="4063" spans="12:26" x14ac:dyDescent="0.25">
      <c r="L4063" s="38"/>
      <c r="Z4063" s="38"/>
    </row>
    <row r="4064" spans="12:26" x14ac:dyDescent="0.25">
      <c r="L4064" s="38"/>
      <c r="Z4064" s="38"/>
    </row>
    <row r="4065" spans="12:26" x14ac:dyDescent="0.25">
      <c r="L4065" s="38"/>
      <c r="Z4065" s="38"/>
    </row>
    <row r="4066" spans="12:26" x14ac:dyDescent="0.25">
      <c r="L4066" s="38"/>
      <c r="Z4066" s="38"/>
    </row>
    <row r="4067" spans="12:26" x14ac:dyDescent="0.25">
      <c r="L4067" s="38"/>
      <c r="Z4067" s="38"/>
    </row>
    <row r="4068" spans="12:26" x14ac:dyDescent="0.25">
      <c r="L4068" s="38"/>
      <c r="Z4068" s="38"/>
    </row>
    <row r="4069" spans="12:26" x14ac:dyDescent="0.25">
      <c r="L4069" s="38"/>
      <c r="Z4069" s="38"/>
    </row>
    <row r="4070" spans="12:26" x14ac:dyDescent="0.25">
      <c r="L4070" s="38"/>
      <c r="Z4070" s="38"/>
    </row>
    <row r="4071" spans="12:26" x14ac:dyDescent="0.25">
      <c r="L4071" s="38"/>
      <c r="Z4071" s="38"/>
    </row>
    <row r="4072" spans="12:26" x14ac:dyDescent="0.25">
      <c r="L4072" s="38"/>
      <c r="Z4072" s="38"/>
    </row>
    <row r="4073" spans="12:26" x14ac:dyDescent="0.25">
      <c r="L4073" s="38"/>
      <c r="Z4073" s="38"/>
    </row>
    <row r="4074" spans="12:26" x14ac:dyDescent="0.25">
      <c r="L4074" s="38"/>
      <c r="Z4074" s="38"/>
    </row>
    <row r="4075" spans="12:26" x14ac:dyDescent="0.25">
      <c r="L4075" s="38"/>
      <c r="Z4075" s="38"/>
    </row>
    <row r="4076" spans="12:26" x14ac:dyDescent="0.25">
      <c r="L4076" s="38"/>
      <c r="Z4076" s="38"/>
    </row>
    <row r="4077" spans="12:26" x14ac:dyDescent="0.25">
      <c r="L4077" s="38"/>
      <c r="Z4077" s="38"/>
    </row>
    <row r="4078" spans="12:26" x14ac:dyDescent="0.25">
      <c r="L4078" s="38"/>
      <c r="Z4078" s="38"/>
    </row>
    <row r="4079" spans="12:26" x14ac:dyDescent="0.25">
      <c r="L4079" s="38"/>
      <c r="Z4079" s="38"/>
    </row>
    <row r="4080" spans="12:26" x14ac:dyDescent="0.25">
      <c r="L4080" s="38"/>
      <c r="Z4080" s="38"/>
    </row>
    <row r="4081" spans="12:26" x14ac:dyDescent="0.25">
      <c r="L4081" s="38"/>
      <c r="Z4081" s="38"/>
    </row>
    <row r="4082" spans="12:26" x14ac:dyDescent="0.25">
      <c r="L4082" s="38"/>
      <c r="Z4082" s="38"/>
    </row>
    <row r="4083" spans="12:26" x14ac:dyDescent="0.25">
      <c r="L4083" s="38"/>
      <c r="Z4083" s="38"/>
    </row>
    <row r="4084" spans="12:26" x14ac:dyDescent="0.25">
      <c r="L4084" s="38"/>
      <c r="Z4084" s="38"/>
    </row>
    <row r="4085" spans="12:26" x14ac:dyDescent="0.25">
      <c r="L4085" s="38"/>
      <c r="Z4085" s="38"/>
    </row>
    <row r="4086" spans="12:26" x14ac:dyDescent="0.25">
      <c r="L4086" s="38"/>
      <c r="Z4086" s="38"/>
    </row>
    <row r="4087" spans="12:26" x14ac:dyDescent="0.25">
      <c r="L4087" s="38"/>
      <c r="Z4087" s="38"/>
    </row>
    <row r="4088" spans="12:26" x14ac:dyDescent="0.25">
      <c r="L4088" s="38"/>
      <c r="Z4088" s="38"/>
    </row>
    <row r="4089" spans="12:26" x14ac:dyDescent="0.25">
      <c r="L4089" s="38"/>
      <c r="Z4089" s="38"/>
    </row>
    <row r="4090" spans="12:26" x14ac:dyDescent="0.25">
      <c r="L4090" s="38"/>
      <c r="Z4090" s="38"/>
    </row>
    <row r="4091" spans="12:26" x14ac:dyDescent="0.25">
      <c r="L4091" s="38"/>
      <c r="Z4091" s="38"/>
    </row>
    <row r="4092" spans="12:26" x14ac:dyDescent="0.25">
      <c r="L4092" s="38"/>
      <c r="Z4092" s="38"/>
    </row>
    <row r="4093" spans="12:26" x14ac:dyDescent="0.25">
      <c r="L4093" s="38"/>
      <c r="Z4093" s="38"/>
    </row>
    <row r="4094" spans="12:26" x14ac:dyDescent="0.25">
      <c r="L4094" s="38"/>
      <c r="Z4094" s="38"/>
    </row>
    <row r="4095" spans="12:26" x14ac:dyDescent="0.25">
      <c r="L4095" s="38"/>
      <c r="Z4095" s="38"/>
    </row>
    <row r="4096" spans="12:26" x14ac:dyDescent="0.25">
      <c r="L4096" s="38"/>
      <c r="Z4096" s="38"/>
    </row>
    <row r="4097" spans="12:26" x14ac:dyDescent="0.25">
      <c r="L4097" s="38"/>
      <c r="Z4097" s="38"/>
    </row>
    <row r="4098" spans="12:26" x14ac:dyDescent="0.25">
      <c r="L4098" s="38"/>
      <c r="Z4098" s="38"/>
    </row>
    <row r="4099" spans="12:26" x14ac:dyDescent="0.25">
      <c r="L4099" s="38"/>
      <c r="Z4099" s="38"/>
    </row>
    <row r="4100" spans="12:26" x14ac:dyDescent="0.25">
      <c r="L4100" s="38"/>
      <c r="Z4100" s="38"/>
    </row>
    <row r="4101" spans="12:26" x14ac:dyDescent="0.25">
      <c r="L4101" s="38"/>
      <c r="Z4101" s="38"/>
    </row>
    <row r="4102" spans="12:26" x14ac:dyDescent="0.25">
      <c r="L4102" s="38"/>
      <c r="Z4102" s="38"/>
    </row>
    <row r="4103" spans="12:26" x14ac:dyDescent="0.25">
      <c r="L4103" s="38"/>
      <c r="Z4103" s="38"/>
    </row>
    <row r="4104" spans="12:26" x14ac:dyDescent="0.25">
      <c r="L4104" s="38"/>
      <c r="Z4104" s="38"/>
    </row>
    <row r="4105" spans="12:26" x14ac:dyDescent="0.25">
      <c r="L4105" s="38"/>
      <c r="Z4105" s="38"/>
    </row>
    <row r="4106" spans="12:26" x14ac:dyDescent="0.25">
      <c r="L4106" s="38"/>
      <c r="Z4106" s="38"/>
    </row>
    <row r="4107" spans="12:26" x14ac:dyDescent="0.25">
      <c r="L4107" s="38"/>
      <c r="Z4107" s="38"/>
    </row>
    <row r="4108" spans="12:26" x14ac:dyDescent="0.25">
      <c r="L4108" s="38"/>
      <c r="Z4108" s="38"/>
    </row>
    <row r="4109" spans="12:26" x14ac:dyDescent="0.25">
      <c r="L4109" s="38"/>
      <c r="Z4109" s="38"/>
    </row>
    <row r="4110" spans="12:26" x14ac:dyDescent="0.25">
      <c r="L4110" s="38"/>
      <c r="Z4110" s="38"/>
    </row>
    <row r="4111" spans="12:26" x14ac:dyDescent="0.25">
      <c r="L4111" s="38"/>
      <c r="Z4111" s="38"/>
    </row>
    <row r="4112" spans="12:26" x14ac:dyDescent="0.25">
      <c r="L4112" s="38"/>
      <c r="Z4112" s="38"/>
    </row>
    <row r="4113" spans="12:26" x14ac:dyDescent="0.25">
      <c r="L4113" s="38"/>
      <c r="Z4113" s="38"/>
    </row>
    <row r="4114" spans="12:26" x14ac:dyDescent="0.25">
      <c r="L4114" s="38"/>
      <c r="Z4114" s="38"/>
    </row>
    <row r="4115" spans="12:26" x14ac:dyDescent="0.25">
      <c r="L4115" s="38"/>
      <c r="Z4115" s="38"/>
    </row>
    <row r="4116" spans="12:26" x14ac:dyDescent="0.25">
      <c r="L4116" s="38"/>
      <c r="Z4116" s="38"/>
    </row>
    <row r="4117" spans="12:26" x14ac:dyDescent="0.25">
      <c r="L4117" s="38"/>
      <c r="Z4117" s="38"/>
    </row>
    <row r="4118" spans="12:26" x14ac:dyDescent="0.25">
      <c r="L4118" s="38"/>
      <c r="Z4118" s="38"/>
    </row>
    <row r="4119" spans="12:26" x14ac:dyDescent="0.25">
      <c r="L4119" s="38"/>
      <c r="Z4119" s="38"/>
    </row>
    <row r="4120" spans="12:26" x14ac:dyDescent="0.25">
      <c r="L4120" s="38"/>
      <c r="Z4120" s="38"/>
    </row>
    <row r="4121" spans="12:26" x14ac:dyDescent="0.25">
      <c r="L4121" s="38"/>
      <c r="Z4121" s="38"/>
    </row>
    <row r="4122" spans="12:26" x14ac:dyDescent="0.25">
      <c r="L4122" s="38"/>
      <c r="Z4122" s="38"/>
    </row>
    <row r="4123" spans="12:26" x14ac:dyDescent="0.25">
      <c r="L4123" s="38"/>
      <c r="Z4123" s="38"/>
    </row>
    <row r="4124" spans="12:26" x14ac:dyDescent="0.25">
      <c r="L4124" s="38"/>
      <c r="Z4124" s="38"/>
    </row>
    <row r="4125" spans="12:26" x14ac:dyDescent="0.25">
      <c r="L4125" s="38"/>
      <c r="Z4125" s="38"/>
    </row>
    <row r="4126" spans="12:26" x14ac:dyDescent="0.25">
      <c r="L4126" s="38"/>
      <c r="Z4126" s="38"/>
    </row>
    <row r="4127" spans="12:26" x14ac:dyDescent="0.25">
      <c r="L4127" s="38"/>
      <c r="Z4127" s="38"/>
    </row>
    <row r="4128" spans="12:26" x14ac:dyDescent="0.25">
      <c r="L4128" s="38"/>
      <c r="Z4128" s="38"/>
    </row>
    <row r="4129" spans="12:26" x14ac:dyDescent="0.25">
      <c r="L4129" s="38"/>
      <c r="Z4129" s="38"/>
    </row>
    <row r="4130" spans="12:26" x14ac:dyDescent="0.25">
      <c r="L4130" s="38"/>
      <c r="Z4130" s="38"/>
    </row>
    <row r="4131" spans="12:26" x14ac:dyDescent="0.25">
      <c r="L4131" s="38"/>
      <c r="Z4131" s="38"/>
    </row>
    <row r="4132" spans="12:26" x14ac:dyDescent="0.25">
      <c r="L4132" s="38"/>
      <c r="Z4132" s="38"/>
    </row>
    <row r="4133" spans="12:26" x14ac:dyDescent="0.25">
      <c r="L4133" s="38"/>
      <c r="Z4133" s="38"/>
    </row>
    <row r="4134" spans="12:26" x14ac:dyDescent="0.25">
      <c r="L4134" s="38"/>
      <c r="Z4134" s="38"/>
    </row>
    <row r="4135" spans="12:26" x14ac:dyDescent="0.25">
      <c r="L4135" s="38"/>
      <c r="Z4135" s="38"/>
    </row>
    <row r="4136" spans="12:26" x14ac:dyDescent="0.25">
      <c r="L4136" s="38"/>
      <c r="Z4136" s="38"/>
    </row>
    <row r="4137" spans="12:26" x14ac:dyDescent="0.25">
      <c r="L4137" s="38"/>
      <c r="Z4137" s="38"/>
    </row>
    <row r="4138" spans="12:26" x14ac:dyDescent="0.25">
      <c r="L4138" s="38"/>
      <c r="Z4138" s="38"/>
    </row>
    <row r="4139" spans="12:26" x14ac:dyDescent="0.25">
      <c r="L4139" s="38"/>
      <c r="Z4139" s="38"/>
    </row>
    <row r="4140" spans="12:26" x14ac:dyDescent="0.25">
      <c r="L4140" s="38"/>
      <c r="Z4140" s="38"/>
    </row>
    <row r="4141" spans="12:26" x14ac:dyDescent="0.25">
      <c r="L4141" s="38"/>
      <c r="Z4141" s="38"/>
    </row>
    <row r="4142" spans="12:26" x14ac:dyDescent="0.25">
      <c r="L4142" s="38"/>
      <c r="Z4142" s="38"/>
    </row>
    <row r="4143" spans="12:26" x14ac:dyDescent="0.25">
      <c r="L4143" s="38"/>
      <c r="Z4143" s="38"/>
    </row>
    <row r="4144" spans="12:26" x14ac:dyDescent="0.25">
      <c r="L4144" s="38"/>
      <c r="Z4144" s="38"/>
    </row>
    <row r="4145" spans="12:26" x14ac:dyDescent="0.25">
      <c r="L4145" s="38"/>
      <c r="Z4145" s="38"/>
    </row>
    <row r="4146" spans="12:26" x14ac:dyDescent="0.25">
      <c r="L4146" s="38"/>
      <c r="Z4146" s="38"/>
    </row>
    <row r="4147" spans="12:26" x14ac:dyDescent="0.25">
      <c r="L4147" s="38"/>
      <c r="Z4147" s="38"/>
    </row>
    <row r="4148" spans="12:26" x14ac:dyDescent="0.25">
      <c r="L4148" s="38"/>
      <c r="Z4148" s="38"/>
    </row>
    <row r="4149" spans="12:26" x14ac:dyDescent="0.25">
      <c r="L4149" s="38"/>
      <c r="Z4149" s="38"/>
    </row>
    <row r="4150" spans="12:26" x14ac:dyDescent="0.25">
      <c r="L4150" s="38"/>
      <c r="Z4150" s="38"/>
    </row>
    <row r="4151" spans="12:26" x14ac:dyDescent="0.25">
      <c r="L4151" s="38"/>
      <c r="Z4151" s="38"/>
    </row>
    <row r="4152" spans="12:26" x14ac:dyDescent="0.25">
      <c r="L4152" s="38"/>
      <c r="Z4152" s="38"/>
    </row>
    <row r="4153" spans="12:26" x14ac:dyDescent="0.25">
      <c r="L4153" s="38"/>
      <c r="Z4153" s="38"/>
    </row>
    <row r="4154" spans="12:26" x14ac:dyDescent="0.25">
      <c r="L4154" s="38"/>
      <c r="Z4154" s="38"/>
    </row>
    <row r="4155" spans="12:26" x14ac:dyDescent="0.25">
      <c r="L4155" s="38"/>
      <c r="Z4155" s="38"/>
    </row>
    <row r="4156" spans="12:26" x14ac:dyDescent="0.25">
      <c r="L4156" s="38"/>
      <c r="Z4156" s="38"/>
    </row>
    <row r="4157" spans="12:26" x14ac:dyDescent="0.25">
      <c r="L4157" s="38"/>
      <c r="Z4157" s="38"/>
    </row>
    <row r="4158" spans="12:26" x14ac:dyDescent="0.25">
      <c r="L4158" s="38"/>
      <c r="Z4158" s="38"/>
    </row>
    <row r="4159" spans="12:26" x14ac:dyDescent="0.25">
      <c r="L4159" s="38"/>
      <c r="Z4159" s="38"/>
    </row>
    <row r="4160" spans="12:26" x14ac:dyDescent="0.25">
      <c r="L4160" s="38"/>
      <c r="Z4160" s="38"/>
    </row>
    <row r="4161" spans="12:26" x14ac:dyDescent="0.25">
      <c r="L4161" s="38"/>
      <c r="Z4161" s="38"/>
    </row>
    <row r="4162" spans="12:26" x14ac:dyDescent="0.25">
      <c r="L4162" s="38"/>
      <c r="Z4162" s="38"/>
    </row>
    <row r="4163" spans="12:26" x14ac:dyDescent="0.25">
      <c r="L4163" s="38"/>
      <c r="Z4163" s="38"/>
    </row>
    <row r="4164" spans="12:26" x14ac:dyDescent="0.25">
      <c r="L4164" s="38"/>
      <c r="Z4164" s="38"/>
    </row>
    <row r="4165" spans="12:26" x14ac:dyDescent="0.25">
      <c r="L4165" s="38"/>
      <c r="Z4165" s="38"/>
    </row>
    <row r="4166" spans="12:26" x14ac:dyDescent="0.25">
      <c r="L4166" s="38"/>
      <c r="Z4166" s="38"/>
    </row>
    <row r="4167" spans="12:26" x14ac:dyDescent="0.25">
      <c r="L4167" s="38"/>
      <c r="Z4167" s="38"/>
    </row>
    <row r="4168" spans="12:26" x14ac:dyDescent="0.25">
      <c r="L4168" s="38"/>
      <c r="Z4168" s="38"/>
    </row>
    <row r="4169" spans="12:26" x14ac:dyDescent="0.25">
      <c r="L4169" s="38"/>
      <c r="Z4169" s="38"/>
    </row>
    <row r="4170" spans="12:26" x14ac:dyDescent="0.25">
      <c r="L4170" s="38"/>
      <c r="Z4170" s="38"/>
    </row>
    <row r="4171" spans="12:26" x14ac:dyDescent="0.25">
      <c r="L4171" s="38"/>
      <c r="Z4171" s="38"/>
    </row>
    <row r="4172" spans="12:26" x14ac:dyDescent="0.25">
      <c r="L4172" s="38"/>
      <c r="Z4172" s="38"/>
    </row>
    <row r="4173" spans="12:26" x14ac:dyDescent="0.25">
      <c r="L4173" s="38"/>
      <c r="Z4173" s="38"/>
    </row>
    <row r="4174" spans="12:26" x14ac:dyDescent="0.25">
      <c r="L4174" s="38"/>
      <c r="Z4174" s="38"/>
    </row>
    <row r="4175" spans="12:26" x14ac:dyDescent="0.25">
      <c r="L4175" s="38"/>
      <c r="Z4175" s="38"/>
    </row>
    <row r="4176" spans="12:26" x14ac:dyDescent="0.25">
      <c r="L4176" s="38"/>
      <c r="Z4176" s="38"/>
    </row>
    <row r="4177" spans="12:26" x14ac:dyDescent="0.25">
      <c r="L4177" s="38"/>
      <c r="Z4177" s="38"/>
    </row>
    <row r="4178" spans="12:26" x14ac:dyDescent="0.25">
      <c r="L4178" s="38"/>
      <c r="Z4178" s="38"/>
    </row>
    <row r="4179" spans="12:26" x14ac:dyDescent="0.25">
      <c r="L4179" s="38"/>
      <c r="Z4179" s="38"/>
    </row>
    <row r="4180" spans="12:26" x14ac:dyDescent="0.25">
      <c r="L4180" s="38"/>
      <c r="Z4180" s="38"/>
    </row>
    <row r="4181" spans="12:26" x14ac:dyDescent="0.25">
      <c r="L4181" s="38"/>
      <c r="Z4181" s="38"/>
    </row>
    <row r="4182" spans="12:26" x14ac:dyDescent="0.25">
      <c r="L4182" s="38"/>
      <c r="Z4182" s="38"/>
    </row>
    <row r="4183" spans="12:26" x14ac:dyDescent="0.25">
      <c r="L4183" s="38"/>
      <c r="Z4183" s="38"/>
    </row>
    <row r="4184" spans="12:26" x14ac:dyDescent="0.25">
      <c r="L4184" s="38"/>
      <c r="Z4184" s="38"/>
    </row>
    <row r="4185" spans="12:26" x14ac:dyDescent="0.25">
      <c r="L4185" s="38"/>
      <c r="Z4185" s="38"/>
    </row>
    <row r="4186" spans="12:26" x14ac:dyDescent="0.25">
      <c r="L4186" s="38"/>
      <c r="Z4186" s="38"/>
    </row>
    <row r="4187" spans="12:26" x14ac:dyDescent="0.25">
      <c r="L4187" s="38"/>
      <c r="Z4187" s="38"/>
    </row>
    <row r="4188" spans="12:26" x14ac:dyDescent="0.25">
      <c r="L4188" s="38"/>
      <c r="Z4188" s="38"/>
    </row>
    <row r="4189" spans="12:26" x14ac:dyDescent="0.25">
      <c r="L4189" s="38"/>
      <c r="Z4189" s="38"/>
    </row>
    <row r="4190" spans="12:26" x14ac:dyDescent="0.25">
      <c r="L4190" s="38"/>
      <c r="Z4190" s="38"/>
    </row>
    <row r="4191" spans="12:26" x14ac:dyDescent="0.25">
      <c r="L4191" s="38"/>
      <c r="Z4191" s="38"/>
    </row>
    <row r="4192" spans="12:26" x14ac:dyDescent="0.25">
      <c r="L4192" s="38"/>
      <c r="Z4192" s="38"/>
    </row>
    <row r="4193" spans="12:26" x14ac:dyDescent="0.25">
      <c r="L4193" s="38"/>
      <c r="Z4193" s="38"/>
    </row>
    <row r="4194" spans="12:26" x14ac:dyDescent="0.25">
      <c r="L4194" s="38"/>
      <c r="Z4194" s="38"/>
    </row>
    <row r="4195" spans="12:26" x14ac:dyDescent="0.25">
      <c r="L4195" s="38"/>
      <c r="Z4195" s="38"/>
    </row>
    <row r="4196" spans="12:26" x14ac:dyDescent="0.25">
      <c r="L4196" s="38"/>
      <c r="Z4196" s="38"/>
    </row>
    <row r="4197" spans="12:26" x14ac:dyDescent="0.25">
      <c r="L4197" s="38"/>
      <c r="Z4197" s="38"/>
    </row>
    <row r="4198" spans="12:26" x14ac:dyDescent="0.25">
      <c r="L4198" s="38"/>
      <c r="Z4198" s="38"/>
    </row>
    <row r="4199" spans="12:26" x14ac:dyDescent="0.25">
      <c r="L4199" s="38"/>
      <c r="Z4199" s="38"/>
    </row>
    <row r="4200" spans="12:26" x14ac:dyDescent="0.25">
      <c r="L4200" s="38"/>
      <c r="Z4200" s="38"/>
    </row>
    <row r="4201" spans="12:26" x14ac:dyDescent="0.25">
      <c r="L4201" s="38"/>
      <c r="Z4201" s="38"/>
    </row>
    <row r="4202" spans="12:26" x14ac:dyDescent="0.25">
      <c r="L4202" s="38"/>
      <c r="Z4202" s="38"/>
    </row>
    <row r="4203" spans="12:26" x14ac:dyDescent="0.25">
      <c r="L4203" s="38"/>
      <c r="Z4203" s="38"/>
    </row>
    <row r="4204" spans="12:26" x14ac:dyDescent="0.25">
      <c r="L4204" s="38"/>
      <c r="Z4204" s="38"/>
    </row>
    <row r="4205" spans="12:26" x14ac:dyDescent="0.25">
      <c r="L4205" s="38"/>
      <c r="Z4205" s="38"/>
    </row>
    <row r="4206" spans="12:26" x14ac:dyDescent="0.25">
      <c r="L4206" s="38"/>
      <c r="Z4206" s="38"/>
    </row>
    <row r="4207" spans="12:26" x14ac:dyDescent="0.25">
      <c r="L4207" s="38"/>
      <c r="Z4207" s="38"/>
    </row>
    <row r="4208" spans="12:26" x14ac:dyDescent="0.25">
      <c r="L4208" s="38"/>
      <c r="Z4208" s="38"/>
    </row>
    <row r="4209" spans="12:26" x14ac:dyDescent="0.25">
      <c r="L4209" s="38"/>
      <c r="Z4209" s="38"/>
    </row>
    <row r="4210" spans="12:26" x14ac:dyDescent="0.25">
      <c r="L4210" s="38"/>
      <c r="Z4210" s="38"/>
    </row>
    <row r="4211" spans="12:26" x14ac:dyDescent="0.25">
      <c r="L4211" s="38"/>
      <c r="Z4211" s="38"/>
    </row>
    <row r="4212" spans="12:26" x14ac:dyDescent="0.25">
      <c r="L4212" s="38"/>
      <c r="Z4212" s="38"/>
    </row>
    <row r="4213" spans="12:26" x14ac:dyDescent="0.25">
      <c r="L4213" s="38"/>
      <c r="Z4213" s="38"/>
    </row>
    <row r="4214" spans="12:26" x14ac:dyDescent="0.25">
      <c r="L4214" s="38"/>
      <c r="Z4214" s="38"/>
    </row>
    <row r="4215" spans="12:26" x14ac:dyDescent="0.25">
      <c r="L4215" s="38"/>
      <c r="Z4215" s="38"/>
    </row>
    <row r="4216" spans="12:26" x14ac:dyDescent="0.25">
      <c r="L4216" s="38"/>
      <c r="Z4216" s="38"/>
    </row>
    <row r="4217" spans="12:26" x14ac:dyDescent="0.25">
      <c r="L4217" s="38"/>
      <c r="Z4217" s="38"/>
    </row>
    <row r="4218" spans="12:26" x14ac:dyDescent="0.25">
      <c r="L4218" s="38"/>
      <c r="Z4218" s="38"/>
    </row>
    <row r="4219" spans="12:26" x14ac:dyDescent="0.25">
      <c r="L4219" s="38"/>
      <c r="Z4219" s="38"/>
    </row>
    <row r="4220" spans="12:26" x14ac:dyDescent="0.25">
      <c r="L4220" s="38"/>
      <c r="Z4220" s="38"/>
    </row>
    <row r="4221" spans="12:26" x14ac:dyDescent="0.25">
      <c r="L4221" s="38"/>
      <c r="Z4221" s="38"/>
    </row>
    <row r="4222" spans="12:26" x14ac:dyDescent="0.25">
      <c r="L4222" s="38"/>
      <c r="Z4222" s="38"/>
    </row>
    <row r="4223" spans="12:26" x14ac:dyDescent="0.25">
      <c r="L4223" s="38"/>
      <c r="Z4223" s="38"/>
    </row>
    <row r="4224" spans="12:26" x14ac:dyDescent="0.25">
      <c r="L4224" s="38"/>
      <c r="Z4224" s="38"/>
    </row>
    <row r="4225" spans="12:26" x14ac:dyDescent="0.25">
      <c r="L4225" s="38"/>
      <c r="Z4225" s="38"/>
    </row>
    <row r="4226" spans="12:26" x14ac:dyDescent="0.25">
      <c r="L4226" s="38"/>
      <c r="Z4226" s="38"/>
    </row>
    <row r="4227" spans="12:26" x14ac:dyDescent="0.25">
      <c r="L4227" s="38"/>
      <c r="Z4227" s="38"/>
    </row>
    <row r="4228" spans="12:26" x14ac:dyDescent="0.25">
      <c r="L4228" s="38"/>
      <c r="Z4228" s="38"/>
    </row>
    <row r="4229" spans="12:26" x14ac:dyDescent="0.25">
      <c r="L4229" s="38"/>
      <c r="Z4229" s="38"/>
    </row>
    <row r="4230" spans="12:26" x14ac:dyDescent="0.25">
      <c r="L4230" s="38"/>
      <c r="Z4230" s="38"/>
    </row>
    <row r="4231" spans="12:26" x14ac:dyDescent="0.25">
      <c r="L4231" s="38"/>
      <c r="Z4231" s="38"/>
    </row>
    <row r="4232" spans="12:26" x14ac:dyDescent="0.25">
      <c r="L4232" s="38"/>
      <c r="Z4232" s="38"/>
    </row>
    <row r="4233" spans="12:26" x14ac:dyDescent="0.25">
      <c r="L4233" s="38"/>
      <c r="Z4233" s="38"/>
    </row>
    <row r="4234" spans="12:26" x14ac:dyDescent="0.25">
      <c r="L4234" s="38"/>
      <c r="Z4234" s="38"/>
    </row>
    <row r="4235" spans="12:26" x14ac:dyDescent="0.25">
      <c r="L4235" s="38"/>
      <c r="Z4235" s="38"/>
    </row>
    <row r="4236" spans="12:26" x14ac:dyDescent="0.25">
      <c r="L4236" s="38"/>
      <c r="Z4236" s="38"/>
    </row>
    <row r="4237" spans="12:26" x14ac:dyDescent="0.25">
      <c r="L4237" s="38"/>
      <c r="Z4237" s="38"/>
    </row>
    <row r="4238" spans="12:26" x14ac:dyDescent="0.25">
      <c r="L4238" s="38"/>
      <c r="Z4238" s="38"/>
    </row>
    <row r="4239" spans="12:26" x14ac:dyDescent="0.25">
      <c r="L4239" s="38"/>
      <c r="Z4239" s="38"/>
    </row>
    <row r="4240" spans="12:26" x14ac:dyDescent="0.25">
      <c r="L4240" s="38"/>
      <c r="Z4240" s="38"/>
    </row>
    <row r="4241" spans="12:26" x14ac:dyDescent="0.25">
      <c r="L4241" s="38"/>
      <c r="Z4241" s="38"/>
    </row>
    <row r="4242" spans="12:26" x14ac:dyDescent="0.25">
      <c r="L4242" s="38"/>
      <c r="Z4242" s="38"/>
    </row>
    <row r="4243" spans="12:26" x14ac:dyDescent="0.25">
      <c r="L4243" s="38"/>
      <c r="Z4243" s="38"/>
    </row>
    <row r="4244" spans="12:26" x14ac:dyDescent="0.25">
      <c r="L4244" s="38"/>
      <c r="Z4244" s="38"/>
    </row>
    <row r="4245" spans="12:26" x14ac:dyDescent="0.25">
      <c r="L4245" s="38"/>
      <c r="Z4245" s="38"/>
    </row>
    <row r="4246" spans="12:26" x14ac:dyDescent="0.25">
      <c r="L4246" s="38"/>
      <c r="Z4246" s="38"/>
    </row>
    <row r="4247" spans="12:26" x14ac:dyDescent="0.25">
      <c r="L4247" s="38"/>
      <c r="Z4247" s="38"/>
    </row>
    <row r="4248" spans="12:26" x14ac:dyDescent="0.25">
      <c r="L4248" s="38"/>
      <c r="Z4248" s="38"/>
    </row>
    <row r="4249" spans="12:26" x14ac:dyDescent="0.25">
      <c r="L4249" s="38"/>
      <c r="Z4249" s="38"/>
    </row>
    <row r="4250" spans="12:26" x14ac:dyDescent="0.25">
      <c r="L4250" s="38"/>
      <c r="Z4250" s="38"/>
    </row>
    <row r="4251" spans="12:26" x14ac:dyDescent="0.25">
      <c r="L4251" s="38"/>
      <c r="Z4251" s="38"/>
    </row>
    <row r="4252" spans="12:26" x14ac:dyDescent="0.25">
      <c r="L4252" s="38"/>
      <c r="Z4252" s="38"/>
    </row>
    <row r="4253" spans="12:26" x14ac:dyDescent="0.25">
      <c r="L4253" s="38"/>
      <c r="Z4253" s="38"/>
    </row>
    <row r="4254" spans="12:26" x14ac:dyDescent="0.25">
      <c r="L4254" s="38"/>
      <c r="Z4254" s="38"/>
    </row>
    <row r="4255" spans="12:26" x14ac:dyDescent="0.25">
      <c r="L4255" s="38"/>
      <c r="Z4255" s="38"/>
    </row>
    <row r="4256" spans="12:26" x14ac:dyDescent="0.25">
      <c r="L4256" s="38"/>
      <c r="Z4256" s="38"/>
    </row>
    <row r="4257" spans="12:26" x14ac:dyDescent="0.25">
      <c r="L4257" s="38"/>
      <c r="Z4257" s="38"/>
    </row>
    <row r="4258" spans="12:26" x14ac:dyDescent="0.25">
      <c r="L4258" s="38"/>
      <c r="Z4258" s="38"/>
    </row>
    <row r="4259" spans="12:26" x14ac:dyDescent="0.25">
      <c r="L4259" s="38"/>
      <c r="Z4259" s="38"/>
    </row>
    <row r="4260" spans="12:26" x14ac:dyDescent="0.25">
      <c r="L4260" s="38"/>
      <c r="Z4260" s="38"/>
    </row>
    <row r="4261" spans="12:26" x14ac:dyDescent="0.25">
      <c r="L4261" s="38"/>
      <c r="Z4261" s="38"/>
    </row>
    <row r="4262" spans="12:26" x14ac:dyDescent="0.25">
      <c r="L4262" s="38"/>
      <c r="Z4262" s="38"/>
    </row>
    <row r="4263" spans="12:26" x14ac:dyDescent="0.25">
      <c r="L4263" s="38"/>
      <c r="Z4263" s="38"/>
    </row>
    <row r="4264" spans="12:26" x14ac:dyDescent="0.25">
      <c r="L4264" s="38"/>
      <c r="Z4264" s="38"/>
    </row>
    <row r="4265" spans="12:26" x14ac:dyDescent="0.25">
      <c r="L4265" s="38"/>
      <c r="Z4265" s="38"/>
    </row>
    <row r="4266" spans="12:26" x14ac:dyDescent="0.25">
      <c r="L4266" s="38"/>
      <c r="Z4266" s="38"/>
    </row>
    <row r="4267" spans="12:26" x14ac:dyDescent="0.25">
      <c r="L4267" s="38"/>
      <c r="Z4267" s="38"/>
    </row>
    <row r="4268" spans="12:26" x14ac:dyDescent="0.25">
      <c r="L4268" s="38"/>
      <c r="Z4268" s="38"/>
    </row>
    <row r="4269" spans="12:26" x14ac:dyDescent="0.25">
      <c r="L4269" s="38"/>
      <c r="Z4269" s="38"/>
    </row>
    <row r="4270" spans="12:26" x14ac:dyDescent="0.25">
      <c r="L4270" s="38"/>
      <c r="Z4270" s="38"/>
    </row>
    <row r="4271" spans="12:26" x14ac:dyDescent="0.25">
      <c r="L4271" s="38"/>
      <c r="Z4271" s="38"/>
    </row>
    <row r="4272" spans="12:26" x14ac:dyDescent="0.25">
      <c r="L4272" s="38"/>
      <c r="Z4272" s="38"/>
    </row>
    <row r="4273" spans="12:26" x14ac:dyDescent="0.25">
      <c r="L4273" s="38"/>
      <c r="Z4273" s="38"/>
    </row>
    <row r="4274" spans="12:26" x14ac:dyDescent="0.25">
      <c r="L4274" s="38"/>
      <c r="Z4274" s="38"/>
    </row>
    <row r="4275" spans="12:26" x14ac:dyDescent="0.25">
      <c r="L4275" s="38"/>
      <c r="Z4275" s="38"/>
    </row>
    <row r="4276" spans="12:26" x14ac:dyDescent="0.25">
      <c r="L4276" s="38"/>
      <c r="Z4276" s="38"/>
    </row>
    <row r="4277" spans="12:26" x14ac:dyDescent="0.25">
      <c r="L4277" s="38"/>
      <c r="Z4277" s="38"/>
    </row>
    <row r="4278" spans="12:26" x14ac:dyDescent="0.25">
      <c r="L4278" s="38"/>
      <c r="Z4278" s="38"/>
    </row>
    <row r="4279" spans="12:26" x14ac:dyDescent="0.25">
      <c r="L4279" s="38"/>
      <c r="Z4279" s="38"/>
    </row>
    <row r="4280" spans="12:26" x14ac:dyDescent="0.25">
      <c r="L4280" s="38"/>
      <c r="Z4280" s="38"/>
    </row>
    <row r="4281" spans="12:26" x14ac:dyDescent="0.25">
      <c r="L4281" s="38"/>
      <c r="Z4281" s="38"/>
    </row>
    <row r="4282" spans="12:26" x14ac:dyDescent="0.25">
      <c r="L4282" s="38"/>
      <c r="Z4282" s="38"/>
    </row>
    <row r="4283" spans="12:26" x14ac:dyDescent="0.25">
      <c r="L4283" s="38"/>
      <c r="Z4283" s="38"/>
    </row>
    <row r="4284" spans="12:26" x14ac:dyDescent="0.25">
      <c r="L4284" s="38"/>
      <c r="Z4284" s="38"/>
    </row>
    <row r="4285" spans="12:26" x14ac:dyDescent="0.25">
      <c r="L4285" s="38"/>
      <c r="Z4285" s="38"/>
    </row>
    <row r="4286" spans="12:26" x14ac:dyDescent="0.25">
      <c r="L4286" s="38"/>
      <c r="Z4286" s="38"/>
    </row>
    <row r="4287" spans="12:26" x14ac:dyDescent="0.25">
      <c r="L4287" s="38"/>
      <c r="Z4287" s="38"/>
    </row>
    <row r="4288" spans="12:26" x14ac:dyDescent="0.25">
      <c r="L4288" s="38"/>
      <c r="Z4288" s="38"/>
    </row>
    <row r="4289" spans="12:26" x14ac:dyDescent="0.25">
      <c r="L4289" s="38"/>
      <c r="Z4289" s="38"/>
    </row>
    <row r="4290" spans="12:26" x14ac:dyDescent="0.25">
      <c r="L4290" s="38"/>
      <c r="Z4290" s="38"/>
    </row>
    <row r="4291" spans="12:26" x14ac:dyDescent="0.25">
      <c r="L4291" s="38"/>
      <c r="Z4291" s="38"/>
    </row>
    <row r="4292" spans="12:26" x14ac:dyDescent="0.25">
      <c r="L4292" s="38"/>
      <c r="Z4292" s="38"/>
    </row>
    <row r="4293" spans="12:26" x14ac:dyDescent="0.25">
      <c r="L4293" s="38"/>
      <c r="Z4293" s="38"/>
    </row>
    <row r="4294" spans="12:26" x14ac:dyDescent="0.25">
      <c r="L4294" s="38"/>
      <c r="Z4294" s="38"/>
    </row>
    <row r="4295" spans="12:26" x14ac:dyDescent="0.25">
      <c r="L4295" s="38"/>
      <c r="Z4295" s="38"/>
    </row>
    <row r="4296" spans="12:26" x14ac:dyDescent="0.25">
      <c r="L4296" s="38"/>
      <c r="Z4296" s="38"/>
    </row>
    <row r="4297" spans="12:26" x14ac:dyDescent="0.25">
      <c r="L4297" s="38"/>
      <c r="Z4297" s="38"/>
    </row>
    <row r="4298" spans="12:26" x14ac:dyDescent="0.25">
      <c r="L4298" s="38"/>
      <c r="Z4298" s="38"/>
    </row>
    <row r="4299" spans="12:26" x14ac:dyDescent="0.25">
      <c r="L4299" s="38"/>
      <c r="Z4299" s="38"/>
    </row>
    <row r="4300" spans="12:26" x14ac:dyDescent="0.25">
      <c r="L4300" s="38"/>
      <c r="Z4300" s="38"/>
    </row>
    <row r="4301" spans="12:26" x14ac:dyDescent="0.25">
      <c r="L4301" s="38"/>
      <c r="Z4301" s="38"/>
    </row>
    <row r="4302" spans="12:26" x14ac:dyDescent="0.25">
      <c r="L4302" s="38"/>
      <c r="Z4302" s="38"/>
    </row>
    <row r="4303" spans="12:26" x14ac:dyDescent="0.25">
      <c r="L4303" s="38"/>
      <c r="Z4303" s="38"/>
    </row>
    <row r="4304" spans="12:26" x14ac:dyDescent="0.25">
      <c r="L4304" s="38"/>
      <c r="Z4304" s="38"/>
    </row>
    <row r="4305" spans="12:26" x14ac:dyDescent="0.25">
      <c r="L4305" s="38"/>
      <c r="Z4305" s="38"/>
    </row>
    <row r="4306" spans="12:26" x14ac:dyDescent="0.25">
      <c r="L4306" s="38"/>
      <c r="Z4306" s="38"/>
    </row>
    <row r="4307" spans="12:26" x14ac:dyDescent="0.25">
      <c r="L4307" s="38"/>
      <c r="Z4307" s="38"/>
    </row>
    <row r="4308" spans="12:26" x14ac:dyDescent="0.25">
      <c r="L4308" s="38"/>
      <c r="Z4308" s="38"/>
    </row>
    <row r="4309" spans="12:26" x14ac:dyDescent="0.25">
      <c r="L4309" s="38"/>
      <c r="Z4309" s="38"/>
    </row>
    <row r="4310" spans="12:26" x14ac:dyDescent="0.25">
      <c r="L4310" s="38"/>
      <c r="Z4310" s="38"/>
    </row>
    <row r="4311" spans="12:26" x14ac:dyDescent="0.25">
      <c r="L4311" s="38"/>
      <c r="Z4311" s="38"/>
    </row>
    <row r="4312" spans="12:26" x14ac:dyDescent="0.25">
      <c r="L4312" s="38"/>
      <c r="Z4312" s="38"/>
    </row>
    <row r="4313" spans="12:26" x14ac:dyDescent="0.25">
      <c r="L4313" s="38"/>
      <c r="Z4313" s="38"/>
    </row>
    <row r="4314" spans="12:26" x14ac:dyDescent="0.25">
      <c r="L4314" s="38"/>
      <c r="Z4314" s="38"/>
    </row>
    <row r="4315" spans="12:26" x14ac:dyDescent="0.25">
      <c r="L4315" s="38"/>
      <c r="Z4315" s="38"/>
    </row>
    <row r="4316" spans="12:26" x14ac:dyDescent="0.25">
      <c r="L4316" s="38"/>
      <c r="Z4316" s="38"/>
    </row>
    <row r="4317" spans="12:26" x14ac:dyDescent="0.25">
      <c r="L4317" s="38"/>
      <c r="Z4317" s="38"/>
    </row>
    <row r="4318" spans="12:26" x14ac:dyDescent="0.25">
      <c r="L4318" s="38"/>
      <c r="Z4318" s="38"/>
    </row>
    <row r="4319" spans="12:26" x14ac:dyDescent="0.25">
      <c r="L4319" s="38"/>
      <c r="Z4319" s="38"/>
    </row>
    <row r="4320" spans="12:26" x14ac:dyDescent="0.25">
      <c r="L4320" s="38"/>
      <c r="Z4320" s="38"/>
    </row>
    <row r="4321" spans="12:26" x14ac:dyDescent="0.25">
      <c r="L4321" s="38"/>
      <c r="Z4321" s="38"/>
    </row>
    <row r="4322" spans="12:26" x14ac:dyDescent="0.25">
      <c r="L4322" s="38"/>
      <c r="Z4322" s="38"/>
    </row>
    <row r="4323" spans="12:26" x14ac:dyDescent="0.25">
      <c r="L4323" s="38"/>
      <c r="Z4323" s="38"/>
    </row>
    <row r="4324" spans="12:26" x14ac:dyDescent="0.25">
      <c r="L4324" s="38"/>
      <c r="Z4324" s="38"/>
    </row>
    <row r="4325" spans="12:26" x14ac:dyDescent="0.25">
      <c r="L4325" s="38"/>
      <c r="Z4325" s="38"/>
    </row>
    <row r="4326" spans="12:26" x14ac:dyDescent="0.25">
      <c r="L4326" s="38"/>
      <c r="Z4326" s="38"/>
    </row>
    <row r="4327" spans="12:26" x14ac:dyDescent="0.25">
      <c r="L4327" s="38"/>
      <c r="Z4327" s="38"/>
    </row>
    <row r="4328" spans="12:26" x14ac:dyDescent="0.25">
      <c r="L4328" s="38"/>
      <c r="Z4328" s="38"/>
    </row>
    <row r="4329" spans="12:26" x14ac:dyDescent="0.25">
      <c r="L4329" s="38"/>
      <c r="Z4329" s="38"/>
    </row>
    <row r="4330" spans="12:26" x14ac:dyDescent="0.25">
      <c r="L4330" s="38"/>
      <c r="Z4330" s="38"/>
    </row>
    <row r="4331" spans="12:26" x14ac:dyDescent="0.25">
      <c r="L4331" s="38"/>
      <c r="Z4331" s="38"/>
    </row>
    <row r="4332" spans="12:26" x14ac:dyDescent="0.25">
      <c r="L4332" s="38"/>
      <c r="Z4332" s="38"/>
    </row>
    <row r="4333" spans="12:26" x14ac:dyDescent="0.25">
      <c r="L4333" s="38"/>
      <c r="Z4333" s="38"/>
    </row>
    <row r="4334" spans="12:26" x14ac:dyDescent="0.25">
      <c r="L4334" s="38"/>
      <c r="Z4334" s="38"/>
    </row>
    <row r="4335" spans="12:26" x14ac:dyDescent="0.25">
      <c r="L4335" s="38"/>
      <c r="Z4335" s="38"/>
    </row>
    <row r="4336" spans="12:26" x14ac:dyDescent="0.25">
      <c r="L4336" s="38"/>
      <c r="Z4336" s="38"/>
    </row>
    <row r="4337" spans="12:26" x14ac:dyDescent="0.25">
      <c r="L4337" s="38"/>
      <c r="Z4337" s="38"/>
    </row>
    <row r="4338" spans="12:26" x14ac:dyDescent="0.25">
      <c r="L4338" s="38"/>
      <c r="Z4338" s="38"/>
    </row>
    <row r="4339" spans="12:26" x14ac:dyDescent="0.25">
      <c r="L4339" s="38"/>
      <c r="Z4339" s="38"/>
    </row>
    <row r="4340" spans="12:26" x14ac:dyDescent="0.25">
      <c r="L4340" s="38"/>
      <c r="Z4340" s="38"/>
    </row>
    <row r="4341" spans="12:26" x14ac:dyDescent="0.25">
      <c r="L4341" s="38"/>
      <c r="Z4341" s="38"/>
    </row>
    <row r="4342" spans="12:26" x14ac:dyDescent="0.25">
      <c r="L4342" s="38"/>
      <c r="Z4342" s="38"/>
    </row>
    <row r="4343" spans="12:26" x14ac:dyDescent="0.25">
      <c r="L4343" s="38"/>
      <c r="Z4343" s="38"/>
    </row>
    <row r="4344" spans="12:26" x14ac:dyDescent="0.25">
      <c r="L4344" s="38"/>
      <c r="Z4344" s="38"/>
    </row>
    <row r="4345" spans="12:26" x14ac:dyDescent="0.25">
      <c r="L4345" s="38"/>
      <c r="Z4345" s="38"/>
    </row>
    <row r="4346" spans="12:26" x14ac:dyDescent="0.25">
      <c r="L4346" s="38"/>
      <c r="Z4346" s="38"/>
    </row>
    <row r="4347" spans="12:26" x14ac:dyDescent="0.25">
      <c r="L4347" s="38"/>
      <c r="Z4347" s="38"/>
    </row>
    <row r="4348" spans="12:26" x14ac:dyDescent="0.25">
      <c r="L4348" s="38"/>
      <c r="Z4348" s="38"/>
    </row>
    <row r="4349" spans="12:26" x14ac:dyDescent="0.25">
      <c r="L4349" s="38"/>
      <c r="Z4349" s="38"/>
    </row>
    <row r="4350" spans="12:26" x14ac:dyDescent="0.25">
      <c r="L4350" s="38"/>
      <c r="Z4350" s="38"/>
    </row>
    <row r="4351" spans="12:26" x14ac:dyDescent="0.25">
      <c r="L4351" s="38"/>
      <c r="Z4351" s="38"/>
    </row>
    <row r="4352" spans="12:26" x14ac:dyDescent="0.25">
      <c r="L4352" s="38"/>
      <c r="Z4352" s="38"/>
    </row>
    <row r="4353" spans="12:26" x14ac:dyDescent="0.25">
      <c r="L4353" s="38"/>
      <c r="Z4353" s="38"/>
    </row>
    <row r="4354" spans="12:26" x14ac:dyDescent="0.25">
      <c r="L4354" s="38"/>
      <c r="Z4354" s="38"/>
    </row>
    <row r="4355" spans="12:26" x14ac:dyDescent="0.25">
      <c r="L4355" s="38"/>
      <c r="Z4355" s="38"/>
    </row>
    <row r="4356" spans="12:26" x14ac:dyDescent="0.25">
      <c r="L4356" s="38"/>
      <c r="Z4356" s="38"/>
    </row>
    <row r="4357" spans="12:26" x14ac:dyDescent="0.25">
      <c r="L4357" s="38"/>
      <c r="Z4357" s="38"/>
    </row>
    <row r="4358" spans="12:26" x14ac:dyDescent="0.25">
      <c r="L4358" s="38"/>
      <c r="Z4358" s="38"/>
    </row>
    <row r="4359" spans="12:26" x14ac:dyDescent="0.25">
      <c r="L4359" s="38"/>
      <c r="Z4359" s="38"/>
    </row>
    <row r="4360" spans="12:26" x14ac:dyDescent="0.25">
      <c r="L4360" s="38"/>
      <c r="Z4360" s="38"/>
    </row>
    <row r="4361" spans="12:26" x14ac:dyDescent="0.25">
      <c r="L4361" s="38"/>
      <c r="Z4361" s="38"/>
    </row>
    <row r="4362" spans="12:26" x14ac:dyDescent="0.25">
      <c r="L4362" s="38"/>
      <c r="Z4362" s="38"/>
    </row>
    <row r="4363" spans="12:26" x14ac:dyDescent="0.25">
      <c r="L4363" s="38"/>
      <c r="Z4363" s="38"/>
    </row>
    <row r="4364" spans="12:26" x14ac:dyDescent="0.25">
      <c r="L4364" s="38"/>
      <c r="Z4364" s="38"/>
    </row>
    <row r="4365" spans="12:26" x14ac:dyDescent="0.25">
      <c r="L4365" s="38"/>
      <c r="Z4365" s="38"/>
    </row>
    <row r="4366" spans="12:26" x14ac:dyDescent="0.25">
      <c r="L4366" s="38"/>
      <c r="Z4366" s="38"/>
    </row>
    <row r="4367" spans="12:26" x14ac:dyDescent="0.25">
      <c r="L4367" s="38"/>
      <c r="Z4367" s="38"/>
    </row>
    <row r="4368" spans="12:26" x14ac:dyDescent="0.25">
      <c r="L4368" s="38"/>
      <c r="Z4368" s="38"/>
    </row>
    <row r="4369" spans="12:26" x14ac:dyDescent="0.25">
      <c r="L4369" s="38"/>
      <c r="Z4369" s="38"/>
    </row>
    <row r="4370" spans="12:26" x14ac:dyDescent="0.25">
      <c r="L4370" s="38"/>
      <c r="Z4370" s="38"/>
    </row>
    <row r="4371" spans="12:26" x14ac:dyDescent="0.25">
      <c r="L4371" s="38"/>
      <c r="Z4371" s="38"/>
    </row>
    <row r="4372" spans="12:26" x14ac:dyDescent="0.25">
      <c r="L4372" s="38"/>
      <c r="Z4372" s="38"/>
    </row>
    <row r="4373" spans="12:26" x14ac:dyDescent="0.25">
      <c r="L4373" s="38"/>
      <c r="Z4373" s="38"/>
    </row>
    <row r="4374" spans="12:26" x14ac:dyDescent="0.25">
      <c r="L4374" s="38"/>
      <c r="Z4374" s="38"/>
    </row>
    <row r="4375" spans="12:26" x14ac:dyDescent="0.25">
      <c r="L4375" s="38"/>
      <c r="Z4375" s="38"/>
    </row>
    <row r="4376" spans="12:26" x14ac:dyDescent="0.25">
      <c r="L4376" s="38"/>
      <c r="Z4376" s="38"/>
    </row>
    <row r="4377" spans="12:26" x14ac:dyDescent="0.25">
      <c r="L4377" s="38"/>
      <c r="Z4377" s="38"/>
    </row>
    <row r="4378" spans="12:26" x14ac:dyDescent="0.25">
      <c r="L4378" s="38"/>
      <c r="Z4378" s="38"/>
    </row>
    <row r="4379" spans="12:26" x14ac:dyDescent="0.25">
      <c r="L4379" s="38"/>
      <c r="Z4379" s="38"/>
    </row>
    <row r="4380" spans="12:26" x14ac:dyDescent="0.25">
      <c r="L4380" s="38"/>
      <c r="Z4380" s="38"/>
    </row>
    <row r="4381" spans="12:26" x14ac:dyDescent="0.25">
      <c r="L4381" s="38"/>
      <c r="Z4381" s="38"/>
    </row>
    <row r="4382" spans="12:26" x14ac:dyDescent="0.25">
      <c r="L4382" s="38"/>
      <c r="Z4382" s="38"/>
    </row>
    <row r="4383" spans="12:26" x14ac:dyDescent="0.25">
      <c r="L4383" s="38"/>
      <c r="Z4383" s="38"/>
    </row>
    <row r="4384" spans="12:26" x14ac:dyDescent="0.25">
      <c r="L4384" s="38"/>
      <c r="Z4384" s="38"/>
    </row>
    <row r="4385" spans="12:26" x14ac:dyDescent="0.25">
      <c r="L4385" s="38"/>
      <c r="Z4385" s="38"/>
    </row>
    <row r="4386" spans="12:26" x14ac:dyDescent="0.25">
      <c r="L4386" s="38"/>
      <c r="Z4386" s="38"/>
    </row>
    <row r="4387" spans="12:26" x14ac:dyDescent="0.25">
      <c r="L4387" s="38"/>
      <c r="Z4387" s="38"/>
    </row>
    <row r="4388" spans="12:26" x14ac:dyDescent="0.25">
      <c r="L4388" s="38"/>
      <c r="Z4388" s="38"/>
    </row>
    <row r="4389" spans="12:26" x14ac:dyDescent="0.25">
      <c r="L4389" s="38"/>
      <c r="Z4389" s="38"/>
    </row>
    <row r="4390" spans="12:26" x14ac:dyDescent="0.25">
      <c r="L4390" s="38"/>
      <c r="Z4390" s="38"/>
    </row>
    <row r="4391" spans="12:26" x14ac:dyDescent="0.25">
      <c r="L4391" s="38"/>
      <c r="Z4391" s="38"/>
    </row>
    <row r="4392" spans="12:26" x14ac:dyDescent="0.25">
      <c r="L4392" s="38"/>
      <c r="Z4392" s="38"/>
    </row>
    <row r="4393" spans="12:26" x14ac:dyDescent="0.25">
      <c r="L4393" s="38"/>
      <c r="Z4393" s="38"/>
    </row>
    <row r="4394" spans="12:26" x14ac:dyDescent="0.25">
      <c r="L4394" s="38"/>
      <c r="Z4394" s="38"/>
    </row>
    <row r="4395" spans="12:26" x14ac:dyDescent="0.25">
      <c r="L4395" s="38"/>
      <c r="Z4395" s="38"/>
    </row>
    <row r="4396" spans="12:26" x14ac:dyDescent="0.25">
      <c r="L4396" s="38"/>
      <c r="Z4396" s="38"/>
    </row>
    <row r="4397" spans="12:26" x14ac:dyDescent="0.25">
      <c r="L4397" s="38"/>
      <c r="Z4397" s="38"/>
    </row>
    <row r="4398" spans="12:26" x14ac:dyDescent="0.25">
      <c r="L4398" s="38"/>
      <c r="Z4398" s="38"/>
    </row>
    <row r="4399" spans="12:26" x14ac:dyDescent="0.25">
      <c r="L4399" s="38"/>
      <c r="Z4399" s="38"/>
    </row>
    <row r="4400" spans="12:26" x14ac:dyDescent="0.25">
      <c r="L4400" s="38"/>
      <c r="Z4400" s="38"/>
    </row>
    <row r="4401" spans="12:26" x14ac:dyDescent="0.25">
      <c r="L4401" s="38"/>
      <c r="Z4401" s="38"/>
    </row>
    <row r="4402" spans="12:26" x14ac:dyDescent="0.25">
      <c r="L4402" s="38"/>
      <c r="Z4402" s="38"/>
    </row>
    <row r="4403" spans="12:26" x14ac:dyDescent="0.25">
      <c r="L4403" s="38"/>
      <c r="Z4403" s="38"/>
    </row>
    <row r="4404" spans="12:26" x14ac:dyDescent="0.25">
      <c r="L4404" s="38"/>
      <c r="Z4404" s="38"/>
    </row>
    <row r="4405" spans="12:26" x14ac:dyDescent="0.25">
      <c r="L4405" s="38"/>
      <c r="Z4405" s="38"/>
    </row>
    <row r="4406" spans="12:26" x14ac:dyDescent="0.25">
      <c r="L4406" s="38"/>
      <c r="Z4406" s="38"/>
    </row>
    <row r="4407" spans="12:26" x14ac:dyDescent="0.25">
      <c r="L4407" s="38"/>
      <c r="Z4407" s="38"/>
    </row>
    <row r="4408" spans="12:26" x14ac:dyDescent="0.25">
      <c r="L4408" s="38"/>
      <c r="Z4408" s="38"/>
    </row>
    <row r="4409" spans="12:26" x14ac:dyDescent="0.25">
      <c r="L4409" s="38"/>
      <c r="Z4409" s="38"/>
    </row>
    <row r="4410" spans="12:26" x14ac:dyDescent="0.25">
      <c r="L4410" s="38"/>
      <c r="Z4410" s="38"/>
    </row>
    <row r="4411" spans="12:26" x14ac:dyDescent="0.25">
      <c r="L4411" s="38"/>
      <c r="Z4411" s="38"/>
    </row>
    <row r="4412" spans="12:26" x14ac:dyDescent="0.25">
      <c r="L4412" s="38"/>
      <c r="Z4412" s="38"/>
    </row>
    <row r="4413" spans="12:26" x14ac:dyDescent="0.25">
      <c r="L4413" s="38"/>
      <c r="Z4413" s="38"/>
    </row>
    <row r="4414" spans="12:26" x14ac:dyDescent="0.25">
      <c r="L4414" s="38"/>
      <c r="Z4414" s="38"/>
    </row>
    <row r="4415" spans="12:26" x14ac:dyDescent="0.25">
      <c r="L4415" s="38"/>
      <c r="Z4415" s="38"/>
    </row>
    <row r="4416" spans="12:26" x14ac:dyDescent="0.25">
      <c r="L4416" s="38"/>
      <c r="Z4416" s="38"/>
    </row>
    <row r="4417" spans="12:26" x14ac:dyDescent="0.25">
      <c r="L4417" s="38"/>
      <c r="Z4417" s="38"/>
    </row>
    <row r="4418" spans="12:26" x14ac:dyDescent="0.25">
      <c r="L4418" s="38"/>
      <c r="Z4418" s="38"/>
    </row>
    <row r="4419" spans="12:26" x14ac:dyDescent="0.25">
      <c r="L4419" s="38"/>
      <c r="Z4419" s="38"/>
    </row>
    <row r="4420" spans="12:26" x14ac:dyDescent="0.25">
      <c r="L4420" s="38"/>
      <c r="Z4420" s="38"/>
    </row>
    <row r="4421" spans="12:26" x14ac:dyDescent="0.25">
      <c r="L4421" s="38"/>
      <c r="Z4421" s="38"/>
    </row>
    <row r="4422" spans="12:26" x14ac:dyDescent="0.25">
      <c r="L4422" s="38"/>
      <c r="Z4422" s="38"/>
    </row>
    <row r="4423" spans="12:26" x14ac:dyDescent="0.25">
      <c r="L4423" s="38"/>
      <c r="Z4423" s="38"/>
    </row>
    <row r="4424" spans="12:26" x14ac:dyDescent="0.25">
      <c r="L4424" s="38"/>
      <c r="Z4424" s="38"/>
    </row>
    <row r="4425" spans="12:26" x14ac:dyDescent="0.25">
      <c r="L4425" s="38"/>
      <c r="Z4425" s="38"/>
    </row>
    <row r="4426" spans="12:26" x14ac:dyDescent="0.25">
      <c r="L4426" s="38"/>
      <c r="Z4426" s="38"/>
    </row>
    <row r="4427" spans="12:26" x14ac:dyDescent="0.25">
      <c r="L4427" s="38"/>
      <c r="Z4427" s="38"/>
    </row>
    <row r="4428" spans="12:26" x14ac:dyDescent="0.25">
      <c r="L4428" s="38"/>
      <c r="Z4428" s="38"/>
    </row>
    <row r="4429" spans="12:26" x14ac:dyDescent="0.25">
      <c r="L4429" s="38"/>
      <c r="Z4429" s="38"/>
    </row>
    <row r="4430" spans="12:26" x14ac:dyDescent="0.25">
      <c r="L4430" s="38"/>
      <c r="Z4430" s="38"/>
    </row>
    <row r="4431" spans="12:26" x14ac:dyDescent="0.25">
      <c r="L4431" s="38"/>
      <c r="Z4431" s="38"/>
    </row>
    <row r="4432" spans="12:26" x14ac:dyDescent="0.25">
      <c r="L4432" s="38"/>
      <c r="Z4432" s="38"/>
    </row>
    <row r="4433" spans="12:26" x14ac:dyDescent="0.25">
      <c r="L4433" s="38"/>
      <c r="Z4433" s="38"/>
    </row>
    <row r="4434" spans="12:26" x14ac:dyDescent="0.25">
      <c r="L4434" s="38"/>
      <c r="Z4434" s="38"/>
    </row>
    <row r="4435" spans="12:26" x14ac:dyDescent="0.25">
      <c r="L4435" s="38"/>
      <c r="Z4435" s="38"/>
    </row>
    <row r="4436" spans="12:26" x14ac:dyDescent="0.25">
      <c r="L4436" s="38"/>
      <c r="Z4436" s="38"/>
    </row>
    <row r="4437" spans="12:26" x14ac:dyDescent="0.25">
      <c r="L4437" s="38"/>
      <c r="Z4437" s="38"/>
    </row>
    <row r="4438" spans="12:26" x14ac:dyDescent="0.25">
      <c r="L4438" s="38"/>
      <c r="Z4438" s="38"/>
    </row>
    <row r="4439" spans="12:26" x14ac:dyDescent="0.25">
      <c r="L4439" s="38"/>
      <c r="Z4439" s="38"/>
    </row>
    <row r="4440" spans="12:26" x14ac:dyDescent="0.25">
      <c r="L4440" s="38"/>
      <c r="Z4440" s="38"/>
    </row>
    <row r="4441" spans="12:26" x14ac:dyDescent="0.25">
      <c r="L4441" s="38"/>
      <c r="Z4441" s="38"/>
    </row>
    <row r="4442" spans="12:26" x14ac:dyDescent="0.25">
      <c r="L4442" s="38"/>
      <c r="Z4442" s="38"/>
    </row>
    <row r="4443" spans="12:26" x14ac:dyDescent="0.25">
      <c r="L4443" s="38"/>
      <c r="Z4443" s="38"/>
    </row>
    <row r="4444" spans="12:26" x14ac:dyDescent="0.25">
      <c r="L4444" s="38"/>
      <c r="Z4444" s="38"/>
    </row>
    <row r="4445" spans="12:26" x14ac:dyDescent="0.25">
      <c r="L4445" s="38"/>
      <c r="Z4445" s="38"/>
    </row>
    <row r="4446" spans="12:26" x14ac:dyDescent="0.25">
      <c r="L4446" s="38"/>
      <c r="Z4446" s="38"/>
    </row>
    <row r="4447" spans="12:26" x14ac:dyDescent="0.25">
      <c r="L4447" s="38"/>
      <c r="Z4447" s="38"/>
    </row>
    <row r="4448" spans="12:26" x14ac:dyDescent="0.25">
      <c r="L4448" s="38"/>
      <c r="Z4448" s="38"/>
    </row>
    <row r="4449" spans="12:26" x14ac:dyDescent="0.25">
      <c r="L4449" s="38"/>
      <c r="Z4449" s="38"/>
    </row>
    <row r="4450" spans="12:26" x14ac:dyDescent="0.25">
      <c r="L4450" s="38"/>
      <c r="Z4450" s="38"/>
    </row>
    <row r="4451" spans="12:26" x14ac:dyDescent="0.25">
      <c r="L4451" s="38"/>
      <c r="Z4451" s="38"/>
    </row>
    <row r="4452" spans="12:26" x14ac:dyDescent="0.25">
      <c r="L4452" s="38"/>
      <c r="Z4452" s="38"/>
    </row>
    <row r="4453" spans="12:26" x14ac:dyDescent="0.25">
      <c r="L4453" s="38"/>
      <c r="Z4453" s="38"/>
    </row>
    <row r="4454" spans="12:26" x14ac:dyDescent="0.25">
      <c r="L4454" s="38"/>
      <c r="Z4454" s="38"/>
    </row>
    <row r="4455" spans="12:26" x14ac:dyDescent="0.25">
      <c r="L4455" s="38"/>
      <c r="Z4455" s="38"/>
    </row>
    <row r="4456" spans="12:26" x14ac:dyDescent="0.25">
      <c r="L4456" s="38"/>
      <c r="Z4456" s="38"/>
    </row>
    <row r="4457" spans="12:26" x14ac:dyDescent="0.25">
      <c r="L4457" s="38"/>
      <c r="Z4457" s="38"/>
    </row>
    <row r="4458" spans="12:26" x14ac:dyDescent="0.25">
      <c r="L4458" s="38"/>
      <c r="Z4458" s="38"/>
    </row>
    <row r="4459" spans="12:26" x14ac:dyDescent="0.25">
      <c r="L4459" s="38"/>
      <c r="Z4459" s="38"/>
    </row>
    <row r="4460" spans="12:26" x14ac:dyDescent="0.25">
      <c r="L4460" s="38"/>
      <c r="Z4460" s="38"/>
    </row>
    <row r="4461" spans="12:26" x14ac:dyDescent="0.25">
      <c r="L4461" s="38"/>
      <c r="Z4461" s="38"/>
    </row>
    <row r="4462" spans="12:26" x14ac:dyDescent="0.25">
      <c r="L4462" s="38"/>
      <c r="Z4462" s="38"/>
    </row>
    <row r="4463" spans="12:26" x14ac:dyDescent="0.25">
      <c r="L4463" s="38"/>
      <c r="Z4463" s="38"/>
    </row>
    <row r="4464" spans="12:26" x14ac:dyDescent="0.25">
      <c r="L4464" s="38"/>
      <c r="Z4464" s="38"/>
    </row>
    <row r="4465" spans="12:26" x14ac:dyDescent="0.25">
      <c r="L4465" s="38"/>
      <c r="Z4465" s="38"/>
    </row>
    <row r="4466" spans="12:26" x14ac:dyDescent="0.25">
      <c r="L4466" s="38"/>
      <c r="Z4466" s="38"/>
    </row>
    <row r="4467" spans="12:26" x14ac:dyDescent="0.25">
      <c r="L4467" s="38"/>
      <c r="Z4467" s="38"/>
    </row>
    <row r="4468" spans="12:26" x14ac:dyDescent="0.25">
      <c r="L4468" s="38"/>
      <c r="Z4468" s="38"/>
    </row>
    <row r="4469" spans="12:26" x14ac:dyDescent="0.25">
      <c r="L4469" s="38"/>
      <c r="Z4469" s="38"/>
    </row>
    <row r="4470" spans="12:26" x14ac:dyDescent="0.25">
      <c r="L4470" s="38"/>
      <c r="Z4470" s="38"/>
    </row>
    <row r="4471" spans="12:26" x14ac:dyDescent="0.25">
      <c r="L4471" s="38"/>
      <c r="Z4471" s="38"/>
    </row>
    <row r="4472" spans="12:26" x14ac:dyDescent="0.25">
      <c r="L4472" s="38"/>
      <c r="Z4472" s="38"/>
    </row>
    <row r="4473" spans="12:26" x14ac:dyDescent="0.25">
      <c r="L4473" s="38"/>
      <c r="Z4473" s="38"/>
    </row>
    <row r="4474" spans="12:26" x14ac:dyDescent="0.25">
      <c r="L4474" s="38"/>
      <c r="Z4474" s="38"/>
    </row>
    <row r="4475" spans="12:26" x14ac:dyDescent="0.25">
      <c r="L4475" s="38"/>
      <c r="Z4475" s="38"/>
    </row>
    <row r="4476" spans="12:26" x14ac:dyDescent="0.25">
      <c r="L4476" s="38"/>
      <c r="Z4476" s="38"/>
    </row>
    <row r="4477" spans="12:26" x14ac:dyDescent="0.25">
      <c r="L4477" s="38"/>
      <c r="Z4477" s="38"/>
    </row>
    <row r="4478" spans="12:26" x14ac:dyDescent="0.25">
      <c r="L4478" s="38"/>
      <c r="Z4478" s="38"/>
    </row>
    <row r="4479" spans="12:26" x14ac:dyDescent="0.25">
      <c r="L4479" s="38"/>
      <c r="Z4479" s="38"/>
    </row>
    <row r="4480" spans="12:26" x14ac:dyDescent="0.25">
      <c r="L4480" s="38"/>
      <c r="Z4480" s="38"/>
    </row>
    <row r="4481" spans="12:26" x14ac:dyDescent="0.25">
      <c r="L4481" s="38"/>
      <c r="Z4481" s="38"/>
    </row>
    <row r="4482" spans="12:26" x14ac:dyDescent="0.25">
      <c r="L4482" s="38"/>
      <c r="Z4482" s="38"/>
    </row>
    <row r="4483" spans="12:26" x14ac:dyDescent="0.25">
      <c r="L4483" s="38"/>
      <c r="Z4483" s="38"/>
    </row>
    <row r="4484" spans="12:26" x14ac:dyDescent="0.25">
      <c r="L4484" s="38"/>
      <c r="Z4484" s="38"/>
    </row>
    <row r="4485" spans="12:26" x14ac:dyDescent="0.25">
      <c r="L4485" s="38"/>
      <c r="Z4485" s="38"/>
    </row>
    <row r="4486" spans="12:26" x14ac:dyDescent="0.25">
      <c r="L4486" s="38"/>
      <c r="Z4486" s="38"/>
    </row>
    <row r="4487" spans="12:26" x14ac:dyDescent="0.25">
      <c r="L4487" s="38"/>
      <c r="Z4487" s="38"/>
    </row>
    <row r="4488" spans="12:26" x14ac:dyDescent="0.25">
      <c r="L4488" s="38"/>
      <c r="Z4488" s="38"/>
    </row>
    <row r="4489" spans="12:26" x14ac:dyDescent="0.25">
      <c r="L4489" s="38"/>
      <c r="Z4489" s="38"/>
    </row>
    <row r="4490" spans="12:26" x14ac:dyDescent="0.25">
      <c r="L4490" s="38"/>
      <c r="Z4490" s="38"/>
    </row>
    <row r="4491" spans="12:26" x14ac:dyDescent="0.25">
      <c r="L4491" s="38"/>
      <c r="Z4491" s="38"/>
    </row>
    <row r="4492" spans="12:26" x14ac:dyDescent="0.25">
      <c r="L4492" s="38"/>
      <c r="Z4492" s="38"/>
    </row>
    <row r="4493" spans="12:26" x14ac:dyDescent="0.25">
      <c r="L4493" s="38"/>
      <c r="Z4493" s="38"/>
    </row>
    <row r="4494" spans="12:26" x14ac:dyDescent="0.25">
      <c r="L4494" s="38"/>
      <c r="Z4494" s="38"/>
    </row>
    <row r="4495" spans="12:26" x14ac:dyDescent="0.25">
      <c r="L4495" s="38"/>
      <c r="Z4495" s="38"/>
    </row>
    <row r="4496" spans="12:26" x14ac:dyDescent="0.25">
      <c r="L4496" s="38"/>
      <c r="Z4496" s="38"/>
    </row>
    <row r="4497" spans="12:26" x14ac:dyDescent="0.25">
      <c r="L4497" s="38"/>
      <c r="Z4497" s="38"/>
    </row>
    <row r="4498" spans="12:26" x14ac:dyDescent="0.25">
      <c r="L4498" s="38"/>
      <c r="Z4498" s="38"/>
    </row>
    <row r="4499" spans="12:26" x14ac:dyDescent="0.25">
      <c r="L4499" s="38"/>
      <c r="Z4499" s="38"/>
    </row>
    <row r="4500" spans="12:26" x14ac:dyDescent="0.25">
      <c r="L4500" s="38"/>
      <c r="Z4500" s="38"/>
    </row>
    <row r="4501" spans="12:26" x14ac:dyDescent="0.25">
      <c r="L4501" s="38"/>
      <c r="Z4501" s="38"/>
    </row>
    <row r="4502" spans="12:26" x14ac:dyDescent="0.25">
      <c r="L4502" s="38"/>
      <c r="Z4502" s="38"/>
    </row>
    <row r="4503" spans="12:26" x14ac:dyDescent="0.25">
      <c r="L4503" s="38"/>
      <c r="Z4503" s="38"/>
    </row>
    <row r="4504" spans="12:26" x14ac:dyDescent="0.25">
      <c r="L4504" s="38"/>
      <c r="Z4504" s="38"/>
    </row>
    <row r="4505" spans="12:26" x14ac:dyDescent="0.25">
      <c r="L4505" s="38"/>
      <c r="Z4505" s="38"/>
    </row>
    <row r="4506" spans="12:26" x14ac:dyDescent="0.25">
      <c r="L4506" s="38"/>
      <c r="Z4506" s="38"/>
    </row>
    <row r="4507" spans="12:26" x14ac:dyDescent="0.25">
      <c r="L4507" s="38"/>
      <c r="Z4507" s="38"/>
    </row>
    <row r="4508" spans="12:26" x14ac:dyDescent="0.25">
      <c r="L4508" s="38"/>
      <c r="Z4508" s="38"/>
    </row>
    <row r="4509" spans="12:26" x14ac:dyDescent="0.25">
      <c r="L4509" s="38"/>
      <c r="Z4509" s="38"/>
    </row>
    <row r="4510" spans="12:26" x14ac:dyDescent="0.25">
      <c r="L4510" s="38"/>
      <c r="Z4510" s="38"/>
    </row>
    <row r="4511" spans="12:26" x14ac:dyDescent="0.25">
      <c r="L4511" s="38"/>
      <c r="Z4511" s="38"/>
    </row>
    <row r="4512" spans="12:26" x14ac:dyDescent="0.25">
      <c r="L4512" s="38"/>
      <c r="Z4512" s="38"/>
    </row>
    <row r="4513" spans="12:26" x14ac:dyDescent="0.25">
      <c r="L4513" s="38"/>
      <c r="Z4513" s="38"/>
    </row>
    <row r="4514" spans="12:26" x14ac:dyDescent="0.25">
      <c r="L4514" s="38"/>
      <c r="Z4514" s="38"/>
    </row>
    <row r="4515" spans="12:26" x14ac:dyDescent="0.25">
      <c r="L4515" s="38"/>
      <c r="Z4515" s="38"/>
    </row>
    <row r="4516" spans="12:26" x14ac:dyDescent="0.25">
      <c r="L4516" s="38"/>
      <c r="Z4516" s="38"/>
    </row>
    <row r="4517" spans="12:26" x14ac:dyDescent="0.25">
      <c r="L4517" s="38"/>
      <c r="Z4517" s="38"/>
    </row>
    <row r="4518" spans="12:26" x14ac:dyDescent="0.25">
      <c r="L4518" s="38"/>
      <c r="Z4518" s="38"/>
    </row>
    <row r="4519" spans="12:26" x14ac:dyDescent="0.25">
      <c r="L4519" s="38"/>
      <c r="Z4519" s="38"/>
    </row>
    <row r="4520" spans="12:26" x14ac:dyDescent="0.25">
      <c r="L4520" s="38"/>
      <c r="Z4520" s="38"/>
    </row>
    <row r="4521" spans="12:26" x14ac:dyDescent="0.25">
      <c r="L4521" s="38"/>
      <c r="Z4521" s="38"/>
    </row>
    <row r="4522" spans="12:26" x14ac:dyDescent="0.25">
      <c r="L4522" s="38"/>
      <c r="Z4522" s="38"/>
    </row>
    <row r="4523" spans="12:26" x14ac:dyDescent="0.25">
      <c r="L4523" s="38"/>
      <c r="Z4523" s="38"/>
    </row>
    <row r="4524" spans="12:26" x14ac:dyDescent="0.25">
      <c r="L4524" s="38"/>
      <c r="Z4524" s="38"/>
    </row>
    <row r="4525" spans="12:26" x14ac:dyDescent="0.25">
      <c r="L4525" s="38"/>
      <c r="Z4525" s="38"/>
    </row>
    <row r="4526" spans="12:26" x14ac:dyDescent="0.25">
      <c r="L4526" s="38"/>
      <c r="Z4526" s="38"/>
    </row>
    <row r="4527" spans="12:26" x14ac:dyDescent="0.25">
      <c r="L4527" s="38"/>
      <c r="Z4527" s="38"/>
    </row>
    <row r="4528" spans="12:26" x14ac:dyDescent="0.25">
      <c r="L4528" s="38"/>
      <c r="Z4528" s="38"/>
    </row>
    <row r="4529" spans="12:26" x14ac:dyDescent="0.25">
      <c r="L4529" s="38"/>
      <c r="Z4529" s="38"/>
    </row>
    <row r="4530" spans="12:26" x14ac:dyDescent="0.25">
      <c r="L4530" s="38"/>
      <c r="Z4530" s="38"/>
    </row>
    <row r="4531" spans="12:26" x14ac:dyDescent="0.25">
      <c r="L4531" s="38"/>
      <c r="Z4531" s="38"/>
    </row>
    <row r="4532" spans="12:26" x14ac:dyDescent="0.25">
      <c r="L4532" s="38"/>
      <c r="Z4532" s="38"/>
    </row>
    <row r="4533" spans="12:26" x14ac:dyDescent="0.25">
      <c r="L4533" s="38"/>
      <c r="Z4533" s="38"/>
    </row>
    <row r="4534" spans="12:26" x14ac:dyDescent="0.25">
      <c r="L4534" s="38"/>
      <c r="Z4534" s="38"/>
    </row>
    <row r="4535" spans="12:26" x14ac:dyDescent="0.25">
      <c r="L4535" s="38"/>
      <c r="Z4535" s="38"/>
    </row>
    <row r="4536" spans="12:26" x14ac:dyDescent="0.25">
      <c r="L4536" s="38"/>
      <c r="Z4536" s="38"/>
    </row>
    <row r="4537" spans="12:26" x14ac:dyDescent="0.25">
      <c r="L4537" s="38"/>
      <c r="Z4537" s="38"/>
    </row>
    <row r="4538" spans="12:26" x14ac:dyDescent="0.25">
      <c r="L4538" s="38"/>
      <c r="Z4538" s="38"/>
    </row>
    <row r="4539" spans="12:26" x14ac:dyDescent="0.25">
      <c r="L4539" s="38"/>
      <c r="Z4539" s="38"/>
    </row>
    <row r="4540" spans="12:26" x14ac:dyDescent="0.25">
      <c r="L4540" s="38"/>
      <c r="Z4540" s="38"/>
    </row>
    <row r="4541" spans="12:26" x14ac:dyDescent="0.25">
      <c r="L4541" s="38"/>
      <c r="Z4541" s="38"/>
    </row>
    <row r="4542" spans="12:26" x14ac:dyDescent="0.25">
      <c r="L4542" s="38"/>
      <c r="Z4542" s="38"/>
    </row>
    <row r="4543" spans="12:26" x14ac:dyDescent="0.25">
      <c r="L4543" s="38"/>
      <c r="Z4543" s="38"/>
    </row>
    <row r="4544" spans="12:26" x14ac:dyDescent="0.25">
      <c r="L4544" s="38"/>
      <c r="Z4544" s="38"/>
    </row>
    <row r="4545" spans="12:26" x14ac:dyDescent="0.25">
      <c r="L4545" s="38"/>
      <c r="Z4545" s="38"/>
    </row>
    <row r="4546" spans="12:26" x14ac:dyDescent="0.25">
      <c r="L4546" s="38"/>
      <c r="Z4546" s="38"/>
    </row>
    <row r="4547" spans="12:26" x14ac:dyDescent="0.25">
      <c r="L4547" s="38"/>
      <c r="Z4547" s="38"/>
    </row>
    <row r="4548" spans="12:26" x14ac:dyDescent="0.25">
      <c r="L4548" s="38"/>
      <c r="Z4548" s="38"/>
    </row>
    <row r="4549" spans="12:26" x14ac:dyDescent="0.25">
      <c r="L4549" s="38"/>
      <c r="Z4549" s="38"/>
    </row>
    <row r="4550" spans="12:26" x14ac:dyDescent="0.25">
      <c r="L4550" s="38"/>
      <c r="Z4550" s="38"/>
    </row>
    <row r="4551" spans="12:26" x14ac:dyDescent="0.25">
      <c r="L4551" s="38"/>
      <c r="Z4551" s="38"/>
    </row>
    <row r="4552" spans="12:26" x14ac:dyDescent="0.25">
      <c r="L4552" s="38"/>
      <c r="Z4552" s="38"/>
    </row>
    <row r="4553" spans="12:26" x14ac:dyDescent="0.25">
      <c r="L4553" s="38"/>
      <c r="Z4553" s="38"/>
    </row>
    <row r="4554" spans="12:26" x14ac:dyDescent="0.25">
      <c r="L4554" s="38"/>
      <c r="Z4554" s="38"/>
    </row>
    <row r="4555" spans="12:26" x14ac:dyDescent="0.25">
      <c r="L4555" s="38"/>
      <c r="Z4555" s="38"/>
    </row>
    <row r="4556" spans="12:26" x14ac:dyDescent="0.25">
      <c r="L4556" s="38"/>
      <c r="Z4556" s="38"/>
    </row>
    <row r="4557" spans="12:26" x14ac:dyDescent="0.25">
      <c r="L4557" s="38"/>
      <c r="Z4557" s="38"/>
    </row>
    <row r="4558" spans="12:26" x14ac:dyDescent="0.25">
      <c r="L4558" s="38"/>
      <c r="Z4558" s="38"/>
    </row>
    <row r="4559" spans="12:26" x14ac:dyDescent="0.25">
      <c r="L4559" s="38"/>
      <c r="Z4559" s="38"/>
    </row>
    <row r="4560" spans="12:26" x14ac:dyDescent="0.25">
      <c r="L4560" s="38"/>
      <c r="Z4560" s="38"/>
    </row>
    <row r="4561" spans="12:26" x14ac:dyDescent="0.25">
      <c r="L4561" s="38"/>
      <c r="Z4561" s="38"/>
    </row>
    <row r="4562" spans="12:26" x14ac:dyDescent="0.25">
      <c r="L4562" s="38"/>
      <c r="Z4562" s="38"/>
    </row>
    <row r="4563" spans="12:26" x14ac:dyDescent="0.25">
      <c r="L4563" s="38"/>
      <c r="Z4563" s="38"/>
    </row>
    <row r="4564" spans="12:26" x14ac:dyDescent="0.25">
      <c r="L4564" s="38"/>
      <c r="Z4564" s="38"/>
    </row>
    <row r="4565" spans="12:26" x14ac:dyDescent="0.25">
      <c r="L4565" s="38"/>
      <c r="Z4565" s="38"/>
    </row>
    <row r="4566" spans="12:26" x14ac:dyDescent="0.25">
      <c r="L4566" s="38"/>
      <c r="Z4566" s="38"/>
    </row>
    <row r="4567" spans="12:26" x14ac:dyDescent="0.25">
      <c r="L4567" s="38"/>
      <c r="Z4567" s="38"/>
    </row>
    <row r="4568" spans="12:26" x14ac:dyDescent="0.25">
      <c r="L4568" s="38"/>
      <c r="Z4568" s="38"/>
    </row>
    <row r="4569" spans="12:26" x14ac:dyDescent="0.25">
      <c r="L4569" s="38"/>
      <c r="Z4569" s="38"/>
    </row>
    <row r="4570" spans="12:26" x14ac:dyDescent="0.25">
      <c r="L4570" s="38"/>
      <c r="Z4570" s="38"/>
    </row>
    <row r="4571" spans="12:26" x14ac:dyDescent="0.25">
      <c r="L4571" s="38"/>
      <c r="Z4571" s="38"/>
    </row>
    <row r="4572" spans="12:26" x14ac:dyDescent="0.25">
      <c r="L4572" s="38"/>
      <c r="Z4572" s="38"/>
    </row>
    <row r="4573" spans="12:26" x14ac:dyDescent="0.25">
      <c r="L4573" s="38"/>
      <c r="Z4573" s="38"/>
    </row>
    <row r="4574" spans="12:26" x14ac:dyDescent="0.25">
      <c r="L4574" s="38"/>
      <c r="Z4574" s="38"/>
    </row>
    <row r="4575" spans="12:26" x14ac:dyDescent="0.25">
      <c r="L4575" s="38"/>
      <c r="Z4575" s="38"/>
    </row>
    <row r="4576" spans="12:26" x14ac:dyDescent="0.25">
      <c r="L4576" s="38"/>
      <c r="Z4576" s="38"/>
    </row>
    <row r="4577" spans="12:26" x14ac:dyDescent="0.25">
      <c r="L4577" s="38"/>
      <c r="Z4577" s="38"/>
    </row>
    <row r="4578" spans="12:26" x14ac:dyDescent="0.25">
      <c r="L4578" s="38"/>
      <c r="Z4578" s="38"/>
    </row>
    <row r="4579" spans="12:26" x14ac:dyDescent="0.25">
      <c r="L4579" s="38"/>
      <c r="Z4579" s="38"/>
    </row>
    <row r="4580" spans="12:26" x14ac:dyDescent="0.25">
      <c r="L4580" s="38"/>
      <c r="Z4580" s="38"/>
    </row>
    <row r="4581" spans="12:26" x14ac:dyDescent="0.25">
      <c r="L4581" s="38"/>
      <c r="Z4581" s="38"/>
    </row>
    <row r="4582" spans="12:26" x14ac:dyDescent="0.25">
      <c r="L4582" s="38"/>
      <c r="Z4582" s="38"/>
    </row>
    <row r="4583" spans="12:26" x14ac:dyDescent="0.25">
      <c r="L4583" s="38"/>
      <c r="Z4583" s="38"/>
    </row>
    <row r="4584" spans="12:26" x14ac:dyDescent="0.25">
      <c r="L4584" s="38"/>
      <c r="Z4584" s="38"/>
    </row>
    <row r="4585" spans="12:26" x14ac:dyDescent="0.25">
      <c r="L4585" s="38"/>
      <c r="Z4585" s="38"/>
    </row>
    <row r="4586" spans="12:26" x14ac:dyDescent="0.25">
      <c r="L4586" s="38"/>
      <c r="Z4586" s="38"/>
    </row>
    <row r="4587" spans="12:26" x14ac:dyDescent="0.25">
      <c r="L4587" s="38"/>
      <c r="Z4587" s="38"/>
    </row>
    <row r="4588" spans="12:26" x14ac:dyDescent="0.25">
      <c r="L4588" s="38"/>
      <c r="Z4588" s="38"/>
    </row>
    <row r="4589" spans="12:26" x14ac:dyDescent="0.25">
      <c r="L4589" s="38"/>
      <c r="Z4589" s="38"/>
    </row>
    <row r="4590" spans="12:26" x14ac:dyDescent="0.25">
      <c r="L4590" s="38"/>
      <c r="Z4590" s="38"/>
    </row>
    <row r="4591" spans="12:26" x14ac:dyDescent="0.25">
      <c r="L4591" s="38"/>
      <c r="Z4591" s="38"/>
    </row>
    <row r="4592" spans="12:26" x14ac:dyDescent="0.25">
      <c r="L4592" s="38"/>
      <c r="Z4592" s="38"/>
    </row>
    <row r="4593" spans="12:26" x14ac:dyDescent="0.25">
      <c r="L4593" s="38"/>
      <c r="Z4593" s="38"/>
    </row>
    <row r="4594" spans="12:26" x14ac:dyDescent="0.25">
      <c r="L4594" s="38"/>
      <c r="Z4594" s="38"/>
    </row>
    <row r="4595" spans="12:26" x14ac:dyDescent="0.25">
      <c r="L4595" s="38"/>
      <c r="Z4595" s="38"/>
    </row>
    <row r="4596" spans="12:26" x14ac:dyDescent="0.25">
      <c r="L4596" s="38"/>
      <c r="Z4596" s="38"/>
    </row>
    <row r="4597" spans="12:26" x14ac:dyDescent="0.25">
      <c r="L4597" s="38"/>
      <c r="Z4597" s="38"/>
    </row>
    <row r="4598" spans="12:26" x14ac:dyDescent="0.25">
      <c r="L4598" s="38"/>
      <c r="Z4598" s="38"/>
    </row>
    <row r="4599" spans="12:26" x14ac:dyDescent="0.25">
      <c r="L4599" s="38"/>
      <c r="Z4599" s="38"/>
    </row>
    <row r="4600" spans="12:26" x14ac:dyDescent="0.25">
      <c r="L4600" s="38"/>
      <c r="Z4600" s="38"/>
    </row>
    <row r="4601" spans="12:26" x14ac:dyDescent="0.25">
      <c r="L4601" s="38"/>
      <c r="Z4601" s="38"/>
    </row>
    <row r="4602" spans="12:26" x14ac:dyDescent="0.25">
      <c r="L4602" s="38"/>
      <c r="Z4602" s="38"/>
    </row>
    <row r="4603" spans="12:26" x14ac:dyDescent="0.25">
      <c r="L4603" s="38"/>
      <c r="Z4603" s="38"/>
    </row>
    <row r="4604" spans="12:26" x14ac:dyDescent="0.25">
      <c r="L4604" s="38"/>
      <c r="Z4604" s="38"/>
    </row>
    <row r="4605" spans="12:26" x14ac:dyDescent="0.25">
      <c r="L4605" s="38"/>
      <c r="Z4605" s="38"/>
    </row>
    <row r="4606" spans="12:26" x14ac:dyDescent="0.25">
      <c r="L4606" s="38"/>
      <c r="Z4606" s="38"/>
    </row>
    <row r="4607" spans="12:26" x14ac:dyDescent="0.25">
      <c r="L4607" s="38"/>
      <c r="Z4607" s="38"/>
    </row>
    <row r="4608" spans="12:26" x14ac:dyDescent="0.25">
      <c r="L4608" s="38"/>
      <c r="Z4608" s="38"/>
    </row>
    <row r="4609" spans="12:26" x14ac:dyDescent="0.25">
      <c r="L4609" s="38"/>
      <c r="Z4609" s="38"/>
    </row>
    <row r="4610" spans="12:26" x14ac:dyDescent="0.25">
      <c r="L4610" s="38"/>
      <c r="Z4610" s="38"/>
    </row>
    <row r="4611" spans="12:26" x14ac:dyDescent="0.25">
      <c r="L4611" s="38"/>
      <c r="Z4611" s="38"/>
    </row>
    <row r="4612" spans="12:26" x14ac:dyDescent="0.25">
      <c r="L4612" s="38"/>
      <c r="Z4612" s="38"/>
    </row>
    <row r="4613" spans="12:26" x14ac:dyDescent="0.25">
      <c r="L4613" s="38"/>
      <c r="Z4613" s="38"/>
    </row>
    <row r="4614" spans="12:26" x14ac:dyDescent="0.25">
      <c r="L4614" s="38"/>
      <c r="Z4614" s="38"/>
    </row>
    <row r="4615" spans="12:26" x14ac:dyDescent="0.25">
      <c r="L4615" s="38"/>
      <c r="Z4615" s="38"/>
    </row>
    <row r="4616" spans="12:26" x14ac:dyDescent="0.25">
      <c r="L4616" s="38"/>
      <c r="Z4616" s="38"/>
    </row>
    <row r="4617" spans="12:26" x14ac:dyDescent="0.25">
      <c r="L4617" s="38"/>
      <c r="Z4617" s="38"/>
    </row>
    <row r="4618" spans="12:26" x14ac:dyDescent="0.25">
      <c r="L4618" s="38"/>
      <c r="Z4618" s="38"/>
    </row>
    <row r="4619" spans="12:26" x14ac:dyDescent="0.25">
      <c r="L4619" s="38"/>
      <c r="Z4619" s="38"/>
    </row>
    <row r="4620" spans="12:26" x14ac:dyDescent="0.25">
      <c r="L4620" s="38"/>
      <c r="Z4620" s="38"/>
    </row>
    <row r="4621" spans="12:26" x14ac:dyDescent="0.25">
      <c r="L4621" s="38"/>
      <c r="Z4621" s="38"/>
    </row>
    <row r="4622" spans="12:26" x14ac:dyDescent="0.25">
      <c r="L4622" s="38"/>
      <c r="Z4622" s="38"/>
    </row>
    <row r="4623" spans="12:26" x14ac:dyDescent="0.25">
      <c r="L4623" s="38"/>
      <c r="Z4623" s="38"/>
    </row>
    <row r="4624" spans="12:26" x14ac:dyDescent="0.25">
      <c r="L4624" s="38"/>
      <c r="Z4624" s="38"/>
    </row>
    <row r="4625" spans="12:26" x14ac:dyDescent="0.25">
      <c r="L4625" s="38"/>
      <c r="Z4625" s="38"/>
    </row>
    <row r="4626" spans="12:26" x14ac:dyDescent="0.25">
      <c r="L4626" s="38"/>
      <c r="Z4626" s="38"/>
    </row>
    <row r="4627" spans="12:26" x14ac:dyDescent="0.25">
      <c r="L4627" s="38"/>
      <c r="Z4627" s="38"/>
    </row>
    <row r="4628" spans="12:26" x14ac:dyDescent="0.25">
      <c r="L4628" s="38"/>
      <c r="Z4628" s="38"/>
    </row>
    <row r="4629" spans="12:26" x14ac:dyDescent="0.25">
      <c r="L4629" s="38"/>
      <c r="Z4629" s="38"/>
    </row>
    <row r="4630" spans="12:26" x14ac:dyDescent="0.25">
      <c r="L4630" s="38"/>
      <c r="Z4630" s="38"/>
    </row>
    <row r="4631" spans="12:26" x14ac:dyDescent="0.25">
      <c r="L4631" s="38"/>
      <c r="Z4631" s="38"/>
    </row>
    <row r="4632" spans="12:26" x14ac:dyDescent="0.25">
      <c r="L4632" s="38"/>
      <c r="Z4632" s="38"/>
    </row>
    <row r="4633" spans="12:26" x14ac:dyDescent="0.25">
      <c r="L4633" s="38"/>
      <c r="Z4633" s="38"/>
    </row>
    <row r="4634" spans="12:26" x14ac:dyDescent="0.25">
      <c r="L4634" s="38"/>
      <c r="Z4634" s="38"/>
    </row>
    <row r="4635" spans="12:26" x14ac:dyDescent="0.25">
      <c r="L4635" s="38"/>
      <c r="Z4635" s="38"/>
    </row>
    <row r="4636" spans="12:26" x14ac:dyDescent="0.25">
      <c r="L4636" s="38"/>
      <c r="Z4636" s="38"/>
    </row>
    <row r="4637" spans="12:26" x14ac:dyDescent="0.25">
      <c r="L4637" s="38"/>
      <c r="Z4637" s="38"/>
    </row>
    <row r="4638" spans="12:26" x14ac:dyDescent="0.25">
      <c r="L4638" s="38"/>
      <c r="Z4638" s="38"/>
    </row>
    <row r="4639" spans="12:26" x14ac:dyDescent="0.25">
      <c r="L4639" s="38"/>
      <c r="Z4639" s="38"/>
    </row>
    <row r="4640" spans="12:26" x14ac:dyDescent="0.25">
      <c r="L4640" s="38"/>
      <c r="Z4640" s="38"/>
    </row>
    <row r="4641" spans="12:26" x14ac:dyDescent="0.25">
      <c r="L4641" s="38"/>
      <c r="Z4641" s="38"/>
    </row>
    <row r="4642" spans="12:26" x14ac:dyDescent="0.25">
      <c r="L4642" s="38"/>
      <c r="Z4642" s="38"/>
    </row>
    <row r="4643" spans="12:26" x14ac:dyDescent="0.25">
      <c r="L4643" s="38"/>
      <c r="Z4643" s="38"/>
    </row>
    <row r="4644" spans="12:26" x14ac:dyDescent="0.25">
      <c r="L4644" s="38"/>
      <c r="Z4644" s="38"/>
    </row>
    <row r="4645" spans="12:26" x14ac:dyDescent="0.25">
      <c r="L4645" s="38"/>
      <c r="Z4645" s="38"/>
    </row>
    <row r="4646" spans="12:26" x14ac:dyDescent="0.25">
      <c r="L4646" s="38"/>
      <c r="Z4646" s="38"/>
    </row>
    <row r="4647" spans="12:26" x14ac:dyDescent="0.25">
      <c r="L4647" s="38"/>
      <c r="Z4647" s="38"/>
    </row>
    <row r="4648" spans="12:26" x14ac:dyDescent="0.25">
      <c r="L4648" s="38"/>
      <c r="Z4648" s="38"/>
    </row>
    <row r="4649" spans="12:26" x14ac:dyDescent="0.25">
      <c r="L4649" s="38"/>
      <c r="Z4649" s="38"/>
    </row>
    <row r="4650" spans="12:26" x14ac:dyDescent="0.25">
      <c r="L4650" s="38"/>
      <c r="Z4650" s="38"/>
    </row>
    <row r="4651" spans="12:26" x14ac:dyDescent="0.25">
      <c r="L4651" s="38"/>
      <c r="Z4651" s="38"/>
    </row>
    <row r="4652" spans="12:26" x14ac:dyDescent="0.25">
      <c r="L4652" s="38"/>
      <c r="Z4652" s="38"/>
    </row>
    <row r="4653" spans="12:26" x14ac:dyDescent="0.25">
      <c r="L4653" s="38"/>
      <c r="Z4653" s="38"/>
    </row>
    <row r="4654" spans="12:26" x14ac:dyDescent="0.25">
      <c r="L4654" s="38"/>
      <c r="Z4654" s="38"/>
    </row>
    <row r="4655" spans="12:26" x14ac:dyDescent="0.25">
      <c r="L4655" s="38"/>
      <c r="Z4655" s="38"/>
    </row>
    <row r="4656" spans="12:26" x14ac:dyDescent="0.25">
      <c r="L4656" s="38"/>
      <c r="Z4656" s="38"/>
    </row>
    <row r="4657" spans="12:26" x14ac:dyDescent="0.25">
      <c r="L4657" s="38"/>
      <c r="Z4657" s="38"/>
    </row>
    <row r="4658" spans="12:26" x14ac:dyDescent="0.25">
      <c r="L4658" s="38"/>
      <c r="Z4658" s="38"/>
    </row>
    <row r="4659" spans="12:26" x14ac:dyDescent="0.25">
      <c r="L4659" s="38"/>
      <c r="Z4659" s="38"/>
    </row>
    <row r="4660" spans="12:26" x14ac:dyDescent="0.25">
      <c r="L4660" s="38"/>
      <c r="Z4660" s="38"/>
    </row>
    <row r="4661" spans="12:26" x14ac:dyDescent="0.25">
      <c r="L4661" s="38"/>
      <c r="Z4661" s="38"/>
    </row>
    <row r="4662" spans="12:26" x14ac:dyDescent="0.25">
      <c r="L4662" s="38"/>
      <c r="Z4662" s="38"/>
    </row>
    <row r="4663" spans="12:26" x14ac:dyDescent="0.25">
      <c r="L4663" s="38"/>
      <c r="Z4663" s="38"/>
    </row>
    <row r="4664" spans="12:26" x14ac:dyDescent="0.25">
      <c r="L4664" s="38"/>
      <c r="Z4664" s="38"/>
    </row>
    <row r="4665" spans="12:26" x14ac:dyDescent="0.25">
      <c r="L4665" s="38"/>
      <c r="Z4665" s="38"/>
    </row>
    <row r="4666" spans="12:26" x14ac:dyDescent="0.25">
      <c r="L4666" s="38"/>
      <c r="Z4666" s="38"/>
    </row>
    <row r="4667" spans="12:26" x14ac:dyDescent="0.25">
      <c r="L4667" s="38"/>
      <c r="Z4667" s="38"/>
    </row>
    <row r="4668" spans="12:26" x14ac:dyDescent="0.25">
      <c r="L4668" s="38"/>
      <c r="Z4668" s="38"/>
    </row>
    <row r="4669" spans="12:26" x14ac:dyDescent="0.25">
      <c r="L4669" s="38"/>
      <c r="Z4669" s="38"/>
    </row>
    <row r="4670" spans="12:26" x14ac:dyDescent="0.25">
      <c r="L4670" s="38"/>
      <c r="Z4670" s="38"/>
    </row>
    <row r="4671" spans="12:26" x14ac:dyDescent="0.25">
      <c r="L4671" s="38"/>
      <c r="Z4671" s="38"/>
    </row>
    <row r="4672" spans="12:26" x14ac:dyDescent="0.25">
      <c r="L4672" s="38"/>
      <c r="Z4672" s="38"/>
    </row>
    <row r="4673" spans="12:26" x14ac:dyDescent="0.25">
      <c r="L4673" s="38"/>
      <c r="Z4673" s="38"/>
    </row>
    <row r="4674" spans="12:26" x14ac:dyDescent="0.25">
      <c r="L4674" s="38"/>
      <c r="Z4674" s="38"/>
    </row>
    <row r="4675" spans="12:26" x14ac:dyDescent="0.25">
      <c r="L4675" s="38"/>
      <c r="Z4675" s="38"/>
    </row>
    <row r="4676" spans="12:26" x14ac:dyDescent="0.25">
      <c r="L4676" s="38"/>
      <c r="Z4676" s="38"/>
    </row>
    <row r="4677" spans="12:26" x14ac:dyDescent="0.25">
      <c r="L4677" s="38"/>
      <c r="Z4677" s="38"/>
    </row>
    <row r="4678" spans="12:26" x14ac:dyDescent="0.25">
      <c r="L4678" s="38"/>
      <c r="Z4678" s="38"/>
    </row>
    <row r="4679" spans="12:26" x14ac:dyDescent="0.25">
      <c r="L4679" s="38"/>
      <c r="Z4679" s="38"/>
    </row>
    <row r="4680" spans="12:26" x14ac:dyDescent="0.25">
      <c r="L4680" s="38"/>
      <c r="Z4680" s="38"/>
    </row>
    <row r="4681" spans="12:26" x14ac:dyDescent="0.25">
      <c r="L4681" s="38"/>
      <c r="Z4681" s="38"/>
    </row>
    <row r="4682" spans="12:26" x14ac:dyDescent="0.25">
      <c r="L4682" s="38"/>
      <c r="Z4682" s="38"/>
    </row>
    <row r="4683" spans="12:26" x14ac:dyDescent="0.25">
      <c r="L4683" s="38"/>
      <c r="Z4683" s="38"/>
    </row>
    <row r="4684" spans="12:26" x14ac:dyDescent="0.25">
      <c r="L4684" s="38"/>
      <c r="Z4684" s="38"/>
    </row>
    <row r="4685" spans="12:26" x14ac:dyDescent="0.25">
      <c r="L4685" s="38"/>
      <c r="Z4685" s="38"/>
    </row>
    <row r="4686" spans="12:26" x14ac:dyDescent="0.25">
      <c r="L4686" s="38"/>
      <c r="Z4686" s="38"/>
    </row>
    <row r="4687" spans="12:26" x14ac:dyDescent="0.25">
      <c r="L4687" s="38"/>
      <c r="Z4687" s="38"/>
    </row>
    <row r="4688" spans="12:26" x14ac:dyDescent="0.25">
      <c r="L4688" s="38"/>
      <c r="Z4688" s="38"/>
    </row>
    <row r="4689" spans="12:26" x14ac:dyDescent="0.25">
      <c r="L4689" s="38"/>
      <c r="Z4689" s="38"/>
    </row>
    <row r="4690" spans="12:26" x14ac:dyDescent="0.25">
      <c r="L4690" s="38"/>
      <c r="Z4690" s="38"/>
    </row>
    <row r="4691" spans="12:26" x14ac:dyDescent="0.25">
      <c r="L4691" s="38"/>
      <c r="Z4691" s="38"/>
    </row>
    <row r="4692" spans="12:26" x14ac:dyDescent="0.25">
      <c r="L4692" s="38"/>
      <c r="Z4692" s="38"/>
    </row>
    <row r="4693" spans="12:26" x14ac:dyDescent="0.25">
      <c r="L4693" s="38"/>
      <c r="Z4693" s="38"/>
    </row>
    <row r="4694" spans="12:26" x14ac:dyDescent="0.25">
      <c r="L4694" s="38"/>
      <c r="Z4694" s="38"/>
    </row>
    <row r="4695" spans="12:26" x14ac:dyDescent="0.25">
      <c r="L4695" s="38"/>
      <c r="Z4695" s="38"/>
    </row>
    <row r="4696" spans="12:26" x14ac:dyDescent="0.25">
      <c r="L4696" s="38"/>
      <c r="Z4696" s="38"/>
    </row>
    <row r="4697" spans="12:26" x14ac:dyDescent="0.25">
      <c r="L4697" s="38"/>
      <c r="Z4697" s="38"/>
    </row>
    <row r="4698" spans="12:26" x14ac:dyDescent="0.25">
      <c r="L4698" s="38"/>
      <c r="Z4698" s="38"/>
    </row>
    <row r="4699" spans="12:26" x14ac:dyDescent="0.25">
      <c r="L4699" s="38"/>
      <c r="Z4699" s="38"/>
    </row>
    <row r="4700" spans="12:26" x14ac:dyDescent="0.25">
      <c r="L4700" s="38"/>
      <c r="Z4700" s="38"/>
    </row>
    <row r="4701" spans="12:26" x14ac:dyDescent="0.25">
      <c r="L4701" s="38"/>
      <c r="Z4701" s="38"/>
    </row>
    <row r="4702" spans="12:26" x14ac:dyDescent="0.25">
      <c r="L4702" s="38"/>
      <c r="Z4702" s="38"/>
    </row>
    <row r="4703" spans="12:26" x14ac:dyDescent="0.25">
      <c r="L4703" s="38"/>
      <c r="Z4703" s="38"/>
    </row>
    <row r="4704" spans="12:26" x14ac:dyDescent="0.25">
      <c r="L4704" s="38"/>
      <c r="Z4704" s="38"/>
    </row>
    <row r="4705" spans="12:26" x14ac:dyDescent="0.25">
      <c r="L4705" s="38"/>
      <c r="Z4705" s="38"/>
    </row>
    <row r="4706" spans="12:26" x14ac:dyDescent="0.25">
      <c r="L4706" s="38"/>
      <c r="Z4706" s="38"/>
    </row>
    <row r="4707" spans="12:26" x14ac:dyDescent="0.25">
      <c r="L4707" s="38"/>
      <c r="Z4707" s="38"/>
    </row>
    <row r="4708" spans="12:26" x14ac:dyDescent="0.25">
      <c r="L4708" s="38"/>
      <c r="Z4708" s="38"/>
    </row>
    <row r="4709" spans="12:26" x14ac:dyDescent="0.25">
      <c r="L4709" s="38"/>
      <c r="Z4709" s="38"/>
    </row>
    <row r="4710" spans="12:26" x14ac:dyDescent="0.25">
      <c r="L4710" s="38"/>
      <c r="Z4710" s="38"/>
    </row>
    <row r="4711" spans="12:26" x14ac:dyDescent="0.25">
      <c r="L4711" s="38"/>
      <c r="Z4711" s="38"/>
    </row>
    <row r="4712" spans="12:26" x14ac:dyDescent="0.25">
      <c r="L4712" s="38"/>
      <c r="Z4712" s="38"/>
    </row>
    <row r="4713" spans="12:26" x14ac:dyDescent="0.25">
      <c r="L4713" s="38"/>
      <c r="Z4713" s="38"/>
    </row>
    <row r="4714" spans="12:26" x14ac:dyDescent="0.25">
      <c r="L4714" s="38"/>
      <c r="Z4714" s="38"/>
    </row>
    <row r="4715" spans="12:26" x14ac:dyDescent="0.25">
      <c r="L4715" s="38"/>
      <c r="Z4715" s="38"/>
    </row>
    <row r="4716" spans="12:26" x14ac:dyDescent="0.25">
      <c r="L4716" s="38"/>
      <c r="Z4716" s="38"/>
    </row>
    <row r="4717" spans="12:26" x14ac:dyDescent="0.25">
      <c r="L4717" s="38"/>
      <c r="Z4717" s="38"/>
    </row>
    <row r="4718" spans="12:26" x14ac:dyDescent="0.25">
      <c r="L4718" s="38"/>
      <c r="Z4718" s="38"/>
    </row>
    <row r="4719" spans="12:26" x14ac:dyDescent="0.25">
      <c r="L4719" s="38"/>
      <c r="Z4719" s="38"/>
    </row>
    <row r="4720" spans="12:26" x14ac:dyDescent="0.25">
      <c r="L4720" s="38"/>
      <c r="Z4720" s="38"/>
    </row>
    <row r="4721" spans="12:26" x14ac:dyDescent="0.25">
      <c r="L4721" s="38"/>
      <c r="Z4721" s="38"/>
    </row>
    <row r="4722" spans="12:26" x14ac:dyDescent="0.25">
      <c r="L4722" s="38"/>
      <c r="Z4722" s="38"/>
    </row>
    <row r="4723" spans="12:26" x14ac:dyDescent="0.25">
      <c r="L4723" s="38"/>
      <c r="Z4723" s="38"/>
    </row>
    <row r="4724" spans="12:26" x14ac:dyDescent="0.25">
      <c r="L4724" s="38"/>
      <c r="Z4724" s="38"/>
    </row>
    <row r="4725" spans="12:26" x14ac:dyDescent="0.25">
      <c r="L4725" s="38"/>
      <c r="Z4725" s="38"/>
    </row>
    <row r="4726" spans="12:26" x14ac:dyDescent="0.25">
      <c r="L4726" s="38"/>
      <c r="Z4726" s="38"/>
    </row>
    <row r="4727" spans="12:26" x14ac:dyDescent="0.25">
      <c r="L4727" s="38"/>
      <c r="Z4727" s="38"/>
    </row>
    <row r="4728" spans="12:26" x14ac:dyDescent="0.25">
      <c r="L4728" s="38"/>
      <c r="Z4728" s="38"/>
    </row>
    <row r="4729" spans="12:26" x14ac:dyDescent="0.25">
      <c r="L4729" s="38"/>
      <c r="Z4729" s="38"/>
    </row>
    <row r="4730" spans="12:26" x14ac:dyDescent="0.25">
      <c r="L4730" s="38"/>
      <c r="Z4730" s="38"/>
    </row>
    <row r="4731" spans="12:26" x14ac:dyDescent="0.25">
      <c r="L4731" s="38"/>
      <c r="Z4731" s="38"/>
    </row>
    <row r="4732" spans="12:26" x14ac:dyDescent="0.25">
      <c r="L4732" s="38"/>
      <c r="Z4732" s="38"/>
    </row>
    <row r="4733" spans="12:26" x14ac:dyDescent="0.25">
      <c r="L4733" s="38"/>
      <c r="Z4733" s="38"/>
    </row>
    <row r="4734" spans="12:26" x14ac:dyDescent="0.25">
      <c r="L4734" s="38"/>
      <c r="Z4734" s="38"/>
    </row>
    <row r="4735" spans="12:26" x14ac:dyDescent="0.25">
      <c r="L4735" s="38"/>
      <c r="Z4735" s="38"/>
    </row>
    <row r="4736" spans="12:26" x14ac:dyDescent="0.25">
      <c r="L4736" s="38"/>
      <c r="Z4736" s="38"/>
    </row>
    <row r="4737" spans="12:26" x14ac:dyDescent="0.25">
      <c r="L4737" s="38"/>
      <c r="Z4737" s="38"/>
    </row>
    <row r="4738" spans="12:26" x14ac:dyDescent="0.25">
      <c r="L4738" s="38"/>
      <c r="Z4738" s="38"/>
    </row>
    <row r="4739" spans="12:26" x14ac:dyDescent="0.25">
      <c r="L4739" s="38"/>
      <c r="Z4739" s="38"/>
    </row>
    <row r="4740" spans="12:26" x14ac:dyDescent="0.25">
      <c r="L4740" s="38"/>
      <c r="Z4740" s="38"/>
    </row>
    <row r="4741" spans="12:26" x14ac:dyDescent="0.25">
      <c r="L4741" s="38"/>
      <c r="Z4741" s="38"/>
    </row>
    <row r="4742" spans="12:26" x14ac:dyDescent="0.25">
      <c r="L4742" s="38"/>
      <c r="Z4742" s="38"/>
    </row>
    <row r="4743" spans="12:26" x14ac:dyDescent="0.25">
      <c r="L4743" s="38"/>
      <c r="Z4743" s="38"/>
    </row>
    <row r="4744" spans="12:26" x14ac:dyDescent="0.25">
      <c r="L4744" s="38"/>
      <c r="Z4744" s="38"/>
    </row>
    <row r="4745" spans="12:26" x14ac:dyDescent="0.25">
      <c r="L4745" s="38"/>
      <c r="Z4745" s="38"/>
    </row>
    <row r="4746" spans="12:26" x14ac:dyDescent="0.25">
      <c r="L4746" s="38"/>
      <c r="Z4746" s="38"/>
    </row>
    <row r="4747" spans="12:26" x14ac:dyDescent="0.25">
      <c r="L4747" s="38"/>
      <c r="Z4747" s="38"/>
    </row>
    <row r="4748" spans="12:26" x14ac:dyDescent="0.25">
      <c r="L4748" s="38"/>
      <c r="Z4748" s="38"/>
    </row>
    <row r="4749" spans="12:26" x14ac:dyDescent="0.25">
      <c r="L4749" s="38"/>
      <c r="Z4749" s="38"/>
    </row>
    <row r="4750" spans="12:26" x14ac:dyDescent="0.25">
      <c r="L4750" s="38"/>
      <c r="Z4750" s="38"/>
    </row>
    <row r="4751" spans="12:26" x14ac:dyDescent="0.25">
      <c r="L4751" s="38"/>
      <c r="Z4751" s="38"/>
    </row>
    <row r="4752" spans="12:26" x14ac:dyDescent="0.25">
      <c r="L4752" s="38"/>
      <c r="Z4752" s="38"/>
    </row>
    <row r="4753" spans="12:26" x14ac:dyDescent="0.25">
      <c r="L4753" s="38"/>
      <c r="Z4753" s="38"/>
    </row>
    <row r="4754" spans="12:26" x14ac:dyDescent="0.25">
      <c r="L4754" s="38"/>
      <c r="Z4754" s="38"/>
    </row>
    <row r="4755" spans="12:26" x14ac:dyDescent="0.25">
      <c r="L4755" s="38"/>
      <c r="Z4755" s="38"/>
    </row>
    <row r="4756" spans="12:26" x14ac:dyDescent="0.25">
      <c r="L4756" s="38"/>
      <c r="Z4756" s="38"/>
    </row>
    <row r="4757" spans="12:26" x14ac:dyDescent="0.25">
      <c r="L4757" s="38"/>
      <c r="Z4757" s="38"/>
    </row>
    <row r="4758" spans="12:26" x14ac:dyDescent="0.25">
      <c r="L4758" s="38"/>
      <c r="Z4758" s="38"/>
    </row>
    <row r="4759" spans="12:26" x14ac:dyDescent="0.25">
      <c r="L4759" s="38"/>
      <c r="Z4759" s="38"/>
    </row>
    <row r="4760" spans="12:26" x14ac:dyDescent="0.25">
      <c r="L4760" s="38"/>
      <c r="Z4760" s="38"/>
    </row>
    <row r="4761" spans="12:26" x14ac:dyDescent="0.25">
      <c r="L4761" s="38"/>
      <c r="Z4761" s="38"/>
    </row>
    <row r="4762" spans="12:26" x14ac:dyDescent="0.25">
      <c r="L4762" s="38"/>
      <c r="Z4762" s="38"/>
    </row>
    <row r="4763" spans="12:26" x14ac:dyDescent="0.25">
      <c r="L4763" s="38"/>
      <c r="Z4763" s="38"/>
    </row>
    <row r="4764" spans="12:26" x14ac:dyDescent="0.25">
      <c r="L4764" s="38"/>
      <c r="Z4764" s="38"/>
    </row>
    <row r="4765" spans="12:26" x14ac:dyDescent="0.25">
      <c r="L4765" s="38"/>
      <c r="Z4765" s="38"/>
    </row>
    <row r="4766" spans="12:26" x14ac:dyDescent="0.25">
      <c r="L4766" s="38"/>
      <c r="Z4766" s="38"/>
    </row>
    <row r="4767" spans="12:26" x14ac:dyDescent="0.25">
      <c r="L4767" s="38"/>
      <c r="Z4767" s="38"/>
    </row>
    <row r="4768" spans="12:26" x14ac:dyDescent="0.25">
      <c r="L4768" s="38"/>
      <c r="Z4768" s="38"/>
    </row>
    <row r="4769" spans="12:26" x14ac:dyDescent="0.25">
      <c r="L4769" s="38"/>
      <c r="Z4769" s="38"/>
    </row>
    <row r="4770" spans="12:26" x14ac:dyDescent="0.25">
      <c r="L4770" s="38"/>
      <c r="Z4770" s="38"/>
    </row>
    <row r="4771" spans="12:26" x14ac:dyDescent="0.25">
      <c r="L4771" s="38"/>
      <c r="Z4771" s="38"/>
    </row>
    <row r="4772" spans="12:26" x14ac:dyDescent="0.25">
      <c r="L4772" s="38"/>
      <c r="Z4772" s="38"/>
    </row>
    <row r="4773" spans="12:26" x14ac:dyDescent="0.25">
      <c r="L4773" s="38"/>
      <c r="Z4773" s="38"/>
    </row>
    <row r="4774" spans="12:26" x14ac:dyDescent="0.25">
      <c r="L4774" s="38"/>
      <c r="Z4774" s="38"/>
    </row>
    <row r="4775" spans="12:26" x14ac:dyDescent="0.25">
      <c r="L4775" s="38"/>
      <c r="Z4775" s="38"/>
    </row>
    <row r="4776" spans="12:26" x14ac:dyDescent="0.25">
      <c r="L4776" s="38"/>
      <c r="Z4776" s="38"/>
    </row>
    <row r="4777" spans="12:26" x14ac:dyDescent="0.25">
      <c r="L4777" s="38"/>
      <c r="Z4777" s="38"/>
    </row>
    <row r="4778" spans="12:26" x14ac:dyDescent="0.25">
      <c r="L4778" s="38"/>
      <c r="Z4778" s="38"/>
    </row>
    <row r="4779" spans="12:26" x14ac:dyDescent="0.25">
      <c r="L4779" s="38"/>
      <c r="Z4779" s="38"/>
    </row>
    <row r="4780" spans="12:26" x14ac:dyDescent="0.25">
      <c r="L4780" s="38"/>
      <c r="Z4780" s="38"/>
    </row>
    <row r="4781" spans="12:26" x14ac:dyDescent="0.25">
      <c r="L4781" s="38"/>
      <c r="Z4781" s="38"/>
    </row>
    <row r="4782" spans="12:26" x14ac:dyDescent="0.25">
      <c r="L4782" s="38"/>
      <c r="Z4782" s="38"/>
    </row>
    <row r="4783" spans="12:26" x14ac:dyDescent="0.25">
      <c r="L4783" s="38"/>
      <c r="Z4783" s="38"/>
    </row>
    <row r="4784" spans="12:26" x14ac:dyDescent="0.25">
      <c r="L4784" s="38"/>
      <c r="Z4784" s="38"/>
    </row>
    <row r="4785" spans="12:26" x14ac:dyDescent="0.25">
      <c r="L4785" s="38"/>
      <c r="Z4785" s="38"/>
    </row>
    <row r="4786" spans="12:26" x14ac:dyDescent="0.25">
      <c r="L4786" s="38"/>
      <c r="Z4786" s="38"/>
    </row>
    <row r="4787" spans="12:26" x14ac:dyDescent="0.25">
      <c r="L4787" s="38"/>
      <c r="Z4787" s="38"/>
    </row>
    <row r="4788" spans="12:26" x14ac:dyDescent="0.25">
      <c r="L4788" s="38"/>
      <c r="Z4788" s="38"/>
    </row>
    <row r="4789" spans="12:26" x14ac:dyDescent="0.25">
      <c r="L4789" s="38"/>
      <c r="Z4789" s="38"/>
    </row>
    <row r="4790" spans="12:26" x14ac:dyDescent="0.25">
      <c r="L4790" s="38"/>
      <c r="Z4790" s="38"/>
    </row>
    <row r="4791" spans="12:26" x14ac:dyDescent="0.25">
      <c r="L4791" s="38"/>
      <c r="Z4791" s="38"/>
    </row>
    <row r="4792" spans="12:26" x14ac:dyDescent="0.25">
      <c r="L4792" s="38"/>
      <c r="Z4792" s="38"/>
    </row>
    <row r="4793" spans="12:26" x14ac:dyDescent="0.25">
      <c r="L4793" s="38"/>
      <c r="Z4793" s="38"/>
    </row>
    <row r="4794" spans="12:26" x14ac:dyDescent="0.25">
      <c r="L4794" s="38"/>
      <c r="Z4794" s="38"/>
    </row>
    <row r="4795" spans="12:26" x14ac:dyDescent="0.25">
      <c r="L4795" s="38"/>
      <c r="Z4795" s="38"/>
    </row>
    <row r="4796" spans="12:26" x14ac:dyDescent="0.25">
      <c r="L4796" s="38"/>
      <c r="Z4796" s="38"/>
    </row>
    <row r="4797" spans="12:26" x14ac:dyDescent="0.25">
      <c r="L4797" s="38"/>
      <c r="Z4797" s="38"/>
    </row>
    <row r="4798" spans="12:26" x14ac:dyDescent="0.25">
      <c r="L4798" s="38"/>
      <c r="Z4798" s="38"/>
    </row>
    <row r="4799" spans="12:26" x14ac:dyDescent="0.25">
      <c r="L4799" s="38"/>
      <c r="Z4799" s="38"/>
    </row>
    <row r="4800" spans="12:26" x14ac:dyDescent="0.25">
      <c r="L4800" s="38"/>
      <c r="Z4800" s="38"/>
    </row>
    <row r="4801" spans="12:26" x14ac:dyDescent="0.25">
      <c r="L4801" s="38"/>
      <c r="Z4801" s="38"/>
    </row>
    <row r="4802" spans="12:26" x14ac:dyDescent="0.25">
      <c r="L4802" s="38"/>
      <c r="Z4802" s="38"/>
    </row>
    <row r="4803" spans="12:26" x14ac:dyDescent="0.25">
      <c r="L4803" s="38"/>
      <c r="Z4803" s="38"/>
    </row>
    <row r="4804" spans="12:26" x14ac:dyDescent="0.25">
      <c r="L4804" s="38"/>
      <c r="Z4804" s="38"/>
    </row>
    <row r="4805" spans="12:26" x14ac:dyDescent="0.25">
      <c r="L4805" s="38"/>
      <c r="Z4805" s="38"/>
    </row>
    <row r="4806" spans="12:26" x14ac:dyDescent="0.25">
      <c r="L4806" s="38"/>
      <c r="Z4806" s="38"/>
    </row>
    <row r="4807" spans="12:26" x14ac:dyDescent="0.25">
      <c r="L4807" s="38"/>
      <c r="Z4807" s="38"/>
    </row>
    <row r="4808" spans="12:26" x14ac:dyDescent="0.25">
      <c r="L4808" s="38"/>
      <c r="Z4808" s="38"/>
    </row>
    <row r="4809" spans="12:26" x14ac:dyDescent="0.25">
      <c r="L4809" s="38"/>
      <c r="Z4809" s="38"/>
    </row>
    <row r="4810" spans="12:26" x14ac:dyDescent="0.25">
      <c r="L4810" s="38"/>
      <c r="Z4810" s="38"/>
    </row>
    <row r="4811" spans="12:26" x14ac:dyDescent="0.25">
      <c r="L4811" s="38"/>
      <c r="Z4811" s="38"/>
    </row>
    <row r="4812" spans="12:26" x14ac:dyDescent="0.25">
      <c r="L4812" s="38"/>
      <c r="Z4812" s="38"/>
    </row>
    <row r="4813" spans="12:26" x14ac:dyDescent="0.25">
      <c r="L4813" s="38"/>
      <c r="Z4813" s="38"/>
    </row>
    <row r="4814" spans="12:26" x14ac:dyDescent="0.25">
      <c r="L4814" s="38"/>
      <c r="Z4814" s="38"/>
    </row>
    <row r="4815" spans="12:26" x14ac:dyDescent="0.25">
      <c r="L4815" s="38"/>
      <c r="Z4815" s="38"/>
    </row>
    <row r="4816" spans="12:26" x14ac:dyDescent="0.25">
      <c r="L4816" s="38"/>
      <c r="Z4816" s="38"/>
    </row>
    <row r="4817" spans="12:26" x14ac:dyDescent="0.25">
      <c r="L4817" s="38"/>
      <c r="Z4817" s="38"/>
    </row>
    <row r="4818" spans="12:26" x14ac:dyDescent="0.25">
      <c r="L4818" s="38"/>
      <c r="Z4818" s="38"/>
    </row>
    <row r="4819" spans="12:26" x14ac:dyDescent="0.25">
      <c r="L4819" s="38"/>
      <c r="Z4819" s="38"/>
    </row>
    <row r="4820" spans="12:26" x14ac:dyDescent="0.25">
      <c r="L4820" s="38"/>
      <c r="Z4820" s="38"/>
    </row>
    <row r="4821" spans="12:26" x14ac:dyDescent="0.25">
      <c r="L4821" s="38"/>
      <c r="Z4821" s="38"/>
    </row>
    <row r="4822" spans="12:26" x14ac:dyDescent="0.25">
      <c r="L4822" s="38"/>
      <c r="Z4822" s="38"/>
    </row>
    <row r="4823" spans="12:26" x14ac:dyDescent="0.25">
      <c r="L4823" s="38"/>
      <c r="Z4823" s="38"/>
    </row>
    <row r="4824" spans="12:26" x14ac:dyDescent="0.25">
      <c r="L4824" s="38"/>
      <c r="Z4824" s="38"/>
    </row>
    <row r="4825" spans="12:26" x14ac:dyDescent="0.25">
      <c r="L4825" s="38"/>
      <c r="Z4825" s="38"/>
    </row>
    <row r="4826" spans="12:26" x14ac:dyDescent="0.25">
      <c r="L4826" s="38"/>
      <c r="Z4826" s="38"/>
    </row>
    <row r="4827" spans="12:26" x14ac:dyDescent="0.25">
      <c r="L4827" s="38"/>
      <c r="Z4827" s="38"/>
    </row>
    <row r="4828" spans="12:26" x14ac:dyDescent="0.25">
      <c r="L4828" s="38"/>
      <c r="Z4828" s="38"/>
    </row>
    <row r="4829" spans="12:26" x14ac:dyDescent="0.25">
      <c r="L4829" s="38"/>
      <c r="Z4829" s="38"/>
    </row>
    <row r="4830" spans="12:26" x14ac:dyDescent="0.25">
      <c r="L4830" s="38"/>
      <c r="Z4830" s="38"/>
    </row>
    <row r="4831" spans="12:26" x14ac:dyDescent="0.25">
      <c r="L4831" s="38"/>
      <c r="Z4831" s="38"/>
    </row>
    <row r="4832" spans="12:26" x14ac:dyDescent="0.25">
      <c r="L4832" s="38"/>
      <c r="Z4832" s="38"/>
    </row>
    <row r="4833" spans="12:26" x14ac:dyDescent="0.25">
      <c r="L4833" s="38"/>
      <c r="Z4833" s="38"/>
    </row>
    <row r="4834" spans="12:26" x14ac:dyDescent="0.25">
      <c r="L4834" s="38"/>
      <c r="Z4834" s="38"/>
    </row>
    <row r="4835" spans="12:26" x14ac:dyDescent="0.25">
      <c r="L4835" s="38"/>
      <c r="Z4835" s="38"/>
    </row>
    <row r="4836" spans="12:26" x14ac:dyDescent="0.25">
      <c r="L4836" s="38"/>
      <c r="Z4836" s="38"/>
    </row>
    <row r="4837" spans="12:26" x14ac:dyDescent="0.25">
      <c r="L4837" s="38"/>
      <c r="Z4837" s="38"/>
    </row>
    <row r="4838" spans="12:26" x14ac:dyDescent="0.25">
      <c r="L4838" s="38"/>
      <c r="Z4838" s="38"/>
    </row>
    <row r="4839" spans="12:26" x14ac:dyDescent="0.25">
      <c r="L4839" s="38"/>
      <c r="Z4839" s="38"/>
    </row>
    <row r="4840" spans="12:26" x14ac:dyDescent="0.25">
      <c r="L4840" s="38"/>
      <c r="Z4840" s="38"/>
    </row>
    <row r="4841" spans="12:26" x14ac:dyDescent="0.25">
      <c r="L4841" s="38"/>
      <c r="Z4841" s="38"/>
    </row>
    <row r="4842" spans="12:26" x14ac:dyDescent="0.25">
      <c r="L4842" s="38"/>
      <c r="Z4842" s="38"/>
    </row>
    <row r="4843" spans="12:26" x14ac:dyDescent="0.25">
      <c r="L4843" s="38"/>
      <c r="Z4843" s="38"/>
    </row>
    <row r="4844" spans="12:26" x14ac:dyDescent="0.25">
      <c r="L4844" s="38"/>
      <c r="Z4844" s="38"/>
    </row>
    <row r="4845" spans="12:26" x14ac:dyDescent="0.25">
      <c r="L4845" s="38"/>
      <c r="Z4845" s="38"/>
    </row>
    <row r="4846" spans="12:26" x14ac:dyDescent="0.25">
      <c r="L4846" s="38"/>
      <c r="Z4846" s="38"/>
    </row>
    <row r="4847" spans="12:26" x14ac:dyDescent="0.25">
      <c r="L4847" s="38"/>
      <c r="Z4847" s="38"/>
    </row>
    <row r="4848" spans="12:26" x14ac:dyDescent="0.25">
      <c r="L4848" s="38"/>
      <c r="Z4848" s="38"/>
    </row>
    <row r="4849" spans="12:26" x14ac:dyDescent="0.25">
      <c r="L4849" s="38"/>
      <c r="Z4849" s="38"/>
    </row>
    <row r="4850" spans="12:26" x14ac:dyDescent="0.25">
      <c r="L4850" s="38"/>
      <c r="Z4850" s="38"/>
    </row>
    <row r="4851" spans="12:26" x14ac:dyDescent="0.25">
      <c r="L4851" s="38"/>
      <c r="Z4851" s="38"/>
    </row>
    <row r="4852" spans="12:26" x14ac:dyDescent="0.25">
      <c r="L4852" s="38"/>
      <c r="Z4852" s="38"/>
    </row>
    <row r="4853" spans="12:26" x14ac:dyDescent="0.25">
      <c r="L4853" s="38"/>
      <c r="Z4853" s="38"/>
    </row>
    <row r="4854" spans="12:26" x14ac:dyDescent="0.25">
      <c r="L4854" s="38"/>
      <c r="Z4854" s="38"/>
    </row>
    <row r="4855" spans="12:26" x14ac:dyDescent="0.25">
      <c r="L4855" s="38"/>
      <c r="Z4855" s="38"/>
    </row>
    <row r="4856" spans="12:26" x14ac:dyDescent="0.25">
      <c r="L4856" s="38"/>
      <c r="Z4856" s="38"/>
    </row>
    <row r="4857" spans="12:26" x14ac:dyDescent="0.25">
      <c r="L4857" s="38"/>
      <c r="Z4857" s="38"/>
    </row>
    <row r="4858" spans="12:26" x14ac:dyDescent="0.25">
      <c r="L4858" s="38"/>
      <c r="Z4858" s="38"/>
    </row>
    <row r="4859" spans="12:26" x14ac:dyDescent="0.25">
      <c r="L4859" s="38"/>
      <c r="Z4859" s="38"/>
    </row>
    <row r="4860" spans="12:26" x14ac:dyDescent="0.25">
      <c r="L4860" s="38"/>
      <c r="Z4860" s="38"/>
    </row>
    <row r="4861" spans="12:26" x14ac:dyDescent="0.25">
      <c r="L4861" s="38"/>
      <c r="Z4861" s="38"/>
    </row>
    <row r="4862" spans="12:26" x14ac:dyDescent="0.25">
      <c r="L4862" s="38"/>
      <c r="Z4862" s="38"/>
    </row>
    <row r="4863" spans="12:26" x14ac:dyDescent="0.25">
      <c r="L4863" s="38"/>
      <c r="Z4863" s="38"/>
    </row>
    <row r="4864" spans="12:26" x14ac:dyDescent="0.25">
      <c r="L4864" s="38"/>
      <c r="Z4864" s="38"/>
    </row>
    <row r="4865" spans="12:26" x14ac:dyDescent="0.25">
      <c r="L4865" s="38"/>
      <c r="Z4865" s="38"/>
    </row>
    <row r="4866" spans="12:26" x14ac:dyDescent="0.25">
      <c r="L4866" s="38"/>
      <c r="Z4866" s="38"/>
    </row>
    <row r="4867" spans="12:26" x14ac:dyDescent="0.25">
      <c r="L4867" s="38"/>
      <c r="Z4867" s="38"/>
    </row>
    <row r="4868" spans="12:26" x14ac:dyDescent="0.25">
      <c r="L4868" s="38"/>
      <c r="Z4868" s="38"/>
    </row>
    <row r="4869" spans="12:26" x14ac:dyDescent="0.25">
      <c r="L4869" s="38"/>
      <c r="Z4869" s="38"/>
    </row>
    <row r="4870" spans="12:26" x14ac:dyDescent="0.25">
      <c r="L4870" s="38"/>
      <c r="Z4870" s="38"/>
    </row>
    <row r="4871" spans="12:26" x14ac:dyDescent="0.25">
      <c r="L4871" s="38"/>
      <c r="Z4871" s="38"/>
    </row>
    <row r="4872" spans="12:26" x14ac:dyDescent="0.25">
      <c r="L4872" s="38"/>
      <c r="Z4872" s="38"/>
    </row>
    <row r="4873" spans="12:26" x14ac:dyDescent="0.25">
      <c r="L4873" s="38"/>
      <c r="Z4873" s="38"/>
    </row>
    <row r="4874" spans="12:26" x14ac:dyDescent="0.25">
      <c r="L4874" s="38"/>
      <c r="Z4874" s="38"/>
    </row>
    <row r="4875" spans="12:26" x14ac:dyDescent="0.25">
      <c r="L4875" s="38"/>
      <c r="Z4875" s="38"/>
    </row>
    <row r="4876" spans="12:26" x14ac:dyDescent="0.25">
      <c r="L4876" s="38"/>
      <c r="Z4876" s="38"/>
    </row>
    <row r="4877" spans="12:26" x14ac:dyDescent="0.25">
      <c r="L4877" s="38"/>
      <c r="Z4877" s="38"/>
    </row>
    <row r="4878" spans="12:26" x14ac:dyDescent="0.25">
      <c r="L4878" s="38"/>
      <c r="Z4878" s="38"/>
    </row>
    <row r="4879" spans="12:26" x14ac:dyDescent="0.25">
      <c r="L4879" s="38"/>
      <c r="Z4879" s="38"/>
    </row>
    <row r="4880" spans="12:26" x14ac:dyDescent="0.25">
      <c r="L4880" s="38"/>
      <c r="Z4880" s="38"/>
    </row>
    <row r="4881" spans="12:26" x14ac:dyDescent="0.25">
      <c r="L4881" s="38"/>
      <c r="Z4881" s="38"/>
    </row>
    <row r="4882" spans="12:26" x14ac:dyDescent="0.25">
      <c r="L4882" s="38"/>
      <c r="Z4882" s="38"/>
    </row>
    <row r="4883" spans="12:26" x14ac:dyDescent="0.25">
      <c r="L4883" s="38"/>
      <c r="Z4883" s="38"/>
    </row>
    <row r="4884" spans="12:26" x14ac:dyDescent="0.25">
      <c r="L4884" s="38"/>
      <c r="Z4884" s="38"/>
    </row>
    <row r="4885" spans="12:26" x14ac:dyDescent="0.25">
      <c r="L4885" s="38"/>
      <c r="Z4885" s="38"/>
    </row>
    <row r="4886" spans="12:26" x14ac:dyDescent="0.25">
      <c r="L4886" s="38"/>
      <c r="Z4886" s="38"/>
    </row>
    <row r="4887" spans="12:26" x14ac:dyDescent="0.25">
      <c r="L4887" s="38"/>
      <c r="Z4887" s="38"/>
    </row>
    <row r="4888" spans="12:26" x14ac:dyDescent="0.25">
      <c r="L4888" s="38"/>
      <c r="Z4888" s="38"/>
    </row>
    <row r="4889" spans="12:26" x14ac:dyDescent="0.25">
      <c r="L4889" s="38"/>
      <c r="Z4889" s="38"/>
    </row>
    <row r="4890" spans="12:26" x14ac:dyDescent="0.25">
      <c r="L4890" s="38"/>
      <c r="Z4890" s="38"/>
    </row>
    <row r="4891" spans="12:26" x14ac:dyDescent="0.25">
      <c r="L4891" s="38"/>
      <c r="Z4891" s="38"/>
    </row>
    <row r="4892" spans="12:26" x14ac:dyDescent="0.25">
      <c r="L4892" s="38"/>
      <c r="Z4892" s="38"/>
    </row>
    <row r="4893" spans="12:26" x14ac:dyDescent="0.25">
      <c r="L4893" s="38"/>
      <c r="Z4893" s="38"/>
    </row>
    <row r="4894" spans="12:26" x14ac:dyDescent="0.25">
      <c r="L4894" s="38"/>
      <c r="Z4894" s="38"/>
    </row>
    <row r="4895" spans="12:26" x14ac:dyDescent="0.25">
      <c r="L4895" s="38"/>
      <c r="Z4895" s="38"/>
    </row>
    <row r="4896" spans="12:26" x14ac:dyDescent="0.25">
      <c r="L4896" s="38"/>
      <c r="Z4896" s="38"/>
    </row>
    <row r="4897" spans="12:26" x14ac:dyDescent="0.25">
      <c r="L4897" s="38"/>
      <c r="Z4897" s="38"/>
    </row>
    <row r="4898" spans="12:26" x14ac:dyDescent="0.25">
      <c r="L4898" s="38"/>
      <c r="Z4898" s="38"/>
    </row>
    <row r="4899" spans="12:26" x14ac:dyDescent="0.25">
      <c r="L4899" s="38"/>
      <c r="Z4899" s="38"/>
    </row>
    <row r="4900" spans="12:26" x14ac:dyDescent="0.25">
      <c r="L4900" s="38"/>
      <c r="Z4900" s="38"/>
    </row>
    <row r="4901" spans="12:26" x14ac:dyDescent="0.25">
      <c r="L4901" s="38"/>
      <c r="Z4901" s="38"/>
    </row>
    <row r="4902" spans="12:26" x14ac:dyDescent="0.25">
      <c r="L4902" s="38"/>
      <c r="Z4902" s="38"/>
    </row>
    <row r="4903" spans="12:26" x14ac:dyDescent="0.25">
      <c r="L4903" s="38"/>
      <c r="Z4903" s="38"/>
    </row>
    <row r="4904" spans="12:26" x14ac:dyDescent="0.25">
      <c r="L4904" s="38"/>
      <c r="Z4904" s="38"/>
    </row>
    <row r="4905" spans="12:26" x14ac:dyDescent="0.25">
      <c r="L4905" s="38"/>
      <c r="Z4905" s="38"/>
    </row>
    <row r="4906" spans="12:26" x14ac:dyDescent="0.25">
      <c r="L4906" s="38"/>
      <c r="Z4906" s="38"/>
    </row>
    <row r="4907" spans="12:26" x14ac:dyDescent="0.25">
      <c r="L4907" s="38"/>
      <c r="Z4907" s="38"/>
    </row>
    <row r="4908" spans="12:26" x14ac:dyDescent="0.25">
      <c r="L4908" s="38"/>
      <c r="Z4908" s="38"/>
    </row>
    <row r="4909" spans="12:26" x14ac:dyDescent="0.25">
      <c r="L4909" s="38"/>
      <c r="Z4909" s="38"/>
    </row>
    <row r="4910" spans="12:26" x14ac:dyDescent="0.25">
      <c r="L4910" s="38"/>
      <c r="Z4910" s="38"/>
    </row>
    <row r="4911" spans="12:26" x14ac:dyDescent="0.25">
      <c r="L4911" s="38"/>
      <c r="Z4911" s="38"/>
    </row>
    <row r="4912" spans="12:26" x14ac:dyDescent="0.25">
      <c r="L4912" s="38"/>
      <c r="Z4912" s="38"/>
    </row>
    <row r="4913" spans="12:26" x14ac:dyDescent="0.25">
      <c r="L4913" s="38"/>
      <c r="Z4913" s="38"/>
    </row>
    <row r="4914" spans="12:26" x14ac:dyDescent="0.25">
      <c r="L4914" s="38"/>
      <c r="Z4914" s="38"/>
    </row>
    <row r="4915" spans="12:26" x14ac:dyDescent="0.25">
      <c r="L4915" s="38"/>
      <c r="Z4915" s="38"/>
    </row>
    <row r="4916" spans="12:26" x14ac:dyDescent="0.25">
      <c r="L4916" s="38"/>
      <c r="Z4916" s="38"/>
    </row>
    <row r="4917" spans="12:26" x14ac:dyDescent="0.25">
      <c r="L4917" s="38"/>
      <c r="Z4917" s="38"/>
    </row>
    <row r="4918" spans="12:26" x14ac:dyDescent="0.25">
      <c r="L4918" s="38"/>
      <c r="Z4918" s="38"/>
    </row>
    <row r="4919" spans="12:26" x14ac:dyDescent="0.25">
      <c r="L4919" s="38"/>
      <c r="Z4919" s="38"/>
    </row>
    <row r="4920" spans="12:26" x14ac:dyDescent="0.25">
      <c r="L4920" s="38"/>
      <c r="Z4920" s="38"/>
    </row>
    <row r="4921" spans="12:26" x14ac:dyDescent="0.25">
      <c r="L4921" s="38"/>
      <c r="Z4921" s="38"/>
    </row>
    <row r="4922" spans="12:26" x14ac:dyDescent="0.25">
      <c r="L4922" s="38"/>
      <c r="Z4922" s="38"/>
    </row>
    <row r="4923" spans="12:26" x14ac:dyDescent="0.25">
      <c r="L4923" s="38"/>
      <c r="Z4923" s="38"/>
    </row>
    <row r="4924" spans="12:26" x14ac:dyDescent="0.25">
      <c r="L4924" s="38"/>
      <c r="Z4924" s="38"/>
    </row>
    <row r="4925" spans="12:26" x14ac:dyDescent="0.25">
      <c r="L4925" s="38"/>
      <c r="Z4925" s="38"/>
    </row>
    <row r="4926" spans="12:26" x14ac:dyDescent="0.25">
      <c r="L4926" s="38"/>
      <c r="Z4926" s="38"/>
    </row>
    <row r="4927" spans="12:26" x14ac:dyDescent="0.25">
      <c r="L4927" s="38"/>
      <c r="Z4927" s="38"/>
    </row>
    <row r="4928" spans="12:26" x14ac:dyDescent="0.25">
      <c r="L4928" s="38"/>
      <c r="Z4928" s="38"/>
    </row>
    <row r="4929" spans="12:26" x14ac:dyDescent="0.25">
      <c r="L4929" s="38"/>
      <c r="Z4929" s="38"/>
    </row>
    <row r="4930" spans="12:26" x14ac:dyDescent="0.25">
      <c r="L4930" s="38"/>
      <c r="Z4930" s="38"/>
    </row>
    <row r="4931" spans="12:26" x14ac:dyDescent="0.25">
      <c r="L4931" s="38"/>
      <c r="Z4931" s="38"/>
    </row>
    <row r="4932" spans="12:26" x14ac:dyDescent="0.25">
      <c r="L4932" s="38"/>
      <c r="Z4932" s="38"/>
    </row>
    <row r="4933" spans="12:26" x14ac:dyDescent="0.25">
      <c r="L4933" s="38"/>
      <c r="Z4933" s="38"/>
    </row>
    <row r="4934" spans="12:26" x14ac:dyDescent="0.25">
      <c r="L4934" s="38"/>
      <c r="Z4934" s="38"/>
    </row>
    <row r="4935" spans="12:26" x14ac:dyDescent="0.25">
      <c r="L4935" s="38"/>
      <c r="Z4935" s="38"/>
    </row>
    <row r="4936" spans="12:26" x14ac:dyDescent="0.25">
      <c r="L4936" s="38"/>
      <c r="Z4936" s="38"/>
    </row>
    <row r="4937" spans="12:26" x14ac:dyDescent="0.25">
      <c r="L4937" s="38"/>
      <c r="Z4937" s="38"/>
    </row>
    <row r="4938" spans="12:26" x14ac:dyDescent="0.25">
      <c r="L4938" s="38"/>
      <c r="Z4938" s="38"/>
    </row>
    <row r="4939" spans="12:26" x14ac:dyDescent="0.25">
      <c r="L4939" s="38"/>
      <c r="Z4939" s="38"/>
    </row>
    <row r="4940" spans="12:26" x14ac:dyDescent="0.25">
      <c r="L4940" s="38"/>
      <c r="Z4940" s="38"/>
    </row>
    <row r="4941" spans="12:26" x14ac:dyDescent="0.25">
      <c r="L4941" s="38"/>
      <c r="Z4941" s="38"/>
    </row>
    <row r="4942" spans="12:26" x14ac:dyDescent="0.25">
      <c r="L4942" s="38"/>
      <c r="Z4942" s="38"/>
    </row>
    <row r="4943" spans="12:26" x14ac:dyDescent="0.25">
      <c r="L4943" s="38"/>
      <c r="Z4943" s="38"/>
    </row>
    <row r="4944" spans="12:26" x14ac:dyDescent="0.25">
      <c r="L4944" s="38"/>
      <c r="Z4944" s="38"/>
    </row>
    <row r="4945" spans="12:26" x14ac:dyDescent="0.25">
      <c r="L4945" s="38"/>
      <c r="Z4945" s="38"/>
    </row>
    <row r="4946" spans="12:26" x14ac:dyDescent="0.25">
      <c r="L4946" s="38"/>
      <c r="Z4946" s="38"/>
    </row>
    <row r="4947" spans="12:26" x14ac:dyDescent="0.25">
      <c r="L4947" s="38"/>
      <c r="Z4947" s="38"/>
    </row>
    <row r="4948" spans="12:26" x14ac:dyDescent="0.25">
      <c r="L4948" s="38"/>
      <c r="Z4948" s="38"/>
    </row>
    <row r="4949" spans="12:26" x14ac:dyDescent="0.25">
      <c r="L4949" s="38"/>
      <c r="Z4949" s="38"/>
    </row>
    <row r="4950" spans="12:26" x14ac:dyDescent="0.25">
      <c r="L4950" s="38"/>
      <c r="Z4950" s="38"/>
    </row>
    <row r="4951" spans="12:26" x14ac:dyDescent="0.25">
      <c r="L4951" s="38"/>
      <c r="Z4951" s="38"/>
    </row>
    <row r="4952" spans="12:26" x14ac:dyDescent="0.25">
      <c r="L4952" s="38"/>
      <c r="Z4952" s="38"/>
    </row>
    <row r="4953" spans="12:26" x14ac:dyDescent="0.25">
      <c r="L4953" s="38"/>
      <c r="Z4953" s="38"/>
    </row>
    <row r="4954" spans="12:26" x14ac:dyDescent="0.25">
      <c r="L4954" s="38"/>
      <c r="Z4954" s="38"/>
    </row>
    <row r="4955" spans="12:26" x14ac:dyDescent="0.25">
      <c r="L4955" s="38"/>
      <c r="Z4955" s="38"/>
    </row>
    <row r="4956" spans="12:26" x14ac:dyDescent="0.25">
      <c r="L4956" s="38"/>
      <c r="Z4956" s="38"/>
    </row>
    <row r="4957" spans="12:26" x14ac:dyDescent="0.25">
      <c r="L4957" s="38"/>
      <c r="Z4957" s="38"/>
    </row>
    <row r="4958" spans="12:26" x14ac:dyDescent="0.25">
      <c r="L4958" s="38"/>
      <c r="Z4958" s="38"/>
    </row>
    <row r="4959" spans="12:26" x14ac:dyDescent="0.25">
      <c r="L4959" s="38"/>
      <c r="Z4959" s="38"/>
    </row>
    <row r="4960" spans="12:26" x14ac:dyDescent="0.25">
      <c r="L4960" s="38"/>
      <c r="Z4960" s="38"/>
    </row>
    <row r="4961" spans="12:26" x14ac:dyDescent="0.25">
      <c r="L4961" s="38"/>
      <c r="Z4961" s="38"/>
    </row>
    <row r="4962" spans="12:26" x14ac:dyDescent="0.25">
      <c r="L4962" s="38"/>
      <c r="Z4962" s="38"/>
    </row>
    <row r="4963" spans="12:26" x14ac:dyDescent="0.25">
      <c r="L4963" s="38"/>
      <c r="Z4963" s="38"/>
    </row>
    <row r="4964" spans="12:26" x14ac:dyDescent="0.25">
      <c r="L4964" s="38"/>
      <c r="Z4964" s="38"/>
    </row>
    <row r="4965" spans="12:26" x14ac:dyDescent="0.25">
      <c r="L4965" s="38"/>
      <c r="Z4965" s="38"/>
    </row>
    <row r="4966" spans="12:26" x14ac:dyDescent="0.25">
      <c r="L4966" s="38"/>
      <c r="Z4966" s="38"/>
    </row>
    <row r="4967" spans="12:26" x14ac:dyDescent="0.25">
      <c r="L4967" s="38"/>
      <c r="Z4967" s="38"/>
    </row>
    <row r="4968" spans="12:26" x14ac:dyDescent="0.25">
      <c r="L4968" s="38"/>
      <c r="Z4968" s="38"/>
    </row>
    <row r="4969" spans="12:26" x14ac:dyDescent="0.25">
      <c r="L4969" s="38"/>
      <c r="Z4969" s="38"/>
    </row>
    <row r="4970" spans="12:26" x14ac:dyDescent="0.25">
      <c r="L4970" s="38"/>
      <c r="Z4970" s="38"/>
    </row>
    <row r="4971" spans="12:26" x14ac:dyDescent="0.25">
      <c r="L4971" s="38"/>
      <c r="Z4971" s="38"/>
    </row>
    <row r="4972" spans="12:26" x14ac:dyDescent="0.25">
      <c r="L4972" s="38"/>
      <c r="Z4972" s="38"/>
    </row>
    <row r="4973" spans="12:26" x14ac:dyDescent="0.25">
      <c r="L4973" s="38"/>
      <c r="Z4973" s="38"/>
    </row>
    <row r="4974" spans="12:26" x14ac:dyDescent="0.25">
      <c r="L4974" s="38"/>
      <c r="Z4974" s="38"/>
    </row>
    <row r="4975" spans="12:26" x14ac:dyDescent="0.25">
      <c r="L4975" s="38"/>
      <c r="Z4975" s="38"/>
    </row>
    <row r="4976" spans="12:26" x14ac:dyDescent="0.25">
      <c r="L4976" s="38"/>
      <c r="Z4976" s="38"/>
    </row>
    <row r="4977" spans="12:26" x14ac:dyDescent="0.25">
      <c r="L4977" s="38"/>
      <c r="Z4977" s="38"/>
    </row>
    <row r="4978" spans="12:26" x14ac:dyDescent="0.25">
      <c r="L4978" s="38"/>
      <c r="Z4978" s="38"/>
    </row>
    <row r="4979" spans="12:26" x14ac:dyDescent="0.25">
      <c r="L4979" s="38"/>
      <c r="Z4979" s="38"/>
    </row>
    <row r="4980" spans="12:26" x14ac:dyDescent="0.25">
      <c r="L4980" s="38"/>
      <c r="Z4980" s="38"/>
    </row>
    <row r="4981" spans="12:26" x14ac:dyDescent="0.25">
      <c r="L4981" s="38"/>
      <c r="Z4981" s="38"/>
    </row>
    <row r="4982" spans="12:26" x14ac:dyDescent="0.25">
      <c r="L4982" s="38"/>
      <c r="Z4982" s="38"/>
    </row>
    <row r="4983" spans="12:26" x14ac:dyDescent="0.25">
      <c r="L4983" s="38"/>
      <c r="Z4983" s="38"/>
    </row>
    <row r="4984" spans="12:26" x14ac:dyDescent="0.25">
      <c r="L4984" s="38"/>
      <c r="Z4984" s="38"/>
    </row>
    <row r="4985" spans="12:26" x14ac:dyDescent="0.25">
      <c r="L4985" s="38"/>
      <c r="Z4985" s="38"/>
    </row>
    <row r="4986" spans="12:26" x14ac:dyDescent="0.25">
      <c r="L4986" s="38"/>
      <c r="Z4986" s="38"/>
    </row>
    <row r="4987" spans="12:26" x14ac:dyDescent="0.25">
      <c r="L4987" s="38"/>
      <c r="Z4987" s="38"/>
    </row>
    <row r="4988" spans="12:26" x14ac:dyDescent="0.25">
      <c r="L4988" s="38"/>
      <c r="Z4988" s="38"/>
    </row>
    <row r="4989" spans="12:26" x14ac:dyDescent="0.25">
      <c r="L4989" s="38"/>
      <c r="Z4989" s="38"/>
    </row>
    <row r="4990" spans="12:26" x14ac:dyDescent="0.25">
      <c r="L4990" s="38"/>
      <c r="Z4990" s="38"/>
    </row>
    <row r="4991" spans="12:26" x14ac:dyDescent="0.25">
      <c r="L4991" s="38"/>
      <c r="Z4991" s="38"/>
    </row>
    <row r="4992" spans="12:26" x14ac:dyDescent="0.25">
      <c r="L4992" s="38"/>
      <c r="Z4992" s="38"/>
    </row>
    <row r="4993" spans="12:26" x14ac:dyDescent="0.25">
      <c r="L4993" s="38"/>
      <c r="Z4993" s="38"/>
    </row>
    <row r="4994" spans="12:26" x14ac:dyDescent="0.25">
      <c r="L4994" s="38"/>
      <c r="Z4994" s="38"/>
    </row>
    <row r="4995" spans="12:26" x14ac:dyDescent="0.25">
      <c r="L4995" s="38"/>
      <c r="Z4995" s="38"/>
    </row>
    <row r="4996" spans="12:26" x14ac:dyDescent="0.25">
      <c r="L4996" s="38"/>
      <c r="Z4996" s="38"/>
    </row>
    <row r="4997" spans="12:26" x14ac:dyDescent="0.25">
      <c r="L4997" s="38"/>
      <c r="Z4997" s="38"/>
    </row>
    <row r="4998" spans="12:26" x14ac:dyDescent="0.25">
      <c r="L4998" s="38"/>
      <c r="Z4998" s="38"/>
    </row>
    <row r="4999" spans="12:26" x14ac:dyDescent="0.25">
      <c r="L4999" s="38"/>
      <c r="Z4999" s="38"/>
    </row>
    <row r="5000" spans="12:26" x14ac:dyDescent="0.25">
      <c r="L5000" s="38"/>
      <c r="Z5000" s="38"/>
    </row>
    <row r="5001" spans="12:26" x14ac:dyDescent="0.25">
      <c r="L5001" s="38"/>
      <c r="Z5001" s="38"/>
    </row>
    <row r="5002" spans="12:26" x14ac:dyDescent="0.25">
      <c r="L5002" s="38"/>
      <c r="Z5002" s="38"/>
    </row>
    <row r="5003" spans="12:26" x14ac:dyDescent="0.25">
      <c r="L5003" s="38"/>
      <c r="Z5003" s="38"/>
    </row>
    <row r="5004" spans="12:26" x14ac:dyDescent="0.25">
      <c r="L5004" s="38"/>
      <c r="Z5004" s="38"/>
    </row>
    <row r="5005" spans="12:26" x14ac:dyDescent="0.25">
      <c r="L5005" s="38"/>
      <c r="Z5005" s="38"/>
    </row>
    <row r="5006" spans="12:26" x14ac:dyDescent="0.25">
      <c r="L5006" s="38"/>
      <c r="Z5006" s="38"/>
    </row>
    <row r="5007" spans="12:26" x14ac:dyDescent="0.25">
      <c r="L5007" s="38"/>
      <c r="Z5007" s="38"/>
    </row>
    <row r="5008" spans="12:26" x14ac:dyDescent="0.25">
      <c r="L5008" s="38"/>
      <c r="Z5008" s="38"/>
    </row>
    <row r="5009" spans="12:26" x14ac:dyDescent="0.25">
      <c r="L5009" s="38"/>
      <c r="Z5009" s="38"/>
    </row>
    <row r="5010" spans="12:26" x14ac:dyDescent="0.25">
      <c r="L5010" s="38"/>
      <c r="Z5010" s="38"/>
    </row>
    <row r="5011" spans="12:26" x14ac:dyDescent="0.25">
      <c r="L5011" s="38"/>
      <c r="Z5011" s="38"/>
    </row>
    <row r="5012" spans="12:26" x14ac:dyDescent="0.25">
      <c r="L5012" s="38"/>
      <c r="Z5012" s="38"/>
    </row>
    <row r="5013" spans="12:26" x14ac:dyDescent="0.25">
      <c r="L5013" s="38"/>
      <c r="Z5013" s="38"/>
    </row>
    <row r="5014" spans="12:26" x14ac:dyDescent="0.25">
      <c r="L5014" s="38"/>
      <c r="Z5014" s="38"/>
    </row>
    <row r="5015" spans="12:26" x14ac:dyDescent="0.25">
      <c r="L5015" s="38"/>
      <c r="Z5015" s="38"/>
    </row>
    <row r="5016" spans="12:26" x14ac:dyDescent="0.25">
      <c r="L5016" s="38"/>
      <c r="Z5016" s="38"/>
    </row>
    <row r="5017" spans="12:26" x14ac:dyDescent="0.25">
      <c r="L5017" s="38"/>
      <c r="Z5017" s="38"/>
    </row>
    <row r="5018" spans="12:26" x14ac:dyDescent="0.25">
      <c r="L5018" s="38"/>
      <c r="Z5018" s="38"/>
    </row>
    <row r="5019" spans="12:26" x14ac:dyDescent="0.25">
      <c r="L5019" s="38"/>
      <c r="Z5019" s="38"/>
    </row>
    <row r="5020" spans="12:26" x14ac:dyDescent="0.25">
      <c r="L5020" s="38"/>
      <c r="Z5020" s="38"/>
    </row>
    <row r="5021" spans="12:26" x14ac:dyDescent="0.25">
      <c r="L5021" s="38"/>
      <c r="Z5021" s="38"/>
    </row>
    <row r="5022" spans="12:26" x14ac:dyDescent="0.25">
      <c r="L5022" s="38"/>
      <c r="Z5022" s="38"/>
    </row>
    <row r="5023" spans="12:26" x14ac:dyDescent="0.25">
      <c r="L5023" s="38"/>
      <c r="Z5023" s="38"/>
    </row>
    <row r="5024" spans="12:26" x14ac:dyDescent="0.25">
      <c r="L5024" s="38"/>
      <c r="Z5024" s="38"/>
    </row>
    <row r="5025" spans="12:26" x14ac:dyDescent="0.25">
      <c r="L5025" s="38"/>
      <c r="Z5025" s="38"/>
    </row>
    <row r="5026" spans="12:26" x14ac:dyDescent="0.25">
      <c r="L5026" s="38"/>
      <c r="Z5026" s="38"/>
    </row>
    <row r="5027" spans="12:26" x14ac:dyDescent="0.25">
      <c r="L5027" s="38"/>
      <c r="Z5027" s="38"/>
    </row>
    <row r="5028" spans="12:26" x14ac:dyDescent="0.25">
      <c r="L5028" s="38"/>
      <c r="Z5028" s="38"/>
    </row>
    <row r="5029" spans="12:26" x14ac:dyDescent="0.25">
      <c r="L5029" s="38"/>
      <c r="Z5029" s="38"/>
    </row>
    <row r="5030" spans="12:26" x14ac:dyDescent="0.25">
      <c r="L5030" s="38"/>
      <c r="Z5030" s="38"/>
    </row>
    <row r="5031" spans="12:26" x14ac:dyDescent="0.25">
      <c r="L5031" s="38"/>
      <c r="Z5031" s="38"/>
    </row>
    <row r="5032" spans="12:26" x14ac:dyDescent="0.25">
      <c r="L5032" s="38"/>
      <c r="Z5032" s="38"/>
    </row>
    <row r="5033" spans="12:26" x14ac:dyDescent="0.25">
      <c r="L5033" s="38"/>
      <c r="Z5033" s="38"/>
    </row>
    <row r="5034" spans="12:26" x14ac:dyDescent="0.25">
      <c r="L5034" s="38"/>
      <c r="Z5034" s="38"/>
    </row>
    <row r="5035" spans="12:26" x14ac:dyDescent="0.25">
      <c r="L5035" s="38"/>
      <c r="Z5035" s="38"/>
    </row>
    <row r="5036" spans="12:26" x14ac:dyDescent="0.25">
      <c r="L5036" s="38"/>
      <c r="Z5036" s="38"/>
    </row>
    <row r="5037" spans="12:26" x14ac:dyDescent="0.25">
      <c r="L5037" s="38"/>
      <c r="Z5037" s="38"/>
    </row>
    <row r="5038" spans="12:26" x14ac:dyDescent="0.25">
      <c r="L5038" s="38"/>
      <c r="Z5038" s="38"/>
    </row>
    <row r="5039" spans="12:26" x14ac:dyDescent="0.25">
      <c r="L5039" s="38"/>
      <c r="Z5039" s="38"/>
    </row>
    <row r="5040" spans="12:26" x14ac:dyDescent="0.25">
      <c r="L5040" s="38"/>
      <c r="Z5040" s="38"/>
    </row>
    <row r="5041" spans="12:26" x14ac:dyDescent="0.25">
      <c r="L5041" s="38"/>
      <c r="Z5041" s="38"/>
    </row>
    <row r="5042" spans="12:26" x14ac:dyDescent="0.25">
      <c r="L5042" s="38"/>
      <c r="Z5042" s="38"/>
    </row>
    <row r="5043" spans="12:26" x14ac:dyDescent="0.25">
      <c r="L5043" s="38"/>
      <c r="Z5043" s="38"/>
    </row>
    <row r="5044" spans="12:26" x14ac:dyDescent="0.25">
      <c r="L5044" s="38"/>
      <c r="Z5044" s="38"/>
    </row>
    <row r="5045" spans="12:26" x14ac:dyDescent="0.25">
      <c r="L5045" s="38"/>
      <c r="Z5045" s="38"/>
    </row>
    <row r="5046" spans="12:26" x14ac:dyDescent="0.25">
      <c r="L5046" s="38"/>
      <c r="Z5046" s="38"/>
    </row>
    <row r="5047" spans="12:26" x14ac:dyDescent="0.25">
      <c r="L5047" s="38"/>
      <c r="Z5047" s="38"/>
    </row>
    <row r="5048" spans="12:26" x14ac:dyDescent="0.25">
      <c r="L5048" s="38"/>
      <c r="Z5048" s="38"/>
    </row>
    <row r="5049" spans="12:26" x14ac:dyDescent="0.25">
      <c r="L5049" s="38"/>
      <c r="Z5049" s="38"/>
    </row>
    <row r="5050" spans="12:26" x14ac:dyDescent="0.25">
      <c r="L5050" s="38"/>
      <c r="Z5050" s="38"/>
    </row>
    <row r="5051" spans="12:26" x14ac:dyDescent="0.25">
      <c r="L5051" s="38"/>
      <c r="Z5051" s="38"/>
    </row>
    <row r="5052" spans="12:26" x14ac:dyDescent="0.25">
      <c r="L5052" s="38"/>
      <c r="Z5052" s="38"/>
    </row>
    <row r="5053" spans="12:26" x14ac:dyDescent="0.25">
      <c r="L5053" s="38"/>
      <c r="Z5053" s="38"/>
    </row>
    <row r="5054" spans="12:26" x14ac:dyDescent="0.25">
      <c r="L5054" s="38"/>
      <c r="Z5054" s="38"/>
    </row>
    <row r="5055" spans="12:26" x14ac:dyDescent="0.25">
      <c r="L5055" s="38"/>
      <c r="Z5055" s="38"/>
    </row>
    <row r="5056" spans="12:26" x14ac:dyDescent="0.25">
      <c r="L5056" s="38"/>
      <c r="Z5056" s="38"/>
    </row>
    <row r="5057" spans="12:26" x14ac:dyDescent="0.25">
      <c r="L5057" s="38"/>
      <c r="Z5057" s="38"/>
    </row>
    <row r="5058" spans="12:26" x14ac:dyDescent="0.25">
      <c r="L5058" s="38"/>
      <c r="Z5058" s="38"/>
    </row>
    <row r="5059" spans="12:26" x14ac:dyDescent="0.25">
      <c r="L5059" s="38"/>
      <c r="Z5059" s="38"/>
    </row>
    <row r="5060" spans="12:26" x14ac:dyDescent="0.25">
      <c r="L5060" s="38"/>
      <c r="Z5060" s="38"/>
    </row>
    <row r="5061" spans="12:26" x14ac:dyDescent="0.25">
      <c r="L5061" s="38"/>
      <c r="Z5061" s="38"/>
    </row>
    <row r="5062" spans="12:26" x14ac:dyDescent="0.25">
      <c r="L5062" s="38"/>
      <c r="Z5062" s="38"/>
    </row>
    <row r="5063" spans="12:26" x14ac:dyDescent="0.25">
      <c r="L5063" s="38"/>
      <c r="Z5063" s="38"/>
    </row>
    <row r="5064" spans="12:26" x14ac:dyDescent="0.25">
      <c r="L5064" s="38"/>
      <c r="Z5064" s="38"/>
    </row>
    <row r="5065" spans="12:26" x14ac:dyDescent="0.25">
      <c r="L5065" s="38"/>
      <c r="Z5065" s="38"/>
    </row>
    <row r="5066" spans="12:26" x14ac:dyDescent="0.25">
      <c r="L5066" s="38"/>
      <c r="Z5066" s="38"/>
    </row>
    <row r="5067" spans="12:26" x14ac:dyDescent="0.25">
      <c r="L5067" s="38"/>
      <c r="Z5067" s="38"/>
    </row>
    <row r="5068" spans="12:26" x14ac:dyDescent="0.25">
      <c r="L5068" s="38"/>
      <c r="Z5068" s="38"/>
    </row>
    <row r="5069" spans="12:26" x14ac:dyDescent="0.25">
      <c r="L5069" s="38"/>
      <c r="Z5069" s="38"/>
    </row>
    <row r="5070" spans="12:26" x14ac:dyDescent="0.25">
      <c r="L5070" s="38"/>
      <c r="Z5070" s="38"/>
    </row>
    <row r="5071" spans="12:26" x14ac:dyDescent="0.25">
      <c r="L5071" s="38"/>
      <c r="Z5071" s="38"/>
    </row>
    <row r="5072" spans="12:26" x14ac:dyDescent="0.25">
      <c r="L5072" s="38"/>
      <c r="Z5072" s="38"/>
    </row>
    <row r="5073" spans="12:26" x14ac:dyDescent="0.25">
      <c r="L5073" s="38"/>
      <c r="Z5073" s="38"/>
    </row>
    <row r="5074" spans="12:26" x14ac:dyDescent="0.25">
      <c r="L5074" s="38"/>
      <c r="Z5074" s="38"/>
    </row>
    <row r="5075" spans="12:26" x14ac:dyDescent="0.25">
      <c r="L5075" s="38"/>
      <c r="Z5075" s="38"/>
    </row>
    <row r="5076" spans="12:26" x14ac:dyDescent="0.25">
      <c r="L5076" s="38"/>
      <c r="Z5076" s="38"/>
    </row>
    <row r="5077" spans="12:26" x14ac:dyDescent="0.25">
      <c r="L5077" s="38"/>
      <c r="Z5077" s="38"/>
    </row>
    <row r="5078" spans="12:26" x14ac:dyDescent="0.25">
      <c r="L5078" s="38"/>
      <c r="Z5078" s="38"/>
    </row>
    <row r="5079" spans="12:26" x14ac:dyDescent="0.25">
      <c r="L5079" s="38"/>
      <c r="Z5079" s="38"/>
    </row>
    <row r="5080" spans="12:26" x14ac:dyDescent="0.25">
      <c r="L5080" s="38"/>
      <c r="Z5080" s="38"/>
    </row>
    <row r="5081" spans="12:26" x14ac:dyDescent="0.25">
      <c r="L5081" s="38"/>
      <c r="Z5081" s="38"/>
    </row>
    <row r="5082" spans="12:26" x14ac:dyDescent="0.25">
      <c r="L5082" s="38"/>
      <c r="Z5082" s="38"/>
    </row>
    <row r="5083" spans="12:26" x14ac:dyDescent="0.25">
      <c r="L5083" s="38"/>
      <c r="Z5083" s="38"/>
    </row>
    <row r="5084" spans="12:26" x14ac:dyDescent="0.25">
      <c r="L5084" s="38"/>
      <c r="Z5084" s="38"/>
    </row>
    <row r="5085" spans="12:26" x14ac:dyDescent="0.25">
      <c r="L5085" s="38"/>
      <c r="Z5085" s="38"/>
    </row>
    <row r="5086" spans="12:26" x14ac:dyDescent="0.25">
      <c r="L5086" s="38"/>
      <c r="Z5086" s="38"/>
    </row>
    <row r="5087" spans="12:26" x14ac:dyDescent="0.25">
      <c r="L5087" s="38"/>
      <c r="Z5087" s="38"/>
    </row>
    <row r="5088" spans="12:26" x14ac:dyDescent="0.25">
      <c r="L5088" s="38"/>
      <c r="Z5088" s="38"/>
    </row>
    <row r="5089" spans="12:26" x14ac:dyDescent="0.25">
      <c r="L5089" s="38"/>
      <c r="Z5089" s="38"/>
    </row>
    <row r="5090" spans="12:26" x14ac:dyDescent="0.25">
      <c r="L5090" s="38"/>
      <c r="Z5090" s="38"/>
    </row>
    <row r="5091" spans="12:26" x14ac:dyDescent="0.25">
      <c r="L5091" s="38"/>
      <c r="Z5091" s="38"/>
    </row>
    <row r="5092" spans="12:26" x14ac:dyDescent="0.25">
      <c r="L5092" s="38"/>
      <c r="Z5092" s="38"/>
    </row>
    <row r="5093" spans="12:26" x14ac:dyDescent="0.25">
      <c r="L5093" s="38"/>
      <c r="Z5093" s="38"/>
    </row>
    <row r="5094" spans="12:26" x14ac:dyDescent="0.25">
      <c r="L5094" s="38"/>
      <c r="Z5094" s="38"/>
    </row>
    <row r="5095" spans="12:26" x14ac:dyDescent="0.25">
      <c r="L5095" s="38"/>
      <c r="Z5095" s="38"/>
    </row>
    <row r="5096" spans="12:26" x14ac:dyDescent="0.25">
      <c r="L5096" s="38"/>
      <c r="Z5096" s="38"/>
    </row>
    <row r="5097" spans="12:26" x14ac:dyDescent="0.25">
      <c r="L5097" s="38"/>
      <c r="Z5097" s="38"/>
    </row>
    <row r="5098" spans="12:26" x14ac:dyDescent="0.25">
      <c r="L5098" s="38"/>
      <c r="Z5098" s="38"/>
    </row>
    <row r="5099" spans="12:26" x14ac:dyDescent="0.25">
      <c r="L5099" s="38"/>
      <c r="Z5099" s="38"/>
    </row>
    <row r="5100" spans="12:26" x14ac:dyDescent="0.25">
      <c r="L5100" s="38"/>
      <c r="Z5100" s="38"/>
    </row>
    <row r="5101" spans="12:26" x14ac:dyDescent="0.25">
      <c r="L5101" s="38"/>
      <c r="Z5101" s="38"/>
    </row>
    <row r="5102" spans="12:26" x14ac:dyDescent="0.25">
      <c r="L5102" s="38"/>
      <c r="Z5102" s="38"/>
    </row>
    <row r="5103" spans="12:26" x14ac:dyDescent="0.25">
      <c r="L5103" s="38"/>
      <c r="Z5103" s="38"/>
    </row>
    <row r="5104" spans="12:26" x14ac:dyDescent="0.25">
      <c r="L5104" s="38"/>
      <c r="Z5104" s="38"/>
    </row>
    <row r="5105" spans="12:26" x14ac:dyDescent="0.25">
      <c r="L5105" s="38"/>
      <c r="Z5105" s="38"/>
    </row>
    <row r="5106" spans="12:26" x14ac:dyDescent="0.25">
      <c r="L5106" s="38"/>
      <c r="Z5106" s="38"/>
    </row>
    <row r="5107" spans="12:26" x14ac:dyDescent="0.25">
      <c r="L5107" s="38"/>
      <c r="Z5107" s="38"/>
    </row>
    <row r="5108" spans="12:26" x14ac:dyDescent="0.25">
      <c r="L5108" s="38"/>
      <c r="Z5108" s="38"/>
    </row>
    <row r="5109" spans="12:26" x14ac:dyDescent="0.25">
      <c r="L5109" s="38"/>
      <c r="Z5109" s="38"/>
    </row>
    <row r="5110" spans="12:26" x14ac:dyDescent="0.25">
      <c r="L5110" s="38"/>
      <c r="Z5110" s="38"/>
    </row>
    <row r="5111" spans="12:26" x14ac:dyDescent="0.25">
      <c r="L5111" s="38"/>
      <c r="Z5111" s="38"/>
    </row>
    <row r="5112" spans="12:26" x14ac:dyDescent="0.25">
      <c r="L5112" s="38"/>
      <c r="Z5112" s="38"/>
    </row>
    <row r="5113" spans="12:26" x14ac:dyDescent="0.25">
      <c r="L5113" s="38"/>
      <c r="Z5113" s="38"/>
    </row>
    <row r="5114" spans="12:26" x14ac:dyDescent="0.25">
      <c r="L5114" s="38"/>
      <c r="Z5114" s="38"/>
    </row>
    <row r="5115" spans="12:26" x14ac:dyDescent="0.25">
      <c r="L5115" s="38"/>
      <c r="Z5115" s="38"/>
    </row>
    <row r="5116" spans="12:26" x14ac:dyDescent="0.25">
      <c r="L5116" s="38"/>
      <c r="Z5116" s="38"/>
    </row>
    <row r="5117" spans="12:26" x14ac:dyDescent="0.25">
      <c r="L5117" s="38"/>
      <c r="Z5117" s="38"/>
    </row>
    <row r="5118" spans="12:26" x14ac:dyDescent="0.25">
      <c r="L5118" s="38"/>
      <c r="Z5118" s="38"/>
    </row>
    <row r="5119" spans="12:26" x14ac:dyDescent="0.25">
      <c r="L5119" s="38"/>
      <c r="Z5119" s="38"/>
    </row>
    <row r="5120" spans="12:26" x14ac:dyDescent="0.25">
      <c r="L5120" s="38"/>
      <c r="Z5120" s="38"/>
    </row>
    <row r="5121" spans="12:26" x14ac:dyDescent="0.25">
      <c r="L5121" s="38"/>
      <c r="Z5121" s="38"/>
    </row>
    <row r="5122" spans="12:26" x14ac:dyDescent="0.25">
      <c r="L5122" s="38"/>
      <c r="Z5122" s="38"/>
    </row>
    <row r="5123" spans="12:26" x14ac:dyDescent="0.25">
      <c r="L5123" s="38"/>
      <c r="Z5123" s="38"/>
    </row>
    <row r="5124" spans="12:26" x14ac:dyDescent="0.25">
      <c r="L5124" s="38"/>
      <c r="Z5124" s="38"/>
    </row>
    <row r="5125" spans="12:26" x14ac:dyDescent="0.25">
      <c r="L5125" s="38"/>
      <c r="Z5125" s="38"/>
    </row>
    <row r="5126" spans="12:26" x14ac:dyDescent="0.25">
      <c r="L5126" s="38"/>
      <c r="Z5126" s="38"/>
    </row>
    <row r="5127" spans="12:26" x14ac:dyDescent="0.25">
      <c r="L5127" s="38"/>
      <c r="Z5127" s="38"/>
    </row>
    <row r="5128" spans="12:26" x14ac:dyDescent="0.25">
      <c r="L5128" s="38"/>
      <c r="Z5128" s="38"/>
    </row>
    <row r="5129" spans="12:26" x14ac:dyDescent="0.25">
      <c r="L5129" s="38"/>
      <c r="Z5129" s="38"/>
    </row>
    <row r="5130" spans="12:26" x14ac:dyDescent="0.25">
      <c r="L5130" s="38"/>
      <c r="Z5130" s="38"/>
    </row>
    <row r="5131" spans="12:26" x14ac:dyDescent="0.25">
      <c r="L5131" s="38"/>
      <c r="Z5131" s="38"/>
    </row>
    <row r="5132" spans="12:26" x14ac:dyDescent="0.25">
      <c r="L5132" s="38"/>
      <c r="Z5132" s="38"/>
    </row>
    <row r="5133" spans="12:26" x14ac:dyDescent="0.25">
      <c r="L5133" s="38"/>
      <c r="Z5133" s="38"/>
    </row>
    <row r="5134" spans="12:26" x14ac:dyDescent="0.25">
      <c r="L5134" s="38"/>
      <c r="Z5134" s="38"/>
    </row>
    <row r="5135" spans="12:26" x14ac:dyDescent="0.25">
      <c r="L5135" s="38"/>
      <c r="Z5135" s="38"/>
    </row>
    <row r="5136" spans="12:26" x14ac:dyDescent="0.25">
      <c r="L5136" s="38"/>
      <c r="Z5136" s="38"/>
    </row>
    <row r="5137" spans="12:26" x14ac:dyDescent="0.25">
      <c r="L5137" s="38"/>
      <c r="Z5137" s="38"/>
    </row>
    <row r="5138" spans="12:26" x14ac:dyDescent="0.25">
      <c r="L5138" s="38"/>
      <c r="Z5138" s="38"/>
    </row>
    <row r="5139" spans="12:26" x14ac:dyDescent="0.25">
      <c r="L5139" s="38"/>
      <c r="Z5139" s="38"/>
    </row>
    <row r="5140" spans="12:26" x14ac:dyDescent="0.25">
      <c r="L5140" s="38"/>
      <c r="Z5140" s="38"/>
    </row>
    <row r="5141" spans="12:26" x14ac:dyDescent="0.25">
      <c r="L5141" s="38"/>
      <c r="Z5141" s="38"/>
    </row>
    <row r="5142" spans="12:26" x14ac:dyDescent="0.25">
      <c r="L5142" s="38"/>
      <c r="Z5142" s="38"/>
    </row>
    <row r="5143" spans="12:26" x14ac:dyDescent="0.25">
      <c r="L5143" s="38"/>
      <c r="Z5143" s="38"/>
    </row>
    <row r="5144" spans="12:26" x14ac:dyDescent="0.25">
      <c r="L5144" s="38"/>
      <c r="Z5144" s="38"/>
    </row>
    <row r="5145" spans="12:26" x14ac:dyDescent="0.25">
      <c r="L5145" s="38"/>
      <c r="Z5145" s="38"/>
    </row>
    <row r="5146" spans="12:26" x14ac:dyDescent="0.25">
      <c r="L5146" s="38"/>
      <c r="Z5146" s="38"/>
    </row>
    <row r="5147" spans="12:26" x14ac:dyDescent="0.25">
      <c r="L5147" s="38"/>
      <c r="Z5147" s="38"/>
    </row>
    <row r="5148" spans="12:26" x14ac:dyDescent="0.25">
      <c r="L5148" s="38"/>
      <c r="Z5148" s="38"/>
    </row>
    <row r="5149" spans="12:26" x14ac:dyDescent="0.25">
      <c r="L5149" s="38"/>
      <c r="Z5149" s="38"/>
    </row>
    <row r="5150" spans="12:26" x14ac:dyDescent="0.25">
      <c r="L5150" s="38"/>
      <c r="Z5150" s="38"/>
    </row>
    <row r="5151" spans="12:26" x14ac:dyDescent="0.25">
      <c r="L5151" s="38"/>
      <c r="Z5151" s="38"/>
    </row>
    <row r="5152" spans="12:26" x14ac:dyDescent="0.25">
      <c r="L5152" s="38"/>
      <c r="Z5152" s="38"/>
    </row>
    <row r="5153" spans="12:26" x14ac:dyDescent="0.25">
      <c r="L5153" s="38"/>
      <c r="Z5153" s="38"/>
    </row>
    <row r="5154" spans="12:26" x14ac:dyDescent="0.25">
      <c r="L5154" s="38"/>
      <c r="Z5154" s="38"/>
    </row>
    <row r="5155" spans="12:26" x14ac:dyDescent="0.25">
      <c r="L5155" s="38"/>
      <c r="Z5155" s="38"/>
    </row>
    <row r="5156" spans="12:26" x14ac:dyDescent="0.25">
      <c r="L5156" s="38"/>
      <c r="Z5156" s="38"/>
    </row>
    <row r="5157" spans="12:26" x14ac:dyDescent="0.25">
      <c r="L5157" s="38"/>
      <c r="Z5157" s="38"/>
    </row>
    <row r="5158" spans="12:26" x14ac:dyDescent="0.25">
      <c r="L5158" s="38"/>
      <c r="Z5158" s="38"/>
    </row>
    <row r="5159" spans="12:26" x14ac:dyDescent="0.25">
      <c r="L5159" s="38"/>
      <c r="Z5159" s="38"/>
    </row>
    <row r="5160" spans="12:26" x14ac:dyDescent="0.25">
      <c r="L5160" s="38"/>
      <c r="Z5160" s="38"/>
    </row>
    <row r="5161" spans="12:26" x14ac:dyDescent="0.25">
      <c r="L5161" s="38"/>
      <c r="Z5161" s="38"/>
    </row>
    <row r="5162" spans="12:26" x14ac:dyDescent="0.25">
      <c r="L5162" s="38"/>
      <c r="Z5162" s="38"/>
    </row>
    <row r="5163" spans="12:26" x14ac:dyDescent="0.25">
      <c r="L5163" s="38"/>
      <c r="Z5163" s="38"/>
    </row>
    <row r="5164" spans="12:26" x14ac:dyDescent="0.25">
      <c r="L5164" s="38"/>
      <c r="Z5164" s="38"/>
    </row>
    <row r="5165" spans="12:26" x14ac:dyDescent="0.25">
      <c r="L5165" s="38"/>
      <c r="Z5165" s="38"/>
    </row>
    <row r="5166" spans="12:26" x14ac:dyDescent="0.25">
      <c r="L5166" s="38"/>
      <c r="Z5166" s="38"/>
    </row>
    <row r="5167" spans="12:26" x14ac:dyDescent="0.25">
      <c r="L5167" s="38"/>
      <c r="Z5167" s="38"/>
    </row>
    <row r="5168" spans="12:26" x14ac:dyDescent="0.25">
      <c r="L5168" s="38"/>
      <c r="Z5168" s="38"/>
    </row>
    <row r="5169" spans="12:26" x14ac:dyDescent="0.25">
      <c r="L5169" s="38"/>
      <c r="Z5169" s="38"/>
    </row>
    <row r="5170" spans="12:26" x14ac:dyDescent="0.25">
      <c r="L5170" s="38"/>
      <c r="Z5170" s="38"/>
    </row>
    <row r="5171" spans="12:26" x14ac:dyDescent="0.25">
      <c r="L5171" s="38"/>
      <c r="Z5171" s="38"/>
    </row>
    <row r="5172" spans="12:26" x14ac:dyDescent="0.25">
      <c r="L5172" s="38"/>
      <c r="Z5172" s="38"/>
    </row>
    <row r="5173" spans="12:26" x14ac:dyDescent="0.25">
      <c r="L5173" s="38"/>
      <c r="Z5173" s="38"/>
    </row>
    <row r="5174" spans="12:26" x14ac:dyDescent="0.25">
      <c r="L5174" s="38"/>
      <c r="Z5174" s="38"/>
    </row>
    <row r="5175" spans="12:26" x14ac:dyDescent="0.25">
      <c r="L5175" s="38"/>
      <c r="Z5175" s="38"/>
    </row>
    <row r="5176" spans="12:26" x14ac:dyDescent="0.25">
      <c r="L5176" s="38"/>
      <c r="Z5176" s="38"/>
    </row>
    <row r="5177" spans="12:26" x14ac:dyDescent="0.25">
      <c r="L5177" s="38"/>
      <c r="Z5177" s="38"/>
    </row>
    <row r="5178" spans="12:26" x14ac:dyDescent="0.25">
      <c r="L5178" s="38"/>
      <c r="Z5178" s="38"/>
    </row>
    <row r="5179" spans="12:26" x14ac:dyDescent="0.25">
      <c r="L5179" s="38"/>
      <c r="Z5179" s="38"/>
    </row>
    <row r="5180" spans="12:26" x14ac:dyDescent="0.25">
      <c r="L5180" s="38"/>
      <c r="Z5180" s="38"/>
    </row>
    <row r="5181" spans="12:26" x14ac:dyDescent="0.25">
      <c r="L5181" s="38"/>
      <c r="Z5181" s="38"/>
    </row>
    <row r="5182" spans="12:26" x14ac:dyDescent="0.25">
      <c r="L5182" s="38"/>
      <c r="Z5182" s="38"/>
    </row>
    <row r="5183" spans="12:26" x14ac:dyDescent="0.25">
      <c r="L5183" s="38"/>
      <c r="Z5183" s="38"/>
    </row>
    <row r="5184" spans="12:26" x14ac:dyDescent="0.25">
      <c r="L5184" s="38"/>
      <c r="Z5184" s="38"/>
    </row>
    <row r="5185" spans="12:26" x14ac:dyDescent="0.25">
      <c r="L5185" s="38"/>
      <c r="Z5185" s="38"/>
    </row>
    <row r="5186" spans="12:26" x14ac:dyDescent="0.25">
      <c r="L5186" s="38"/>
      <c r="Z5186" s="38"/>
    </row>
    <row r="5187" spans="12:26" x14ac:dyDescent="0.25">
      <c r="L5187" s="38"/>
      <c r="Z5187" s="38"/>
    </row>
    <row r="5188" spans="12:26" x14ac:dyDescent="0.25">
      <c r="L5188" s="38"/>
      <c r="Z5188" s="38"/>
    </row>
    <row r="5189" spans="12:26" x14ac:dyDescent="0.25">
      <c r="L5189" s="38"/>
      <c r="Z5189" s="38"/>
    </row>
    <row r="5190" spans="12:26" x14ac:dyDescent="0.25">
      <c r="L5190" s="38"/>
      <c r="Z5190" s="38"/>
    </row>
    <row r="5191" spans="12:26" x14ac:dyDescent="0.25">
      <c r="L5191" s="38"/>
      <c r="Z5191" s="38"/>
    </row>
    <row r="5192" spans="12:26" x14ac:dyDescent="0.25">
      <c r="L5192" s="38"/>
      <c r="Z5192" s="38"/>
    </row>
    <row r="5193" spans="12:26" x14ac:dyDescent="0.25">
      <c r="L5193" s="38"/>
      <c r="Z5193" s="38"/>
    </row>
    <row r="5194" spans="12:26" x14ac:dyDescent="0.25">
      <c r="L5194" s="38"/>
      <c r="Z5194" s="38"/>
    </row>
    <row r="5195" spans="12:26" x14ac:dyDescent="0.25">
      <c r="L5195" s="38"/>
      <c r="Z5195" s="38"/>
    </row>
    <row r="5196" spans="12:26" x14ac:dyDescent="0.25">
      <c r="L5196" s="38"/>
      <c r="Z5196" s="38"/>
    </row>
    <row r="5197" spans="12:26" x14ac:dyDescent="0.25">
      <c r="L5197" s="38"/>
      <c r="Z5197" s="38"/>
    </row>
    <row r="5198" spans="12:26" x14ac:dyDescent="0.25">
      <c r="L5198" s="38"/>
      <c r="Z5198" s="38"/>
    </row>
    <row r="5199" spans="12:26" x14ac:dyDescent="0.25">
      <c r="L5199" s="38"/>
      <c r="Z5199" s="38"/>
    </row>
    <row r="5200" spans="12:26" x14ac:dyDescent="0.25">
      <c r="L5200" s="38"/>
      <c r="Z5200" s="38"/>
    </row>
    <row r="5201" spans="12:26" x14ac:dyDescent="0.25">
      <c r="L5201" s="38"/>
      <c r="Z5201" s="38"/>
    </row>
    <row r="5202" spans="12:26" x14ac:dyDescent="0.25">
      <c r="L5202" s="38"/>
      <c r="Z5202" s="38"/>
    </row>
    <row r="5203" spans="12:26" x14ac:dyDescent="0.25">
      <c r="L5203" s="38"/>
      <c r="Z5203" s="38"/>
    </row>
    <row r="5204" spans="12:26" x14ac:dyDescent="0.25">
      <c r="L5204" s="38"/>
      <c r="Z5204" s="38"/>
    </row>
    <row r="5205" spans="12:26" x14ac:dyDescent="0.25">
      <c r="L5205" s="38"/>
      <c r="Z5205" s="38"/>
    </row>
    <row r="5206" spans="12:26" x14ac:dyDescent="0.25">
      <c r="L5206" s="38"/>
      <c r="Z5206" s="38"/>
    </row>
    <row r="5207" spans="12:26" x14ac:dyDescent="0.25">
      <c r="L5207" s="38"/>
      <c r="Z5207" s="38"/>
    </row>
    <row r="5208" spans="12:26" x14ac:dyDescent="0.25">
      <c r="L5208" s="38"/>
      <c r="Z5208" s="38"/>
    </row>
    <row r="5209" spans="12:26" x14ac:dyDescent="0.25">
      <c r="L5209" s="38"/>
      <c r="Z5209" s="38"/>
    </row>
    <row r="5210" spans="12:26" x14ac:dyDescent="0.25">
      <c r="L5210" s="38"/>
      <c r="Z5210" s="38"/>
    </row>
    <row r="5211" spans="12:26" x14ac:dyDescent="0.25">
      <c r="L5211" s="38"/>
      <c r="Z5211" s="38"/>
    </row>
    <row r="5212" spans="12:26" x14ac:dyDescent="0.25">
      <c r="L5212" s="38"/>
      <c r="Z5212" s="38"/>
    </row>
    <row r="5213" spans="12:26" x14ac:dyDescent="0.25">
      <c r="L5213" s="38"/>
      <c r="Z5213" s="38"/>
    </row>
    <row r="5214" spans="12:26" x14ac:dyDescent="0.25">
      <c r="L5214" s="38"/>
      <c r="Z5214" s="38"/>
    </row>
    <row r="5215" spans="12:26" x14ac:dyDescent="0.25">
      <c r="L5215" s="38"/>
      <c r="Z5215" s="38"/>
    </row>
    <row r="5216" spans="12:26" x14ac:dyDescent="0.25">
      <c r="L5216" s="38"/>
      <c r="Z5216" s="38"/>
    </row>
    <row r="5217" spans="12:26" x14ac:dyDescent="0.25">
      <c r="L5217" s="38"/>
      <c r="Z5217" s="38"/>
    </row>
    <row r="5218" spans="12:26" x14ac:dyDescent="0.25">
      <c r="L5218" s="38"/>
      <c r="Z5218" s="38"/>
    </row>
    <row r="5219" spans="12:26" x14ac:dyDescent="0.25">
      <c r="L5219" s="38"/>
      <c r="Z5219" s="38"/>
    </row>
    <row r="5220" spans="12:26" x14ac:dyDescent="0.25">
      <c r="L5220" s="38"/>
      <c r="Z5220" s="38"/>
    </row>
    <row r="5221" spans="12:26" x14ac:dyDescent="0.25">
      <c r="L5221" s="38"/>
      <c r="Z5221" s="38"/>
    </row>
    <row r="5222" spans="12:26" x14ac:dyDescent="0.25">
      <c r="L5222" s="38"/>
      <c r="Z5222" s="38"/>
    </row>
    <row r="5223" spans="12:26" x14ac:dyDescent="0.25">
      <c r="L5223" s="38"/>
      <c r="Z5223" s="38"/>
    </row>
    <row r="5224" spans="12:26" x14ac:dyDescent="0.25">
      <c r="L5224" s="38"/>
      <c r="Z5224" s="38"/>
    </row>
    <row r="5225" spans="12:26" x14ac:dyDescent="0.25">
      <c r="L5225" s="38"/>
      <c r="Z5225" s="38"/>
    </row>
    <row r="5226" spans="12:26" x14ac:dyDescent="0.25">
      <c r="L5226" s="38"/>
      <c r="Z5226" s="38"/>
    </row>
    <row r="5227" spans="12:26" x14ac:dyDescent="0.25">
      <c r="L5227" s="38"/>
      <c r="Z5227" s="38"/>
    </row>
    <row r="5228" spans="12:26" x14ac:dyDescent="0.25">
      <c r="L5228" s="38"/>
      <c r="Z5228" s="38"/>
    </row>
    <row r="5229" spans="12:26" x14ac:dyDescent="0.25">
      <c r="L5229" s="38"/>
      <c r="Z5229" s="38"/>
    </row>
    <row r="5230" spans="12:26" x14ac:dyDescent="0.25">
      <c r="L5230" s="38"/>
      <c r="Z5230" s="38"/>
    </row>
    <row r="5231" spans="12:26" x14ac:dyDescent="0.25">
      <c r="L5231" s="38"/>
      <c r="Z5231" s="38"/>
    </row>
    <row r="5232" spans="12:26" x14ac:dyDescent="0.25">
      <c r="L5232" s="38"/>
      <c r="Z5232" s="38"/>
    </row>
    <row r="5233" spans="12:26" x14ac:dyDescent="0.25">
      <c r="L5233" s="38"/>
      <c r="Z5233" s="38"/>
    </row>
    <row r="5234" spans="12:26" x14ac:dyDescent="0.25">
      <c r="L5234" s="38"/>
      <c r="Z5234" s="38"/>
    </row>
    <row r="5235" spans="12:26" x14ac:dyDescent="0.25">
      <c r="L5235" s="38"/>
      <c r="Z5235" s="38"/>
    </row>
    <row r="5236" spans="12:26" x14ac:dyDescent="0.25">
      <c r="L5236" s="38"/>
      <c r="Z5236" s="38"/>
    </row>
    <row r="5237" spans="12:26" x14ac:dyDescent="0.25">
      <c r="L5237" s="38"/>
      <c r="Z5237" s="38"/>
    </row>
    <row r="5238" spans="12:26" x14ac:dyDescent="0.25">
      <c r="L5238" s="38"/>
      <c r="Z5238" s="38"/>
    </row>
    <row r="5239" spans="12:26" x14ac:dyDescent="0.25">
      <c r="L5239" s="38"/>
      <c r="Z5239" s="38"/>
    </row>
    <row r="5240" spans="12:26" x14ac:dyDescent="0.25">
      <c r="L5240" s="38"/>
      <c r="Z5240" s="38"/>
    </row>
    <row r="5241" spans="12:26" x14ac:dyDescent="0.25">
      <c r="L5241" s="38"/>
      <c r="Z5241" s="38"/>
    </row>
    <row r="5242" spans="12:26" x14ac:dyDescent="0.25">
      <c r="L5242" s="38"/>
      <c r="Z5242" s="38"/>
    </row>
    <row r="5243" spans="12:26" x14ac:dyDescent="0.25">
      <c r="L5243" s="38"/>
      <c r="Z5243" s="38"/>
    </row>
    <row r="5244" spans="12:26" x14ac:dyDescent="0.25">
      <c r="L5244" s="38"/>
      <c r="Z5244" s="38"/>
    </row>
    <row r="5245" spans="12:26" x14ac:dyDescent="0.25">
      <c r="L5245" s="38"/>
      <c r="Z5245" s="38"/>
    </row>
    <row r="5246" spans="12:26" x14ac:dyDescent="0.25">
      <c r="L5246" s="38"/>
      <c r="Z5246" s="38"/>
    </row>
    <row r="5247" spans="12:26" x14ac:dyDescent="0.25">
      <c r="L5247" s="38"/>
      <c r="Z5247" s="38"/>
    </row>
    <row r="5248" spans="12:26" x14ac:dyDescent="0.25">
      <c r="L5248" s="38"/>
      <c r="Z5248" s="38"/>
    </row>
    <row r="5249" spans="12:26" x14ac:dyDescent="0.25">
      <c r="L5249" s="38"/>
      <c r="Z5249" s="38"/>
    </row>
    <row r="5250" spans="12:26" x14ac:dyDescent="0.25">
      <c r="L5250" s="38"/>
      <c r="Z5250" s="38"/>
    </row>
    <row r="5251" spans="12:26" x14ac:dyDescent="0.25">
      <c r="L5251" s="38"/>
      <c r="Z5251" s="38"/>
    </row>
    <row r="5252" spans="12:26" x14ac:dyDescent="0.25">
      <c r="L5252" s="38"/>
      <c r="Z5252" s="38"/>
    </row>
    <row r="5253" spans="12:26" x14ac:dyDescent="0.25">
      <c r="L5253" s="38"/>
      <c r="Z5253" s="38"/>
    </row>
    <row r="5254" spans="12:26" x14ac:dyDescent="0.25">
      <c r="L5254" s="38"/>
      <c r="Z5254" s="38"/>
    </row>
    <row r="5255" spans="12:26" x14ac:dyDescent="0.25">
      <c r="L5255" s="38"/>
      <c r="Z5255" s="38"/>
    </row>
    <row r="5256" spans="12:26" x14ac:dyDescent="0.25">
      <c r="L5256" s="38"/>
      <c r="Z5256" s="38"/>
    </row>
    <row r="5257" spans="12:26" x14ac:dyDescent="0.25">
      <c r="L5257" s="38"/>
      <c r="Z5257" s="38"/>
    </row>
    <row r="5258" spans="12:26" x14ac:dyDescent="0.25">
      <c r="L5258" s="38"/>
      <c r="Z5258" s="38"/>
    </row>
    <row r="5259" spans="12:26" x14ac:dyDescent="0.25">
      <c r="L5259" s="38"/>
      <c r="Z5259" s="38"/>
    </row>
    <row r="5260" spans="12:26" x14ac:dyDescent="0.25">
      <c r="L5260" s="38"/>
      <c r="Z5260" s="38"/>
    </row>
    <row r="5261" spans="12:26" x14ac:dyDescent="0.25">
      <c r="L5261" s="38"/>
      <c r="Z5261" s="38"/>
    </row>
    <row r="5262" spans="12:26" x14ac:dyDescent="0.25">
      <c r="L5262" s="38"/>
      <c r="Z5262" s="38"/>
    </row>
    <row r="5263" spans="12:26" x14ac:dyDescent="0.25">
      <c r="L5263" s="38"/>
      <c r="Z5263" s="38"/>
    </row>
    <row r="5264" spans="12:26" x14ac:dyDescent="0.25">
      <c r="L5264" s="38"/>
      <c r="Z5264" s="38"/>
    </row>
    <row r="5265" spans="12:26" x14ac:dyDescent="0.25">
      <c r="L5265" s="38"/>
      <c r="Z5265" s="38"/>
    </row>
    <row r="5266" spans="12:26" x14ac:dyDescent="0.25">
      <c r="L5266" s="38"/>
      <c r="Z5266" s="38"/>
    </row>
    <row r="5267" spans="12:26" x14ac:dyDescent="0.25">
      <c r="L5267" s="38"/>
      <c r="Z5267" s="38"/>
    </row>
    <row r="5268" spans="12:26" x14ac:dyDescent="0.25">
      <c r="L5268" s="38"/>
      <c r="Z5268" s="38"/>
    </row>
    <row r="5269" spans="12:26" x14ac:dyDescent="0.25">
      <c r="L5269" s="38"/>
      <c r="Z5269" s="38"/>
    </row>
    <row r="5270" spans="12:26" x14ac:dyDescent="0.25">
      <c r="L5270" s="38"/>
      <c r="Z5270" s="38"/>
    </row>
    <row r="5271" spans="12:26" x14ac:dyDescent="0.25">
      <c r="L5271" s="38"/>
      <c r="Z5271" s="38"/>
    </row>
    <row r="5272" spans="12:26" x14ac:dyDescent="0.25">
      <c r="L5272" s="38"/>
      <c r="Z5272" s="38"/>
    </row>
    <row r="5273" spans="12:26" x14ac:dyDescent="0.25">
      <c r="L5273" s="38"/>
      <c r="Z5273" s="38"/>
    </row>
    <row r="5274" spans="12:26" x14ac:dyDescent="0.25">
      <c r="L5274" s="38"/>
      <c r="Z5274" s="38"/>
    </row>
    <row r="5275" spans="12:26" x14ac:dyDescent="0.25">
      <c r="L5275" s="38"/>
      <c r="Z5275" s="38"/>
    </row>
    <row r="5276" spans="12:26" x14ac:dyDescent="0.25">
      <c r="L5276" s="38"/>
      <c r="Z5276" s="38"/>
    </row>
    <row r="5277" spans="12:26" x14ac:dyDescent="0.25">
      <c r="L5277" s="38"/>
      <c r="Z5277" s="38"/>
    </row>
    <row r="5278" spans="12:26" x14ac:dyDescent="0.25">
      <c r="L5278" s="38"/>
      <c r="Z5278" s="38"/>
    </row>
    <row r="5279" spans="12:26" x14ac:dyDescent="0.25">
      <c r="L5279" s="38"/>
      <c r="Z5279" s="38"/>
    </row>
    <row r="5280" spans="12:26" x14ac:dyDescent="0.25">
      <c r="L5280" s="38"/>
      <c r="Z5280" s="38"/>
    </row>
    <row r="5281" spans="12:26" x14ac:dyDescent="0.25">
      <c r="L5281" s="38"/>
      <c r="Z5281" s="38"/>
    </row>
    <row r="5282" spans="12:26" x14ac:dyDescent="0.25">
      <c r="L5282" s="38"/>
      <c r="Z5282" s="38"/>
    </row>
    <row r="5283" spans="12:26" x14ac:dyDescent="0.25">
      <c r="L5283" s="38"/>
      <c r="Z5283" s="38"/>
    </row>
    <row r="5284" spans="12:26" x14ac:dyDescent="0.25">
      <c r="L5284" s="38"/>
      <c r="Z5284" s="38"/>
    </row>
    <row r="5285" spans="12:26" x14ac:dyDescent="0.25">
      <c r="L5285" s="38"/>
      <c r="Z5285" s="38"/>
    </row>
    <row r="5286" spans="12:26" x14ac:dyDescent="0.25">
      <c r="L5286" s="38"/>
      <c r="Z5286" s="38"/>
    </row>
    <row r="5287" spans="12:26" x14ac:dyDescent="0.25">
      <c r="L5287" s="38"/>
      <c r="Z5287" s="38"/>
    </row>
    <row r="5288" spans="12:26" x14ac:dyDescent="0.25">
      <c r="L5288" s="38"/>
      <c r="Z5288" s="38"/>
    </row>
    <row r="5289" spans="12:26" x14ac:dyDescent="0.25">
      <c r="L5289" s="38"/>
      <c r="Z5289" s="38"/>
    </row>
    <row r="5290" spans="12:26" x14ac:dyDescent="0.25">
      <c r="L5290" s="38"/>
      <c r="Z5290" s="38"/>
    </row>
    <row r="5291" spans="12:26" x14ac:dyDescent="0.25">
      <c r="L5291" s="38"/>
      <c r="Z5291" s="38"/>
    </row>
    <row r="5292" spans="12:26" x14ac:dyDescent="0.25">
      <c r="L5292" s="38"/>
      <c r="Z5292" s="38"/>
    </row>
    <row r="5293" spans="12:26" x14ac:dyDescent="0.25">
      <c r="L5293" s="38"/>
      <c r="Z5293" s="38"/>
    </row>
    <row r="5294" spans="12:26" x14ac:dyDescent="0.25">
      <c r="L5294" s="38"/>
      <c r="Z5294" s="38"/>
    </row>
    <row r="5295" spans="12:26" x14ac:dyDescent="0.25">
      <c r="L5295" s="38"/>
      <c r="Z5295" s="38"/>
    </row>
    <row r="5296" spans="12:26" x14ac:dyDescent="0.25">
      <c r="L5296" s="38"/>
      <c r="Z5296" s="38"/>
    </row>
    <row r="5297" spans="12:26" x14ac:dyDescent="0.25">
      <c r="L5297" s="38"/>
      <c r="Z5297" s="38"/>
    </row>
    <row r="5298" spans="12:26" x14ac:dyDescent="0.25">
      <c r="L5298" s="38"/>
      <c r="Z5298" s="38"/>
    </row>
    <row r="5299" spans="12:26" x14ac:dyDescent="0.25">
      <c r="L5299" s="38"/>
      <c r="Z5299" s="38"/>
    </row>
    <row r="5300" spans="12:26" x14ac:dyDescent="0.25">
      <c r="L5300" s="38"/>
      <c r="Z5300" s="38"/>
    </row>
    <row r="5301" spans="12:26" x14ac:dyDescent="0.25">
      <c r="L5301" s="38"/>
      <c r="Z5301" s="38"/>
    </row>
    <row r="5302" spans="12:26" x14ac:dyDescent="0.25">
      <c r="L5302" s="38"/>
      <c r="Z5302" s="38"/>
    </row>
    <row r="5303" spans="12:26" x14ac:dyDescent="0.25">
      <c r="L5303" s="38"/>
      <c r="Z5303" s="38"/>
    </row>
    <row r="5304" spans="12:26" x14ac:dyDescent="0.25">
      <c r="L5304" s="38"/>
      <c r="Z5304" s="38"/>
    </row>
    <row r="5305" spans="12:26" x14ac:dyDescent="0.25">
      <c r="L5305" s="38"/>
      <c r="Z5305" s="38"/>
    </row>
    <row r="5306" spans="12:26" x14ac:dyDescent="0.25">
      <c r="L5306" s="38"/>
      <c r="Z5306" s="38"/>
    </row>
    <row r="5307" spans="12:26" x14ac:dyDescent="0.25">
      <c r="L5307" s="38"/>
      <c r="Z5307" s="38"/>
    </row>
    <row r="5308" spans="12:26" x14ac:dyDescent="0.25">
      <c r="L5308" s="38"/>
      <c r="Z5308" s="38"/>
    </row>
    <row r="5309" spans="12:26" x14ac:dyDescent="0.25">
      <c r="L5309" s="38"/>
      <c r="Z5309" s="38"/>
    </row>
    <row r="5310" spans="12:26" x14ac:dyDescent="0.25">
      <c r="L5310" s="38"/>
      <c r="Z5310" s="38"/>
    </row>
    <row r="5311" spans="12:26" x14ac:dyDescent="0.25">
      <c r="L5311" s="38"/>
      <c r="Z5311" s="38"/>
    </row>
    <row r="5312" spans="12:26" x14ac:dyDescent="0.25">
      <c r="L5312" s="38"/>
      <c r="Z5312" s="38"/>
    </row>
    <row r="5313" spans="12:26" x14ac:dyDescent="0.25">
      <c r="L5313" s="38"/>
      <c r="Z5313" s="38"/>
    </row>
    <row r="5314" spans="12:26" x14ac:dyDescent="0.25">
      <c r="L5314" s="38"/>
      <c r="Z5314" s="38"/>
    </row>
    <row r="5315" spans="12:26" x14ac:dyDescent="0.25">
      <c r="L5315" s="38"/>
      <c r="Z5315" s="38"/>
    </row>
    <row r="5316" spans="12:26" x14ac:dyDescent="0.25">
      <c r="L5316" s="38"/>
      <c r="Z5316" s="38"/>
    </row>
    <row r="5317" spans="12:26" x14ac:dyDescent="0.25">
      <c r="L5317" s="38"/>
      <c r="Z5317" s="38"/>
    </row>
    <row r="5318" spans="12:26" x14ac:dyDescent="0.25">
      <c r="L5318" s="38"/>
      <c r="Z5318" s="38"/>
    </row>
    <row r="5319" spans="12:26" x14ac:dyDescent="0.25">
      <c r="L5319" s="38"/>
      <c r="Z5319" s="38"/>
    </row>
    <row r="5320" spans="12:26" x14ac:dyDescent="0.25">
      <c r="L5320" s="38"/>
      <c r="Z5320" s="38"/>
    </row>
    <row r="5321" spans="12:26" x14ac:dyDescent="0.25">
      <c r="L5321" s="38"/>
      <c r="Z5321" s="38"/>
    </row>
    <row r="5322" spans="12:26" x14ac:dyDescent="0.25">
      <c r="L5322" s="38"/>
      <c r="Z5322" s="38"/>
    </row>
    <row r="5323" spans="12:26" x14ac:dyDescent="0.25">
      <c r="L5323" s="38"/>
      <c r="Z5323" s="38"/>
    </row>
    <row r="5324" spans="12:26" x14ac:dyDescent="0.25">
      <c r="L5324" s="38"/>
      <c r="Z5324" s="38"/>
    </row>
    <row r="5325" spans="12:26" x14ac:dyDescent="0.25">
      <c r="L5325" s="38"/>
      <c r="Z5325" s="38"/>
    </row>
    <row r="5326" spans="12:26" x14ac:dyDescent="0.25">
      <c r="L5326" s="38"/>
      <c r="Z5326" s="38"/>
    </row>
    <row r="5327" spans="12:26" x14ac:dyDescent="0.25">
      <c r="L5327" s="38"/>
      <c r="Z5327" s="38"/>
    </row>
    <row r="5328" spans="12:26" x14ac:dyDescent="0.25">
      <c r="L5328" s="38"/>
      <c r="Z5328" s="38"/>
    </row>
    <row r="5329" spans="12:26" x14ac:dyDescent="0.25">
      <c r="L5329" s="38"/>
      <c r="Z5329" s="38"/>
    </row>
    <row r="5330" spans="12:26" x14ac:dyDescent="0.25">
      <c r="L5330" s="38"/>
      <c r="Z5330" s="38"/>
    </row>
    <row r="5331" spans="12:26" x14ac:dyDescent="0.25">
      <c r="L5331" s="38"/>
      <c r="Z5331" s="38"/>
    </row>
    <row r="5332" spans="12:26" x14ac:dyDescent="0.25">
      <c r="L5332" s="38"/>
      <c r="Z5332" s="38"/>
    </row>
    <row r="5333" spans="12:26" x14ac:dyDescent="0.25">
      <c r="L5333" s="38"/>
      <c r="Z5333" s="38"/>
    </row>
    <row r="5334" spans="12:26" x14ac:dyDescent="0.25">
      <c r="L5334" s="38"/>
      <c r="Z5334" s="38"/>
    </row>
    <row r="5335" spans="12:26" x14ac:dyDescent="0.25">
      <c r="L5335" s="38"/>
      <c r="Z5335" s="38"/>
    </row>
    <row r="5336" spans="12:26" x14ac:dyDescent="0.25">
      <c r="L5336" s="38"/>
      <c r="Z5336" s="38"/>
    </row>
    <row r="5337" spans="12:26" x14ac:dyDescent="0.25">
      <c r="L5337" s="38"/>
      <c r="Z5337" s="38"/>
    </row>
    <row r="5338" spans="12:26" x14ac:dyDescent="0.25">
      <c r="L5338" s="38"/>
      <c r="Z5338" s="38"/>
    </row>
    <row r="5339" spans="12:26" x14ac:dyDescent="0.25">
      <c r="L5339" s="38"/>
      <c r="Z5339" s="38"/>
    </row>
    <row r="5340" spans="12:26" x14ac:dyDescent="0.25">
      <c r="L5340" s="38"/>
      <c r="Z5340" s="38"/>
    </row>
    <row r="5341" spans="12:26" x14ac:dyDescent="0.25">
      <c r="L5341" s="38"/>
      <c r="Z5341" s="38"/>
    </row>
    <row r="5342" spans="12:26" x14ac:dyDescent="0.25">
      <c r="L5342" s="38"/>
      <c r="Z5342" s="38"/>
    </row>
    <row r="5343" spans="12:26" x14ac:dyDescent="0.25">
      <c r="L5343" s="38"/>
      <c r="Z5343" s="38"/>
    </row>
    <row r="5344" spans="12:26" x14ac:dyDescent="0.25">
      <c r="L5344" s="38"/>
      <c r="Z5344" s="38"/>
    </row>
    <row r="5345" spans="12:26" x14ac:dyDescent="0.25">
      <c r="L5345" s="38"/>
      <c r="Z5345" s="38"/>
    </row>
    <row r="5346" spans="12:26" x14ac:dyDescent="0.25">
      <c r="L5346" s="38"/>
      <c r="Z5346" s="38"/>
    </row>
    <row r="5347" spans="12:26" x14ac:dyDescent="0.25">
      <c r="L5347" s="38"/>
      <c r="Z5347" s="38"/>
    </row>
    <row r="5348" spans="12:26" x14ac:dyDescent="0.25">
      <c r="L5348" s="38"/>
      <c r="Z5348" s="38"/>
    </row>
    <row r="5349" spans="12:26" x14ac:dyDescent="0.25">
      <c r="L5349" s="38"/>
      <c r="Z5349" s="38"/>
    </row>
    <row r="5350" spans="12:26" x14ac:dyDescent="0.25">
      <c r="L5350" s="38"/>
      <c r="Z5350" s="38"/>
    </row>
    <row r="5351" spans="12:26" x14ac:dyDescent="0.25">
      <c r="L5351" s="38"/>
      <c r="Z5351" s="38"/>
    </row>
    <row r="5352" spans="12:26" x14ac:dyDescent="0.25">
      <c r="L5352" s="38"/>
      <c r="Z5352" s="38"/>
    </row>
    <row r="5353" spans="12:26" x14ac:dyDescent="0.25">
      <c r="L5353" s="38"/>
      <c r="Z5353" s="38"/>
    </row>
    <row r="5354" spans="12:26" x14ac:dyDescent="0.25">
      <c r="L5354" s="38"/>
      <c r="Z5354" s="38"/>
    </row>
    <row r="5355" spans="12:26" x14ac:dyDescent="0.25">
      <c r="L5355" s="38"/>
      <c r="Z5355" s="38"/>
    </row>
    <row r="5356" spans="12:26" x14ac:dyDescent="0.25">
      <c r="L5356" s="38"/>
      <c r="Z5356" s="38"/>
    </row>
    <row r="5357" spans="12:26" x14ac:dyDescent="0.25">
      <c r="L5357" s="38"/>
      <c r="Z5357" s="38"/>
    </row>
    <row r="5358" spans="12:26" x14ac:dyDescent="0.25">
      <c r="L5358" s="38"/>
      <c r="Z5358" s="38"/>
    </row>
    <row r="5359" spans="12:26" x14ac:dyDescent="0.25">
      <c r="L5359" s="38"/>
      <c r="Z5359" s="38"/>
    </row>
    <row r="5360" spans="12:26" x14ac:dyDescent="0.25">
      <c r="L5360" s="38"/>
      <c r="Z5360" s="38"/>
    </row>
    <row r="5361" spans="12:26" x14ac:dyDescent="0.25">
      <c r="L5361" s="38"/>
      <c r="Z5361" s="38"/>
    </row>
    <row r="5362" spans="12:26" x14ac:dyDescent="0.25">
      <c r="L5362" s="38"/>
      <c r="Z5362" s="38"/>
    </row>
    <row r="5363" spans="12:26" x14ac:dyDescent="0.25">
      <c r="L5363" s="38"/>
      <c r="Z5363" s="38"/>
    </row>
    <row r="5364" spans="12:26" x14ac:dyDescent="0.25">
      <c r="L5364" s="38"/>
      <c r="Z5364" s="38"/>
    </row>
    <row r="5365" spans="12:26" x14ac:dyDescent="0.25">
      <c r="L5365" s="38"/>
      <c r="Z5365" s="38"/>
    </row>
    <row r="5366" spans="12:26" x14ac:dyDescent="0.25">
      <c r="L5366" s="38"/>
      <c r="Z5366" s="38"/>
    </row>
    <row r="5367" spans="12:26" x14ac:dyDescent="0.25">
      <c r="L5367" s="38"/>
      <c r="Z5367" s="38"/>
    </row>
    <row r="5368" spans="12:26" x14ac:dyDescent="0.25">
      <c r="L5368" s="38"/>
      <c r="Z5368" s="38"/>
    </row>
    <row r="5369" spans="12:26" x14ac:dyDescent="0.25">
      <c r="L5369" s="38"/>
      <c r="Z5369" s="38"/>
    </row>
    <row r="5370" spans="12:26" x14ac:dyDescent="0.25">
      <c r="L5370" s="38"/>
      <c r="Z5370" s="38"/>
    </row>
    <row r="5371" spans="12:26" x14ac:dyDescent="0.25">
      <c r="L5371" s="38"/>
      <c r="Z5371" s="38"/>
    </row>
    <row r="5372" spans="12:26" x14ac:dyDescent="0.25">
      <c r="L5372" s="38"/>
      <c r="Z5372" s="38"/>
    </row>
    <row r="5373" spans="12:26" x14ac:dyDescent="0.25">
      <c r="L5373" s="38"/>
      <c r="Z5373" s="38"/>
    </row>
    <row r="5374" spans="12:26" x14ac:dyDescent="0.25">
      <c r="L5374" s="38"/>
      <c r="Z5374" s="38"/>
    </row>
    <row r="5375" spans="12:26" x14ac:dyDescent="0.25">
      <c r="L5375" s="38"/>
      <c r="Z5375" s="38"/>
    </row>
    <row r="5376" spans="12:26" x14ac:dyDescent="0.25">
      <c r="L5376" s="38"/>
      <c r="Z5376" s="38"/>
    </row>
    <row r="5377" spans="12:26" x14ac:dyDescent="0.25">
      <c r="L5377" s="38"/>
      <c r="Z5377" s="38"/>
    </row>
    <row r="5378" spans="12:26" x14ac:dyDescent="0.25">
      <c r="L5378" s="38"/>
      <c r="Z5378" s="38"/>
    </row>
    <row r="5379" spans="12:26" x14ac:dyDescent="0.25">
      <c r="L5379" s="38"/>
      <c r="Z5379" s="38"/>
    </row>
    <row r="5380" spans="12:26" x14ac:dyDescent="0.25">
      <c r="L5380" s="38"/>
      <c r="Z5380" s="38"/>
    </row>
    <row r="5381" spans="12:26" x14ac:dyDescent="0.25">
      <c r="L5381" s="38"/>
      <c r="Z5381" s="38"/>
    </row>
    <row r="5382" spans="12:26" x14ac:dyDescent="0.25">
      <c r="L5382" s="38"/>
      <c r="Z5382" s="38"/>
    </row>
    <row r="5383" spans="12:26" x14ac:dyDescent="0.25">
      <c r="L5383" s="38"/>
      <c r="Z5383" s="38"/>
    </row>
    <row r="5384" spans="12:26" x14ac:dyDescent="0.25">
      <c r="L5384" s="38"/>
      <c r="Z5384" s="38"/>
    </row>
    <row r="5385" spans="12:26" x14ac:dyDescent="0.25">
      <c r="L5385" s="38"/>
      <c r="Z5385" s="38"/>
    </row>
    <row r="5386" spans="12:26" x14ac:dyDescent="0.25">
      <c r="L5386" s="38"/>
      <c r="Z5386" s="38"/>
    </row>
    <row r="5387" spans="12:26" x14ac:dyDescent="0.25">
      <c r="L5387" s="38"/>
      <c r="Z5387" s="38"/>
    </row>
    <row r="5388" spans="12:26" x14ac:dyDescent="0.25">
      <c r="L5388" s="38"/>
      <c r="Z5388" s="38"/>
    </row>
    <row r="5389" spans="12:26" x14ac:dyDescent="0.25">
      <c r="L5389" s="38"/>
      <c r="Z5389" s="38"/>
    </row>
    <row r="5390" spans="12:26" x14ac:dyDescent="0.25">
      <c r="L5390" s="38"/>
      <c r="Z5390" s="38"/>
    </row>
    <row r="5391" spans="12:26" x14ac:dyDescent="0.25">
      <c r="L5391" s="38"/>
      <c r="Z5391" s="38"/>
    </row>
    <row r="5392" spans="12:26" x14ac:dyDescent="0.25">
      <c r="L5392" s="38"/>
      <c r="Z5392" s="38"/>
    </row>
    <row r="5393" spans="12:26" x14ac:dyDescent="0.25">
      <c r="L5393" s="38"/>
      <c r="Z5393" s="38"/>
    </row>
    <row r="5394" spans="12:26" x14ac:dyDescent="0.25">
      <c r="L5394" s="38"/>
      <c r="Z5394" s="38"/>
    </row>
    <row r="5395" spans="12:26" x14ac:dyDescent="0.25">
      <c r="L5395" s="38"/>
      <c r="Z5395" s="38"/>
    </row>
    <row r="5396" spans="12:26" x14ac:dyDescent="0.25">
      <c r="L5396" s="38"/>
      <c r="Z5396" s="38"/>
    </row>
    <row r="5397" spans="12:26" x14ac:dyDescent="0.25">
      <c r="L5397" s="38"/>
      <c r="Z5397" s="38"/>
    </row>
    <row r="5398" spans="12:26" x14ac:dyDescent="0.25">
      <c r="L5398" s="38"/>
      <c r="Z5398" s="38"/>
    </row>
    <row r="5399" spans="12:26" x14ac:dyDescent="0.25">
      <c r="L5399" s="38"/>
      <c r="Z5399" s="38"/>
    </row>
    <row r="5400" spans="12:26" x14ac:dyDescent="0.25">
      <c r="L5400" s="38"/>
      <c r="Z5400" s="38"/>
    </row>
    <row r="5401" spans="12:26" x14ac:dyDescent="0.25">
      <c r="L5401" s="38"/>
      <c r="Z5401" s="38"/>
    </row>
    <row r="5402" spans="12:26" x14ac:dyDescent="0.25">
      <c r="L5402" s="38"/>
      <c r="Z5402" s="38"/>
    </row>
    <row r="5403" spans="12:26" x14ac:dyDescent="0.25">
      <c r="L5403" s="38"/>
      <c r="Z5403" s="38"/>
    </row>
    <row r="5404" spans="12:26" x14ac:dyDescent="0.25">
      <c r="L5404" s="38"/>
      <c r="Z5404" s="38"/>
    </row>
    <row r="5405" spans="12:26" x14ac:dyDescent="0.25">
      <c r="L5405" s="38"/>
      <c r="Z5405" s="38"/>
    </row>
    <row r="5406" spans="12:26" x14ac:dyDescent="0.25">
      <c r="L5406" s="38"/>
      <c r="Z5406" s="38"/>
    </row>
    <row r="5407" spans="12:26" x14ac:dyDescent="0.25">
      <c r="L5407" s="38"/>
      <c r="Z5407" s="38"/>
    </row>
    <row r="5408" spans="12:26" x14ac:dyDescent="0.25">
      <c r="L5408" s="38"/>
      <c r="Z5408" s="38"/>
    </row>
    <row r="5409" spans="12:26" x14ac:dyDescent="0.25">
      <c r="L5409" s="38"/>
      <c r="Z5409" s="38"/>
    </row>
    <row r="5410" spans="12:26" x14ac:dyDescent="0.25">
      <c r="L5410" s="38"/>
      <c r="Z5410" s="38"/>
    </row>
    <row r="5411" spans="12:26" x14ac:dyDescent="0.25">
      <c r="L5411" s="38"/>
      <c r="Z5411" s="38"/>
    </row>
    <row r="5412" spans="12:26" x14ac:dyDescent="0.25">
      <c r="L5412" s="38"/>
      <c r="Z5412" s="38"/>
    </row>
    <row r="5413" spans="12:26" x14ac:dyDescent="0.25">
      <c r="L5413" s="38"/>
      <c r="Z5413" s="38"/>
    </row>
    <row r="5414" spans="12:26" x14ac:dyDescent="0.25">
      <c r="L5414" s="38"/>
      <c r="Z5414" s="38"/>
    </row>
    <row r="5415" spans="12:26" x14ac:dyDescent="0.25">
      <c r="L5415" s="38"/>
      <c r="Z5415" s="38"/>
    </row>
    <row r="5416" spans="12:26" x14ac:dyDescent="0.25">
      <c r="L5416" s="38"/>
      <c r="Z5416" s="38"/>
    </row>
    <row r="5417" spans="12:26" x14ac:dyDescent="0.25">
      <c r="L5417" s="38"/>
      <c r="Z5417" s="38"/>
    </row>
    <row r="5418" spans="12:26" x14ac:dyDescent="0.25">
      <c r="L5418" s="38"/>
      <c r="Z5418" s="38"/>
    </row>
    <row r="5419" spans="12:26" x14ac:dyDescent="0.25">
      <c r="L5419" s="38"/>
      <c r="Z5419" s="38"/>
    </row>
    <row r="5420" spans="12:26" x14ac:dyDescent="0.25">
      <c r="L5420" s="38"/>
      <c r="Z5420" s="38"/>
    </row>
    <row r="5421" spans="12:26" x14ac:dyDescent="0.25">
      <c r="L5421" s="38"/>
      <c r="Z5421" s="38"/>
    </row>
    <row r="5422" spans="12:26" x14ac:dyDescent="0.25">
      <c r="L5422" s="38"/>
      <c r="Z5422" s="38"/>
    </row>
    <row r="5423" spans="12:26" x14ac:dyDescent="0.25">
      <c r="L5423" s="38"/>
      <c r="Z5423" s="38"/>
    </row>
    <row r="5424" spans="12:26" x14ac:dyDescent="0.25">
      <c r="L5424" s="38"/>
      <c r="Z5424" s="38"/>
    </row>
    <row r="5425" spans="12:26" x14ac:dyDescent="0.25">
      <c r="L5425" s="38"/>
      <c r="Z5425" s="38"/>
    </row>
    <row r="5426" spans="12:26" x14ac:dyDescent="0.25">
      <c r="L5426" s="38"/>
      <c r="Z5426" s="38"/>
    </row>
    <row r="5427" spans="12:26" x14ac:dyDescent="0.25">
      <c r="L5427" s="38"/>
      <c r="Z5427" s="38"/>
    </row>
    <row r="5428" spans="12:26" x14ac:dyDescent="0.25">
      <c r="L5428" s="38"/>
      <c r="Z5428" s="38"/>
    </row>
    <row r="5429" spans="12:26" x14ac:dyDescent="0.25">
      <c r="L5429" s="38"/>
      <c r="Z5429" s="38"/>
    </row>
    <row r="5430" spans="12:26" x14ac:dyDescent="0.25">
      <c r="L5430" s="38"/>
      <c r="Z5430" s="38"/>
    </row>
    <row r="5431" spans="12:26" x14ac:dyDescent="0.25">
      <c r="L5431" s="38"/>
      <c r="Z5431" s="38"/>
    </row>
    <row r="5432" spans="12:26" x14ac:dyDescent="0.25">
      <c r="L5432" s="38"/>
      <c r="Z5432" s="38"/>
    </row>
    <row r="5433" spans="12:26" x14ac:dyDescent="0.25">
      <c r="L5433" s="38"/>
      <c r="Z5433" s="38"/>
    </row>
    <row r="5434" spans="12:26" x14ac:dyDescent="0.25">
      <c r="L5434" s="38"/>
      <c r="Z5434" s="38"/>
    </row>
    <row r="5435" spans="12:26" x14ac:dyDescent="0.25">
      <c r="L5435" s="38"/>
      <c r="Z5435" s="38"/>
    </row>
    <row r="5436" spans="12:26" x14ac:dyDescent="0.25">
      <c r="L5436" s="38"/>
      <c r="Z5436" s="38"/>
    </row>
    <row r="5437" spans="12:26" x14ac:dyDescent="0.25">
      <c r="L5437" s="38"/>
      <c r="Z5437" s="38"/>
    </row>
    <row r="5438" spans="12:26" x14ac:dyDescent="0.25">
      <c r="L5438" s="38"/>
      <c r="Z5438" s="38"/>
    </row>
    <row r="5439" spans="12:26" x14ac:dyDescent="0.25">
      <c r="L5439" s="38"/>
      <c r="Z5439" s="38"/>
    </row>
    <row r="5440" spans="12:26" x14ac:dyDescent="0.25">
      <c r="L5440" s="38"/>
      <c r="Z5440" s="38"/>
    </row>
    <row r="5441" spans="12:26" x14ac:dyDescent="0.25">
      <c r="L5441" s="38"/>
      <c r="Z5441" s="38"/>
    </row>
    <row r="5442" spans="12:26" x14ac:dyDescent="0.25">
      <c r="L5442" s="38"/>
      <c r="Z5442" s="38"/>
    </row>
    <row r="5443" spans="12:26" x14ac:dyDescent="0.25">
      <c r="L5443" s="38"/>
      <c r="Z5443" s="38"/>
    </row>
    <row r="5444" spans="12:26" x14ac:dyDescent="0.25">
      <c r="L5444" s="38"/>
      <c r="Z5444" s="38"/>
    </row>
    <row r="5445" spans="12:26" x14ac:dyDescent="0.25">
      <c r="L5445" s="38"/>
      <c r="Z5445" s="38"/>
    </row>
    <row r="5446" spans="12:26" x14ac:dyDescent="0.25">
      <c r="L5446" s="38"/>
      <c r="Z5446" s="38"/>
    </row>
    <row r="5447" spans="12:26" x14ac:dyDescent="0.25">
      <c r="L5447" s="38"/>
      <c r="Z5447" s="38"/>
    </row>
    <row r="5448" spans="12:26" x14ac:dyDescent="0.25">
      <c r="L5448" s="38"/>
      <c r="Z5448" s="38"/>
    </row>
    <row r="5449" spans="12:26" x14ac:dyDescent="0.25">
      <c r="L5449" s="38"/>
      <c r="Z5449" s="38"/>
    </row>
    <row r="5450" spans="12:26" x14ac:dyDescent="0.25">
      <c r="L5450" s="38"/>
      <c r="Z5450" s="38"/>
    </row>
    <row r="5451" spans="12:26" x14ac:dyDescent="0.25">
      <c r="L5451" s="38"/>
      <c r="Z5451" s="38"/>
    </row>
    <row r="5452" spans="12:26" x14ac:dyDescent="0.25">
      <c r="L5452" s="38"/>
      <c r="Z5452" s="38"/>
    </row>
    <row r="5453" spans="12:26" x14ac:dyDescent="0.25">
      <c r="L5453" s="38"/>
      <c r="Z5453" s="38"/>
    </row>
    <row r="5454" spans="12:26" x14ac:dyDescent="0.25">
      <c r="L5454" s="38"/>
      <c r="Z5454" s="38"/>
    </row>
    <row r="5455" spans="12:26" x14ac:dyDescent="0.25">
      <c r="L5455" s="38"/>
      <c r="Z5455" s="38"/>
    </row>
    <row r="5456" spans="12:26" x14ac:dyDescent="0.25">
      <c r="L5456" s="38"/>
      <c r="Z5456" s="38"/>
    </row>
    <row r="5457" spans="12:26" x14ac:dyDescent="0.25">
      <c r="L5457" s="38"/>
      <c r="Z5457" s="38"/>
    </row>
    <row r="5458" spans="12:26" x14ac:dyDescent="0.25">
      <c r="L5458" s="38"/>
      <c r="Z5458" s="38"/>
    </row>
    <row r="5459" spans="12:26" x14ac:dyDescent="0.25">
      <c r="L5459" s="38"/>
      <c r="Z5459" s="38"/>
    </row>
    <row r="5460" spans="12:26" x14ac:dyDescent="0.25">
      <c r="L5460" s="38"/>
      <c r="Z5460" s="38"/>
    </row>
    <row r="5461" spans="12:26" x14ac:dyDescent="0.25">
      <c r="L5461" s="38"/>
      <c r="Z5461" s="38"/>
    </row>
    <row r="5462" spans="12:26" x14ac:dyDescent="0.25">
      <c r="L5462" s="38"/>
      <c r="Z5462" s="38"/>
    </row>
    <row r="5463" spans="12:26" x14ac:dyDescent="0.25">
      <c r="L5463" s="38"/>
      <c r="Z5463" s="38"/>
    </row>
    <row r="5464" spans="12:26" x14ac:dyDescent="0.25">
      <c r="L5464" s="38"/>
      <c r="Z5464" s="38"/>
    </row>
    <row r="5465" spans="12:26" x14ac:dyDescent="0.25">
      <c r="L5465" s="38"/>
      <c r="Z5465" s="38"/>
    </row>
    <row r="5466" spans="12:26" x14ac:dyDescent="0.25">
      <c r="L5466" s="38"/>
      <c r="Z5466" s="38"/>
    </row>
    <row r="5467" spans="12:26" x14ac:dyDescent="0.25">
      <c r="L5467" s="38"/>
      <c r="Z5467" s="38"/>
    </row>
    <row r="5468" spans="12:26" x14ac:dyDescent="0.25">
      <c r="L5468" s="38"/>
      <c r="Z5468" s="38"/>
    </row>
    <row r="5469" spans="12:26" x14ac:dyDescent="0.25">
      <c r="L5469" s="38"/>
      <c r="Z5469" s="38"/>
    </row>
    <row r="5470" spans="12:26" x14ac:dyDescent="0.25">
      <c r="L5470" s="38"/>
      <c r="Z5470" s="38"/>
    </row>
    <row r="5471" spans="12:26" x14ac:dyDescent="0.25">
      <c r="L5471" s="38"/>
      <c r="Z5471" s="38"/>
    </row>
    <row r="5472" spans="12:26" x14ac:dyDescent="0.25">
      <c r="L5472" s="38"/>
      <c r="Z5472" s="38"/>
    </row>
    <row r="5473" spans="12:26" x14ac:dyDescent="0.25">
      <c r="L5473" s="38"/>
      <c r="Z5473" s="38"/>
    </row>
    <row r="5474" spans="12:26" x14ac:dyDescent="0.25">
      <c r="L5474" s="38"/>
      <c r="Z5474" s="38"/>
    </row>
    <row r="5475" spans="12:26" x14ac:dyDescent="0.25">
      <c r="L5475" s="38"/>
      <c r="Z5475" s="38"/>
    </row>
    <row r="5476" spans="12:26" x14ac:dyDescent="0.25">
      <c r="L5476" s="38"/>
      <c r="Z5476" s="38"/>
    </row>
    <row r="5477" spans="12:26" x14ac:dyDescent="0.25">
      <c r="L5477" s="38"/>
      <c r="Z5477" s="38"/>
    </row>
    <row r="5478" spans="12:26" x14ac:dyDescent="0.25">
      <c r="L5478" s="38"/>
      <c r="Z5478" s="38"/>
    </row>
    <row r="5479" spans="12:26" x14ac:dyDescent="0.25">
      <c r="L5479" s="38"/>
      <c r="Z5479" s="38"/>
    </row>
    <row r="5480" spans="12:26" x14ac:dyDescent="0.25">
      <c r="L5480" s="38"/>
      <c r="Z5480" s="38"/>
    </row>
    <row r="5481" spans="12:26" x14ac:dyDescent="0.25">
      <c r="L5481" s="38"/>
      <c r="Z5481" s="38"/>
    </row>
    <row r="5482" spans="12:26" x14ac:dyDescent="0.25">
      <c r="L5482" s="38"/>
      <c r="Z5482" s="38"/>
    </row>
    <row r="5483" spans="12:26" x14ac:dyDescent="0.25">
      <c r="L5483" s="38"/>
      <c r="Z5483" s="38"/>
    </row>
    <row r="5484" spans="12:26" x14ac:dyDescent="0.25">
      <c r="L5484" s="38"/>
      <c r="Z5484" s="38"/>
    </row>
    <row r="5485" spans="12:26" x14ac:dyDescent="0.25">
      <c r="L5485" s="38"/>
      <c r="Z5485" s="38"/>
    </row>
    <row r="5486" spans="12:26" x14ac:dyDescent="0.25">
      <c r="L5486" s="38"/>
      <c r="Z5486" s="38"/>
    </row>
    <row r="5487" spans="12:26" x14ac:dyDescent="0.25">
      <c r="L5487" s="38"/>
      <c r="Z5487" s="38"/>
    </row>
    <row r="5488" spans="12:26" x14ac:dyDescent="0.25">
      <c r="L5488" s="38"/>
      <c r="Z5488" s="38"/>
    </row>
    <row r="5489" spans="12:26" x14ac:dyDescent="0.25">
      <c r="L5489" s="38"/>
      <c r="Z5489" s="38"/>
    </row>
    <row r="5490" spans="12:26" x14ac:dyDescent="0.25">
      <c r="L5490" s="38"/>
      <c r="Z5490" s="38"/>
    </row>
    <row r="5491" spans="12:26" x14ac:dyDescent="0.25">
      <c r="L5491" s="38"/>
      <c r="Z5491" s="38"/>
    </row>
    <row r="5492" spans="12:26" x14ac:dyDescent="0.25">
      <c r="L5492" s="38"/>
      <c r="Z5492" s="38"/>
    </row>
    <row r="5493" spans="12:26" x14ac:dyDescent="0.25">
      <c r="L5493" s="38"/>
      <c r="Z5493" s="38"/>
    </row>
    <row r="5494" spans="12:26" x14ac:dyDescent="0.25">
      <c r="L5494" s="38"/>
      <c r="Z5494" s="38"/>
    </row>
    <row r="5495" spans="12:26" x14ac:dyDescent="0.25">
      <c r="L5495" s="38"/>
      <c r="Z5495" s="38"/>
    </row>
    <row r="5496" spans="12:26" x14ac:dyDescent="0.25">
      <c r="L5496" s="38"/>
      <c r="Z5496" s="38"/>
    </row>
    <row r="5497" spans="12:26" x14ac:dyDescent="0.25">
      <c r="L5497" s="38"/>
      <c r="Z5497" s="38"/>
    </row>
    <row r="5498" spans="12:26" x14ac:dyDescent="0.25">
      <c r="L5498" s="38"/>
      <c r="Z5498" s="38"/>
    </row>
    <row r="5499" spans="12:26" x14ac:dyDescent="0.25">
      <c r="L5499" s="38"/>
      <c r="Z5499" s="38"/>
    </row>
    <row r="5500" spans="12:26" x14ac:dyDescent="0.25">
      <c r="L5500" s="38"/>
      <c r="Z5500" s="38"/>
    </row>
    <row r="5501" spans="12:26" x14ac:dyDescent="0.25">
      <c r="L5501" s="38"/>
      <c r="Z5501" s="38"/>
    </row>
    <row r="5502" spans="12:26" x14ac:dyDescent="0.25">
      <c r="L5502" s="38"/>
      <c r="Z5502" s="38"/>
    </row>
    <row r="5503" spans="12:26" x14ac:dyDescent="0.25">
      <c r="L5503" s="38"/>
      <c r="Z5503" s="38"/>
    </row>
    <row r="5504" spans="12:26" x14ac:dyDescent="0.25">
      <c r="L5504" s="38"/>
      <c r="Z5504" s="38"/>
    </row>
    <row r="5505" spans="12:26" x14ac:dyDescent="0.25">
      <c r="L5505" s="38"/>
      <c r="Z5505" s="38"/>
    </row>
    <row r="5506" spans="12:26" x14ac:dyDescent="0.25">
      <c r="L5506" s="38"/>
      <c r="Z5506" s="38"/>
    </row>
    <row r="5507" spans="12:26" x14ac:dyDescent="0.25">
      <c r="L5507" s="38"/>
      <c r="Z5507" s="38"/>
    </row>
    <row r="5508" spans="12:26" x14ac:dyDescent="0.25">
      <c r="L5508" s="38"/>
      <c r="Z5508" s="38"/>
    </row>
    <row r="5509" spans="12:26" x14ac:dyDescent="0.25">
      <c r="L5509" s="38"/>
      <c r="Z5509" s="38"/>
    </row>
    <row r="5510" spans="12:26" x14ac:dyDescent="0.25">
      <c r="L5510" s="38"/>
      <c r="Z5510" s="38"/>
    </row>
    <row r="5511" spans="12:26" x14ac:dyDescent="0.25">
      <c r="L5511" s="38"/>
      <c r="Z5511" s="38"/>
    </row>
    <row r="5512" spans="12:26" x14ac:dyDescent="0.25">
      <c r="L5512" s="38"/>
      <c r="Z5512" s="38"/>
    </row>
    <row r="5513" spans="12:26" x14ac:dyDescent="0.25">
      <c r="L5513" s="38"/>
      <c r="Z5513" s="38"/>
    </row>
    <row r="5514" spans="12:26" x14ac:dyDescent="0.25">
      <c r="L5514" s="38"/>
      <c r="Z5514" s="38"/>
    </row>
    <row r="5515" spans="12:26" x14ac:dyDescent="0.25">
      <c r="L5515" s="38"/>
      <c r="Z5515" s="38"/>
    </row>
    <row r="5516" spans="12:26" x14ac:dyDescent="0.25">
      <c r="L5516" s="38"/>
      <c r="Z5516" s="38"/>
    </row>
    <row r="5517" spans="12:26" x14ac:dyDescent="0.25">
      <c r="L5517" s="38"/>
      <c r="Z5517" s="38"/>
    </row>
    <row r="5518" spans="12:26" x14ac:dyDescent="0.25">
      <c r="L5518" s="38"/>
      <c r="Z5518" s="38"/>
    </row>
    <row r="5519" spans="12:26" x14ac:dyDescent="0.25">
      <c r="L5519" s="38"/>
      <c r="Z5519" s="38"/>
    </row>
    <row r="5520" spans="12:26" x14ac:dyDescent="0.25">
      <c r="L5520" s="38"/>
      <c r="Z5520" s="38"/>
    </row>
    <row r="5521" spans="12:26" x14ac:dyDescent="0.25">
      <c r="L5521" s="38"/>
      <c r="Z5521" s="38"/>
    </row>
    <row r="5522" spans="12:26" x14ac:dyDescent="0.25">
      <c r="L5522" s="38"/>
      <c r="Z5522" s="38"/>
    </row>
    <row r="5523" spans="12:26" x14ac:dyDescent="0.25">
      <c r="L5523" s="38"/>
      <c r="Z5523" s="38"/>
    </row>
    <row r="5524" spans="12:26" x14ac:dyDescent="0.25">
      <c r="L5524" s="38"/>
      <c r="Z5524" s="38"/>
    </row>
    <row r="5525" spans="12:26" x14ac:dyDescent="0.25">
      <c r="L5525" s="38"/>
      <c r="Z5525" s="38"/>
    </row>
    <row r="5526" spans="12:26" x14ac:dyDescent="0.25">
      <c r="L5526" s="38"/>
      <c r="Z5526" s="38"/>
    </row>
    <row r="5527" spans="12:26" x14ac:dyDescent="0.25">
      <c r="L5527" s="38"/>
      <c r="Z5527" s="38"/>
    </row>
    <row r="5528" spans="12:26" x14ac:dyDescent="0.25">
      <c r="L5528" s="38"/>
      <c r="Z5528" s="38"/>
    </row>
    <row r="5529" spans="12:26" x14ac:dyDescent="0.25">
      <c r="L5529" s="38"/>
      <c r="Z5529" s="38"/>
    </row>
    <row r="5530" spans="12:26" x14ac:dyDescent="0.25">
      <c r="L5530" s="38"/>
      <c r="Z5530" s="38"/>
    </row>
    <row r="5531" spans="12:26" x14ac:dyDescent="0.25">
      <c r="L5531" s="38"/>
      <c r="Z5531" s="38"/>
    </row>
    <row r="5532" spans="12:26" x14ac:dyDescent="0.25">
      <c r="L5532" s="38"/>
      <c r="Z5532" s="38"/>
    </row>
    <row r="5533" spans="12:26" x14ac:dyDescent="0.25">
      <c r="L5533" s="38"/>
      <c r="Z5533" s="38"/>
    </row>
    <row r="5534" spans="12:26" x14ac:dyDescent="0.25">
      <c r="L5534" s="38"/>
      <c r="Z5534" s="38"/>
    </row>
    <row r="5535" spans="12:26" x14ac:dyDescent="0.25">
      <c r="L5535" s="38"/>
      <c r="Z5535" s="38"/>
    </row>
    <row r="5536" spans="12:26" x14ac:dyDescent="0.25">
      <c r="L5536" s="38"/>
      <c r="Z5536" s="38"/>
    </row>
    <row r="5537" spans="12:26" x14ac:dyDescent="0.25">
      <c r="L5537" s="38"/>
      <c r="Z5537" s="38"/>
    </row>
    <row r="5538" spans="12:26" x14ac:dyDescent="0.25">
      <c r="L5538" s="38"/>
      <c r="Z5538" s="38"/>
    </row>
    <row r="5539" spans="12:26" x14ac:dyDescent="0.25">
      <c r="L5539" s="38"/>
      <c r="Z5539" s="38"/>
    </row>
    <row r="5540" spans="12:26" x14ac:dyDescent="0.25">
      <c r="L5540" s="38"/>
      <c r="Z5540" s="38"/>
    </row>
    <row r="5541" spans="12:26" x14ac:dyDescent="0.25">
      <c r="L5541" s="38"/>
      <c r="Z5541" s="38"/>
    </row>
    <row r="5542" spans="12:26" x14ac:dyDescent="0.25">
      <c r="L5542" s="38"/>
      <c r="Z5542" s="38"/>
    </row>
    <row r="5543" spans="12:26" x14ac:dyDescent="0.25">
      <c r="L5543" s="38"/>
      <c r="Z5543" s="38"/>
    </row>
    <row r="5544" spans="12:26" x14ac:dyDescent="0.25">
      <c r="L5544" s="38"/>
      <c r="Z5544" s="38"/>
    </row>
    <row r="5545" spans="12:26" x14ac:dyDescent="0.25">
      <c r="L5545" s="38"/>
      <c r="Z5545" s="38"/>
    </row>
    <row r="5546" spans="12:26" x14ac:dyDescent="0.25">
      <c r="L5546" s="38"/>
      <c r="Z5546" s="38"/>
    </row>
    <row r="5547" spans="12:26" x14ac:dyDescent="0.25">
      <c r="L5547" s="38"/>
      <c r="Z5547" s="38"/>
    </row>
    <row r="5548" spans="12:26" x14ac:dyDescent="0.25">
      <c r="L5548" s="38"/>
      <c r="Z5548" s="38"/>
    </row>
    <row r="5549" spans="12:26" x14ac:dyDescent="0.25">
      <c r="L5549" s="38"/>
      <c r="Z5549" s="38"/>
    </row>
    <row r="5550" spans="12:26" x14ac:dyDescent="0.25">
      <c r="L5550" s="38"/>
      <c r="Z5550" s="38"/>
    </row>
    <row r="5551" spans="12:26" x14ac:dyDescent="0.25">
      <c r="L5551" s="38"/>
      <c r="Z5551" s="38"/>
    </row>
    <row r="5552" spans="12:26" x14ac:dyDescent="0.25">
      <c r="L5552" s="38"/>
      <c r="Z5552" s="38"/>
    </row>
    <row r="5553" spans="12:26" x14ac:dyDescent="0.25">
      <c r="L5553" s="38"/>
      <c r="Z5553" s="38"/>
    </row>
    <row r="5554" spans="12:26" x14ac:dyDescent="0.25">
      <c r="L5554" s="38"/>
      <c r="Z5554" s="38"/>
    </row>
    <row r="5555" spans="12:26" x14ac:dyDescent="0.25">
      <c r="L5555" s="38"/>
      <c r="Z5555" s="38"/>
    </row>
    <row r="5556" spans="12:26" x14ac:dyDescent="0.25">
      <c r="L5556" s="38"/>
      <c r="Z5556" s="38"/>
    </row>
    <row r="5557" spans="12:26" x14ac:dyDescent="0.25">
      <c r="L5557" s="38"/>
      <c r="Z5557" s="38"/>
    </row>
    <row r="5558" spans="12:26" x14ac:dyDescent="0.25">
      <c r="L5558" s="38"/>
      <c r="Z5558" s="38"/>
    </row>
    <row r="5559" spans="12:26" x14ac:dyDescent="0.25">
      <c r="L5559" s="38"/>
      <c r="Z5559" s="38"/>
    </row>
    <row r="5560" spans="12:26" x14ac:dyDescent="0.25">
      <c r="L5560" s="38"/>
      <c r="Z5560" s="38"/>
    </row>
    <row r="5561" spans="12:26" x14ac:dyDescent="0.25">
      <c r="L5561" s="38"/>
      <c r="Z5561" s="38"/>
    </row>
    <row r="5562" spans="12:26" x14ac:dyDescent="0.25">
      <c r="L5562" s="38"/>
      <c r="Z5562" s="38"/>
    </row>
    <row r="5563" spans="12:26" x14ac:dyDescent="0.25">
      <c r="L5563" s="38"/>
      <c r="Z5563" s="38"/>
    </row>
    <row r="5564" spans="12:26" x14ac:dyDescent="0.25">
      <c r="L5564" s="38"/>
      <c r="Z5564" s="38"/>
    </row>
    <row r="5565" spans="12:26" x14ac:dyDescent="0.25">
      <c r="L5565" s="38"/>
      <c r="Z5565" s="38"/>
    </row>
    <row r="5566" spans="12:26" x14ac:dyDescent="0.25">
      <c r="L5566" s="38"/>
      <c r="Z5566" s="38"/>
    </row>
    <row r="5567" spans="12:26" x14ac:dyDescent="0.25">
      <c r="L5567" s="38"/>
      <c r="Z5567" s="38"/>
    </row>
    <row r="5568" spans="12:26" x14ac:dyDescent="0.25">
      <c r="L5568" s="38"/>
      <c r="Z5568" s="38"/>
    </row>
    <row r="5569" spans="12:26" x14ac:dyDescent="0.25">
      <c r="L5569" s="38"/>
      <c r="Z5569" s="38"/>
    </row>
    <row r="5570" spans="12:26" x14ac:dyDescent="0.25">
      <c r="L5570" s="38"/>
      <c r="Z5570" s="38"/>
    </row>
    <row r="5571" spans="12:26" x14ac:dyDescent="0.25">
      <c r="L5571" s="38"/>
      <c r="Z5571" s="38"/>
    </row>
    <row r="5572" spans="12:26" x14ac:dyDescent="0.25">
      <c r="L5572" s="38"/>
      <c r="Z5572" s="38"/>
    </row>
    <row r="5573" spans="12:26" x14ac:dyDescent="0.25">
      <c r="L5573" s="38"/>
      <c r="Z5573" s="38"/>
    </row>
    <row r="5574" spans="12:26" x14ac:dyDescent="0.25">
      <c r="L5574" s="38"/>
      <c r="Z5574" s="38"/>
    </row>
    <row r="5575" spans="12:26" x14ac:dyDescent="0.25">
      <c r="L5575" s="38"/>
      <c r="Z5575" s="38"/>
    </row>
    <row r="5576" spans="12:26" x14ac:dyDescent="0.25">
      <c r="L5576" s="38"/>
      <c r="Z5576" s="38"/>
    </row>
    <row r="5577" spans="12:26" x14ac:dyDescent="0.25">
      <c r="L5577" s="38"/>
      <c r="Z5577" s="38"/>
    </row>
    <row r="5578" spans="12:26" x14ac:dyDescent="0.25">
      <c r="L5578" s="38"/>
      <c r="Z5578" s="38"/>
    </row>
    <row r="5579" spans="12:26" x14ac:dyDescent="0.25">
      <c r="L5579" s="38"/>
      <c r="Z5579" s="38"/>
    </row>
    <row r="5580" spans="12:26" x14ac:dyDescent="0.25">
      <c r="L5580" s="38"/>
      <c r="Z5580" s="38"/>
    </row>
    <row r="5581" spans="12:26" x14ac:dyDescent="0.25">
      <c r="L5581" s="38"/>
      <c r="Z5581" s="38"/>
    </row>
    <row r="5582" spans="12:26" x14ac:dyDescent="0.25">
      <c r="L5582" s="38"/>
      <c r="Z5582" s="38"/>
    </row>
    <row r="5583" spans="12:26" x14ac:dyDescent="0.25">
      <c r="L5583" s="38"/>
      <c r="Z5583" s="38"/>
    </row>
    <row r="5584" spans="12:26" x14ac:dyDescent="0.25">
      <c r="L5584" s="38"/>
      <c r="Z5584" s="38"/>
    </row>
    <row r="5585" spans="12:26" x14ac:dyDescent="0.25">
      <c r="L5585" s="38"/>
      <c r="Z5585" s="38"/>
    </row>
    <row r="5586" spans="12:26" x14ac:dyDescent="0.25">
      <c r="L5586" s="38"/>
      <c r="Z5586" s="38"/>
    </row>
    <row r="5587" spans="12:26" x14ac:dyDescent="0.25">
      <c r="L5587" s="38"/>
      <c r="Z5587" s="38"/>
    </row>
    <row r="5588" spans="12:26" x14ac:dyDescent="0.25">
      <c r="L5588" s="38"/>
      <c r="Z5588" s="38"/>
    </row>
    <row r="5589" spans="12:26" x14ac:dyDescent="0.25">
      <c r="L5589" s="38"/>
      <c r="Z5589" s="38"/>
    </row>
    <row r="5590" spans="12:26" x14ac:dyDescent="0.25">
      <c r="L5590" s="38"/>
      <c r="Z5590" s="38"/>
    </row>
    <row r="5591" spans="12:26" x14ac:dyDescent="0.25">
      <c r="L5591" s="38"/>
      <c r="Z5591" s="38"/>
    </row>
    <row r="5592" spans="12:26" x14ac:dyDescent="0.25">
      <c r="L5592" s="38"/>
      <c r="Z5592" s="38"/>
    </row>
    <row r="5593" spans="12:26" x14ac:dyDescent="0.25">
      <c r="L5593" s="38"/>
      <c r="Z5593" s="38"/>
    </row>
    <row r="5594" spans="12:26" x14ac:dyDescent="0.25">
      <c r="L5594" s="38"/>
      <c r="Z5594" s="38"/>
    </row>
    <row r="5595" spans="12:26" x14ac:dyDescent="0.25">
      <c r="L5595" s="38"/>
      <c r="Z5595" s="38"/>
    </row>
    <row r="5596" spans="12:26" x14ac:dyDescent="0.25">
      <c r="L5596" s="38"/>
      <c r="Z5596" s="38"/>
    </row>
    <row r="5597" spans="12:26" x14ac:dyDescent="0.25">
      <c r="L5597" s="38"/>
      <c r="Z5597" s="38"/>
    </row>
    <row r="5598" spans="12:26" x14ac:dyDescent="0.25">
      <c r="L5598" s="38"/>
      <c r="Z5598" s="38"/>
    </row>
    <row r="5599" spans="12:26" x14ac:dyDescent="0.25">
      <c r="L5599" s="38"/>
      <c r="Z5599" s="38"/>
    </row>
    <row r="5600" spans="12:26" x14ac:dyDescent="0.25">
      <c r="L5600" s="38"/>
      <c r="Z5600" s="38"/>
    </row>
    <row r="5601" spans="12:26" x14ac:dyDescent="0.25">
      <c r="L5601" s="38"/>
      <c r="Z5601" s="38"/>
    </row>
    <row r="5602" spans="12:26" x14ac:dyDescent="0.25">
      <c r="L5602" s="38"/>
      <c r="Z5602" s="38"/>
    </row>
    <row r="5603" spans="12:26" x14ac:dyDescent="0.25">
      <c r="L5603" s="38"/>
      <c r="Z5603" s="38"/>
    </row>
    <row r="5604" spans="12:26" x14ac:dyDescent="0.25">
      <c r="L5604" s="38"/>
      <c r="Z5604" s="38"/>
    </row>
    <row r="5605" spans="12:26" x14ac:dyDescent="0.25">
      <c r="L5605" s="38"/>
      <c r="Z5605" s="38"/>
    </row>
    <row r="5606" spans="12:26" x14ac:dyDescent="0.25">
      <c r="L5606" s="38"/>
      <c r="Z5606" s="38"/>
    </row>
    <row r="5607" spans="12:26" x14ac:dyDescent="0.25">
      <c r="L5607" s="38"/>
      <c r="Z5607" s="38"/>
    </row>
    <row r="5608" spans="12:26" x14ac:dyDescent="0.25">
      <c r="L5608" s="38"/>
      <c r="Z5608" s="38"/>
    </row>
    <row r="5609" spans="12:26" x14ac:dyDescent="0.25">
      <c r="L5609" s="38"/>
      <c r="Z5609" s="38"/>
    </row>
    <row r="5610" spans="12:26" x14ac:dyDescent="0.25">
      <c r="L5610" s="38"/>
      <c r="Z5610" s="38"/>
    </row>
    <row r="5611" spans="12:26" x14ac:dyDescent="0.25">
      <c r="L5611" s="38"/>
      <c r="Z5611" s="38"/>
    </row>
    <row r="5612" spans="12:26" x14ac:dyDescent="0.25">
      <c r="L5612" s="38"/>
      <c r="Z5612" s="38"/>
    </row>
    <row r="5613" spans="12:26" x14ac:dyDescent="0.25">
      <c r="L5613" s="38"/>
      <c r="Z5613" s="38"/>
    </row>
    <row r="5614" spans="12:26" x14ac:dyDescent="0.25">
      <c r="L5614" s="38"/>
      <c r="Z5614" s="38"/>
    </row>
    <row r="5615" spans="12:26" x14ac:dyDescent="0.25">
      <c r="L5615" s="38"/>
      <c r="Z5615" s="38"/>
    </row>
    <row r="5616" spans="12:26" x14ac:dyDescent="0.25">
      <c r="L5616" s="38"/>
      <c r="Z5616" s="38"/>
    </row>
    <row r="5617" spans="12:26" x14ac:dyDescent="0.25">
      <c r="L5617" s="38"/>
      <c r="Z5617" s="38"/>
    </row>
    <row r="5618" spans="12:26" x14ac:dyDescent="0.25">
      <c r="L5618" s="38"/>
      <c r="Z5618" s="38"/>
    </row>
    <row r="5619" spans="12:26" x14ac:dyDescent="0.25">
      <c r="L5619" s="38"/>
      <c r="Z5619" s="38"/>
    </row>
    <row r="5620" spans="12:26" x14ac:dyDescent="0.25">
      <c r="L5620" s="38"/>
      <c r="Z5620" s="38"/>
    </row>
    <row r="5621" spans="12:26" x14ac:dyDescent="0.25">
      <c r="L5621" s="38"/>
      <c r="Z5621" s="38"/>
    </row>
    <row r="5622" spans="12:26" x14ac:dyDescent="0.25">
      <c r="L5622" s="38"/>
      <c r="Z5622" s="38"/>
    </row>
    <row r="5623" spans="12:26" x14ac:dyDescent="0.25">
      <c r="L5623" s="38"/>
      <c r="Z5623" s="38"/>
    </row>
    <row r="5624" spans="12:26" x14ac:dyDescent="0.25">
      <c r="L5624" s="38"/>
      <c r="Z5624" s="38"/>
    </row>
    <row r="5625" spans="12:26" x14ac:dyDescent="0.25">
      <c r="L5625" s="38"/>
      <c r="Z5625" s="38"/>
    </row>
    <row r="5626" spans="12:26" x14ac:dyDescent="0.25">
      <c r="L5626" s="38"/>
      <c r="Z5626" s="38"/>
    </row>
    <row r="5627" spans="12:26" x14ac:dyDescent="0.25">
      <c r="L5627" s="38"/>
      <c r="Z5627" s="38"/>
    </row>
    <row r="5628" spans="12:26" x14ac:dyDescent="0.25">
      <c r="L5628" s="38"/>
      <c r="Z5628" s="38"/>
    </row>
    <row r="5629" spans="12:26" x14ac:dyDescent="0.25">
      <c r="L5629" s="38"/>
      <c r="Z5629" s="38"/>
    </row>
    <row r="5630" spans="12:26" x14ac:dyDescent="0.25">
      <c r="L5630" s="38"/>
      <c r="Z5630" s="38"/>
    </row>
    <row r="5631" spans="12:26" x14ac:dyDescent="0.25">
      <c r="L5631" s="38"/>
      <c r="Z5631" s="38"/>
    </row>
    <row r="5632" spans="12:26" x14ac:dyDescent="0.25">
      <c r="L5632" s="38"/>
      <c r="Z5632" s="38"/>
    </row>
    <row r="5633" spans="12:26" x14ac:dyDescent="0.25">
      <c r="L5633" s="38"/>
      <c r="Z5633" s="38"/>
    </row>
    <row r="5634" spans="12:26" x14ac:dyDescent="0.25">
      <c r="L5634" s="38"/>
      <c r="Z5634" s="38"/>
    </row>
    <row r="5635" spans="12:26" x14ac:dyDescent="0.25">
      <c r="L5635" s="38"/>
      <c r="Z5635" s="38"/>
    </row>
    <row r="5636" spans="12:26" x14ac:dyDescent="0.25">
      <c r="L5636" s="38"/>
      <c r="Z5636" s="38"/>
    </row>
    <row r="5637" spans="12:26" x14ac:dyDescent="0.25">
      <c r="L5637" s="38"/>
      <c r="Z5637" s="38"/>
    </row>
    <row r="5638" spans="12:26" x14ac:dyDescent="0.25">
      <c r="L5638" s="38"/>
      <c r="Z5638" s="38"/>
    </row>
    <row r="5639" spans="12:26" x14ac:dyDescent="0.25">
      <c r="L5639" s="38"/>
      <c r="Z5639" s="38"/>
    </row>
    <row r="5640" spans="12:26" x14ac:dyDescent="0.25">
      <c r="L5640" s="38"/>
      <c r="Z5640" s="38"/>
    </row>
    <row r="5641" spans="12:26" x14ac:dyDescent="0.25">
      <c r="L5641" s="38"/>
      <c r="Z5641" s="38"/>
    </row>
    <row r="5642" spans="12:26" x14ac:dyDescent="0.25">
      <c r="L5642" s="38"/>
      <c r="Z5642" s="38"/>
    </row>
    <row r="5643" spans="12:26" x14ac:dyDescent="0.25">
      <c r="L5643" s="38"/>
      <c r="Z5643" s="38"/>
    </row>
    <row r="5644" spans="12:26" x14ac:dyDescent="0.25">
      <c r="L5644" s="38"/>
      <c r="Z5644" s="38"/>
    </row>
    <row r="5645" spans="12:26" x14ac:dyDescent="0.25">
      <c r="L5645" s="38"/>
      <c r="Z5645" s="38"/>
    </row>
    <row r="5646" spans="12:26" x14ac:dyDescent="0.25">
      <c r="L5646" s="38"/>
      <c r="Z5646" s="38"/>
    </row>
    <row r="5647" spans="12:26" x14ac:dyDescent="0.25">
      <c r="L5647" s="38"/>
      <c r="Z5647" s="38"/>
    </row>
    <row r="5648" spans="12:26" x14ac:dyDescent="0.25">
      <c r="L5648" s="38"/>
      <c r="Z5648" s="38"/>
    </row>
    <row r="5649" spans="12:26" x14ac:dyDescent="0.25">
      <c r="L5649" s="38"/>
      <c r="Z5649" s="38"/>
    </row>
    <row r="5650" spans="12:26" x14ac:dyDescent="0.25">
      <c r="L5650" s="38"/>
      <c r="Z5650" s="38"/>
    </row>
    <row r="5651" spans="12:26" x14ac:dyDescent="0.25">
      <c r="L5651" s="38"/>
      <c r="Z5651" s="38"/>
    </row>
    <row r="5652" spans="12:26" x14ac:dyDescent="0.25">
      <c r="L5652" s="38"/>
      <c r="Z5652" s="38"/>
    </row>
    <row r="5653" spans="12:26" x14ac:dyDescent="0.25">
      <c r="L5653" s="38"/>
      <c r="Z5653" s="38"/>
    </row>
    <row r="5654" spans="12:26" x14ac:dyDescent="0.25">
      <c r="L5654" s="38"/>
      <c r="Z5654" s="38"/>
    </row>
    <row r="5655" spans="12:26" x14ac:dyDescent="0.25">
      <c r="L5655" s="38"/>
      <c r="Z5655" s="38"/>
    </row>
    <row r="5656" spans="12:26" x14ac:dyDescent="0.25">
      <c r="L5656" s="38"/>
      <c r="Z5656" s="38"/>
    </row>
    <row r="5657" spans="12:26" x14ac:dyDescent="0.25">
      <c r="L5657" s="38"/>
      <c r="Z5657" s="38"/>
    </row>
    <row r="5658" spans="12:26" x14ac:dyDescent="0.25">
      <c r="L5658" s="38"/>
      <c r="Z5658" s="38"/>
    </row>
    <row r="5659" spans="12:26" x14ac:dyDescent="0.25">
      <c r="L5659" s="38"/>
      <c r="Z5659" s="38"/>
    </row>
    <row r="5660" spans="12:26" x14ac:dyDescent="0.25">
      <c r="L5660" s="38"/>
      <c r="Z5660" s="38"/>
    </row>
    <row r="5661" spans="12:26" x14ac:dyDescent="0.25">
      <c r="L5661" s="38"/>
      <c r="Z5661" s="38"/>
    </row>
    <row r="5662" spans="12:26" x14ac:dyDescent="0.25">
      <c r="L5662" s="38"/>
      <c r="Z5662" s="38"/>
    </row>
    <row r="5663" spans="12:26" x14ac:dyDescent="0.25">
      <c r="L5663" s="38"/>
      <c r="Z5663" s="38"/>
    </row>
    <row r="5664" spans="12:26" x14ac:dyDescent="0.25">
      <c r="L5664" s="38"/>
      <c r="Z5664" s="38"/>
    </row>
    <row r="5665" spans="12:26" x14ac:dyDescent="0.25">
      <c r="L5665" s="38"/>
      <c r="Z5665" s="38"/>
    </row>
    <row r="5666" spans="12:26" x14ac:dyDescent="0.25">
      <c r="L5666" s="38"/>
      <c r="Z5666" s="38"/>
    </row>
    <row r="5667" spans="12:26" x14ac:dyDescent="0.25">
      <c r="L5667" s="38"/>
      <c r="Z5667" s="38"/>
    </row>
    <row r="5668" spans="12:26" x14ac:dyDescent="0.25">
      <c r="L5668" s="38"/>
      <c r="Z5668" s="38"/>
    </row>
    <row r="5669" spans="12:26" x14ac:dyDescent="0.25">
      <c r="L5669" s="38"/>
      <c r="Z5669" s="38"/>
    </row>
    <row r="5670" spans="12:26" x14ac:dyDescent="0.25">
      <c r="L5670" s="38"/>
      <c r="Z5670" s="38"/>
    </row>
    <row r="5671" spans="12:26" x14ac:dyDescent="0.25">
      <c r="L5671" s="38"/>
      <c r="Z5671" s="38"/>
    </row>
    <row r="5672" spans="12:26" x14ac:dyDescent="0.25">
      <c r="L5672" s="38"/>
      <c r="Z5672" s="38"/>
    </row>
    <row r="5673" spans="12:26" x14ac:dyDescent="0.25">
      <c r="L5673" s="38"/>
      <c r="Z5673" s="38"/>
    </row>
    <row r="5674" spans="12:26" x14ac:dyDescent="0.25">
      <c r="L5674" s="38"/>
      <c r="Z5674" s="38"/>
    </row>
    <row r="5675" spans="12:26" x14ac:dyDescent="0.25">
      <c r="L5675" s="38"/>
      <c r="Z5675" s="38"/>
    </row>
    <row r="5676" spans="12:26" x14ac:dyDescent="0.25">
      <c r="L5676" s="38"/>
      <c r="Z5676" s="38"/>
    </row>
    <row r="5677" spans="12:26" x14ac:dyDescent="0.25">
      <c r="L5677" s="38"/>
      <c r="Z5677" s="38"/>
    </row>
    <row r="5678" spans="12:26" x14ac:dyDescent="0.25">
      <c r="L5678" s="38"/>
      <c r="Z5678" s="38"/>
    </row>
    <row r="5679" spans="12:26" x14ac:dyDescent="0.25">
      <c r="L5679" s="38"/>
      <c r="Z5679" s="38"/>
    </row>
    <row r="5680" spans="12:26" x14ac:dyDescent="0.25">
      <c r="L5680" s="38"/>
      <c r="Z5680" s="38"/>
    </row>
    <row r="5681" spans="12:26" x14ac:dyDescent="0.25">
      <c r="L5681" s="38"/>
      <c r="Z5681" s="38"/>
    </row>
    <row r="5682" spans="12:26" x14ac:dyDescent="0.25">
      <c r="L5682" s="38"/>
      <c r="Z5682" s="38"/>
    </row>
    <row r="5683" spans="12:26" x14ac:dyDescent="0.25">
      <c r="L5683" s="38"/>
      <c r="Z5683" s="38"/>
    </row>
    <row r="5684" spans="12:26" x14ac:dyDescent="0.25">
      <c r="L5684" s="38"/>
      <c r="Z5684" s="38"/>
    </row>
    <row r="5685" spans="12:26" x14ac:dyDescent="0.25">
      <c r="L5685" s="38"/>
      <c r="Z5685" s="38"/>
    </row>
    <row r="5686" spans="12:26" x14ac:dyDescent="0.25">
      <c r="L5686" s="38"/>
      <c r="Z5686" s="38"/>
    </row>
    <row r="5687" spans="12:26" x14ac:dyDescent="0.25">
      <c r="L5687" s="38"/>
      <c r="Z5687" s="38"/>
    </row>
    <row r="5688" spans="12:26" x14ac:dyDescent="0.25">
      <c r="L5688" s="38"/>
      <c r="Z5688" s="38"/>
    </row>
    <row r="5689" spans="12:26" x14ac:dyDescent="0.25">
      <c r="L5689" s="38"/>
      <c r="Z5689" s="38"/>
    </row>
    <row r="5690" spans="12:26" x14ac:dyDescent="0.25">
      <c r="L5690" s="38"/>
      <c r="Z5690" s="38"/>
    </row>
    <row r="5691" spans="12:26" x14ac:dyDescent="0.25">
      <c r="L5691" s="38"/>
      <c r="Z5691" s="38"/>
    </row>
    <row r="5692" spans="12:26" x14ac:dyDescent="0.25">
      <c r="L5692" s="38"/>
      <c r="Z5692" s="38"/>
    </row>
    <row r="5693" spans="12:26" x14ac:dyDescent="0.25">
      <c r="L5693" s="38"/>
      <c r="Z5693" s="38"/>
    </row>
    <row r="5694" spans="12:26" x14ac:dyDescent="0.25">
      <c r="L5694" s="38"/>
      <c r="Z5694" s="38"/>
    </row>
    <row r="5695" spans="12:26" x14ac:dyDescent="0.25">
      <c r="L5695" s="38"/>
      <c r="Z5695" s="38"/>
    </row>
    <row r="5696" spans="12:26" x14ac:dyDescent="0.25">
      <c r="L5696" s="38"/>
      <c r="Z5696" s="38"/>
    </row>
    <row r="5697" spans="12:26" x14ac:dyDescent="0.25">
      <c r="L5697" s="38"/>
      <c r="Z5697" s="38"/>
    </row>
    <row r="5698" spans="12:26" x14ac:dyDescent="0.25">
      <c r="L5698" s="38"/>
      <c r="Z5698" s="38"/>
    </row>
    <row r="5699" spans="12:26" x14ac:dyDescent="0.25">
      <c r="L5699" s="38"/>
      <c r="Z5699" s="38"/>
    </row>
    <row r="5700" spans="12:26" x14ac:dyDescent="0.25">
      <c r="L5700" s="38"/>
      <c r="Z5700" s="38"/>
    </row>
    <row r="5701" spans="12:26" x14ac:dyDescent="0.25">
      <c r="L5701" s="38"/>
      <c r="Z5701" s="38"/>
    </row>
    <row r="5702" spans="12:26" x14ac:dyDescent="0.25">
      <c r="L5702" s="38"/>
      <c r="Z5702" s="38"/>
    </row>
    <row r="5703" spans="12:26" x14ac:dyDescent="0.25">
      <c r="L5703" s="38"/>
      <c r="Z5703" s="38"/>
    </row>
    <row r="5704" spans="12:26" x14ac:dyDescent="0.25">
      <c r="L5704" s="38"/>
      <c r="Z5704" s="38"/>
    </row>
    <row r="5705" spans="12:26" x14ac:dyDescent="0.25">
      <c r="L5705" s="38"/>
      <c r="Z5705" s="38"/>
    </row>
    <row r="5706" spans="12:26" x14ac:dyDescent="0.25">
      <c r="L5706" s="38"/>
      <c r="Z5706" s="38"/>
    </row>
    <row r="5707" spans="12:26" x14ac:dyDescent="0.25">
      <c r="L5707" s="38"/>
      <c r="Z5707" s="38"/>
    </row>
    <row r="5708" spans="12:26" x14ac:dyDescent="0.25">
      <c r="L5708" s="38"/>
      <c r="Z5708" s="38"/>
    </row>
    <row r="5709" spans="12:26" x14ac:dyDescent="0.25">
      <c r="L5709" s="38"/>
      <c r="Z5709" s="38"/>
    </row>
    <row r="5710" spans="12:26" x14ac:dyDescent="0.25">
      <c r="L5710" s="38"/>
      <c r="Z5710" s="38"/>
    </row>
    <row r="5711" spans="12:26" x14ac:dyDescent="0.25">
      <c r="L5711" s="38"/>
      <c r="Z5711" s="38"/>
    </row>
    <row r="5712" spans="12:26" x14ac:dyDescent="0.25">
      <c r="L5712" s="38"/>
      <c r="Z5712" s="38"/>
    </row>
    <row r="5713" spans="12:26" x14ac:dyDescent="0.25">
      <c r="L5713" s="38"/>
      <c r="Z5713" s="38"/>
    </row>
    <row r="5714" spans="12:26" x14ac:dyDescent="0.25">
      <c r="L5714" s="38"/>
      <c r="Z5714" s="38"/>
    </row>
    <row r="5715" spans="12:26" x14ac:dyDescent="0.25">
      <c r="L5715" s="38"/>
      <c r="Z5715" s="38"/>
    </row>
    <row r="5716" spans="12:26" x14ac:dyDescent="0.25">
      <c r="L5716" s="38"/>
      <c r="Z5716" s="38"/>
    </row>
    <row r="5717" spans="12:26" x14ac:dyDescent="0.25">
      <c r="L5717" s="38"/>
      <c r="Z5717" s="38"/>
    </row>
    <row r="5718" spans="12:26" x14ac:dyDescent="0.25">
      <c r="L5718" s="38"/>
      <c r="Z5718" s="38"/>
    </row>
    <row r="5719" spans="12:26" x14ac:dyDescent="0.25">
      <c r="L5719" s="38"/>
      <c r="Z5719" s="38"/>
    </row>
    <row r="5720" spans="12:26" x14ac:dyDescent="0.25">
      <c r="L5720" s="38"/>
      <c r="Z5720" s="38"/>
    </row>
    <row r="5721" spans="12:26" x14ac:dyDescent="0.25">
      <c r="L5721" s="38"/>
      <c r="Z5721" s="38"/>
    </row>
    <row r="5722" spans="12:26" x14ac:dyDescent="0.25">
      <c r="L5722" s="38"/>
      <c r="Z5722" s="38"/>
    </row>
    <row r="5723" spans="12:26" x14ac:dyDescent="0.25">
      <c r="L5723" s="38"/>
      <c r="Z5723" s="38"/>
    </row>
    <row r="5724" spans="12:26" x14ac:dyDescent="0.25">
      <c r="L5724" s="38"/>
      <c r="Z5724" s="38"/>
    </row>
    <row r="5725" spans="12:26" x14ac:dyDescent="0.25">
      <c r="L5725" s="38"/>
      <c r="Z5725" s="38"/>
    </row>
    <row r="5726" spans="12:26" x14ac:dyDescent="0.25">
      <c r="L5726" s="38"/>
      <c r="Z5726" s="38"/>
    </row>
    <row r="5727" spans="12:26" x14ac:dyDescent="0.25">
      <c r="L5727" s="38"/>
      <c r="Z5727" s="38"/>
    </row>
    <row r="5728" spans="12:26" x14ac:dyDescent="0.25">
      <c r="L5728" s="38"/>
      <c r="Z5728" s="38"/>
    </row>
    <row r="5729" spans="12:26" x14ac:dyDescent="0.25">
      <c r="L5729" s="38"/>
      <c r="Z5729" s="38"/>
    </row>
    <row r="5730" spans="12:26" x14ac:dyDescent="0.25">
      <c r="L5730" s="38"/>
      <c r="Z5730" s="38"/>
    </row>
    <row r="5731" spans="12:26" x14ac:dyDescent="0.25">
      <c r="L5731" s="38"/>
      <c r="Z5731" s="38"/>
    </row>
    <row r="5732" spans="12:26" x14ac:dyDescent="0.25">
      <c r="L5732" s="38"/>
      <c r="Z5732" s="38"/>
    </row>
    <row r="5733" spans="12:26" x14ac:dyDescent="0.25">
      <c r="L5733" s="38"/>
      <c r="Z5733" s="38"/>
    </row>
    <row r="5734" spans="12:26" x14ac:dyDescent="0.25">
      <c r="L5734" s="38"/>
      <c r="Z5734" s="38"/>
    </row>
    <row r="5735" spans="12:26" x14ac:dyDescent="0.25">
      <c r="L5735" s="38"/>
      <c r="Z5735" s="38"/>
    </row>
    <row r="5736" spans="12:26" x14ac:dyDescent="0.25">
      <c r="L5736" s="38"/>
      <c r="Z5736" s="38"/>
    </row>
    <row r="5737" spans="12:26" x14ac:dyDescent="0.25">
      <c r="L5737" s="38"/>
      <c r="Z5737" s="38"/>
    </row>
    <row r="5738" spans="12:26" x14ac:dyDescent="0.25">
      <c r="L5738" s="38"/>
      <c r="Z5738" s="38"/>
    </row>
    <row r="5739" spans="12:26" x14ac:dyDescent="0.25">
      <c r="L5739" s="38"/>
      <c r="Z5739" s="38"/>
    </row>
    <row r="5740" spans="12:26" x14ac:dyDescent="0.25">
      <c r="L5740" s="38"/>
      <c r="Z5740" s="38"/>
    </row>
    <row r="5741" spans="12:26" x14ac:dyDescent="0.25">
      <c r="L5741" s="38"/>
      <c r="Z5741" s="38"/>
    </row>
    <row r="5742" spans="12:26" x14ac:dyDescent="0.25">
      <c r="L5742" s="38"/>
      <c r="Z5742" s="38"/>
    </row>
    <row r="5743" spans="12:26" x14ac:dyDescent="0.25">
      <c r="L5743" s="38"/>
      <c r="Z5743" s="38"/>
    </row>
    <row r="5744" spans="12:26" x14ac:dyDescent="0.25">
      <c r="L5744" s="38"/>
      <c r="Z5744" s="38"/>
    </row>
    <row r="5745" spans="12:26" x14ac:dyDescent="0.25">
      <c r="L5745" s="38"/>
      <c r="Z5745" s="38"/>
    </row>
    <row r="5746" spans="12:26" x14ac:dyDescent="0.25">
      <c r="L5746" s="38"/>
      <c r="Z5746" s="38"/>
    </row>
    <row r="5747" spans="12:26" x14ac:dyDescent="0.25">
      <c r="L5747" s="38"/>
      <c r="Z5747" s="38"/>
    </row>
    <row r="5748" spans="12:26" x14ac:dyDescent="0.25">
      <c r="L5748" s="38"/>
      <c r="Z5748" s="38"/>
    </row>
    <row r="5749" spans="12:26" x14ac:dyDescent="0.25">
      <c r="L5749" s="38"/>
      <c r="Z5749" s="38"/>
    </row>
    <row r="5750" spans="12:26" x14ac:dyDescent="0.25">
      <c r="L5750" s="38"/>
      <c r="Z5750" s="38"/>
    </row>
    <row r="5751" spans="12:26" x14ac:dyDescent="0.25">
      <c r="L5751" s="38"/>
      <c r="Z5751" s="38"/>
    </row>
    <row r="5752" spans="12:26" x14ac:dyDescent="0.25">
      <c r="L5752" s="38"/>
      <c r="Z5752" s="38"/>
    </row>
    <row r="5753" spans="12:26" x14ac:dyDescent="0.25">
      <c r="L5753" s="38"/>
      <c r="Z5753" s="38"/>
    </row>
    <row r="5754" spans="12:26" x14ac:dyDescent="0.25">
      <c r="L5754" s="38"/>
      <c r="Z5754" s="38"/>
    </row>
    <row r="5755" spans="12:26" x14ac:dyDescent="0.25">
      <c r="L5755" s="38"/>
      <c r="Z5755" s="38"/>
    </row>
    <row r="5756" spans="12:26" x14ac:dyDescent="0.25">
      <c r="L5756" s="38"/>
      <c r="Z5756" s="38"/>
    </row>
    <row r="5757" spans="12:26" x14ac:dyDescent="0.25">
      <c r="L5757" s="38"/>
      <c r="Z5757" s="38"/>
    </row>
    <row r="5758" spans="12:26" x14ac:dyDescent="0.25">
      <c r="L5758" s="38"/>
      <c r="Z5758" s="38"/>
    </row>
    <row r="5759" spans="12:26" x14ac:dyDescent="0.25">
      <c r="L5759" s="38"/>
      <c r="Z5759" s="38"/>
    </row>
    <row r="5760" spans="12:26" x14ac:dyDescent="0.25">
      <c r="L5760" s="38"/>
      <c r="Z5760" s="38"/>
    </row>
    <row r="5761" spans="12:26" x14ac:dyDescent="0.25">
      <c r="L5761" s="38"/>
      <c r="Z5761" s="38"/>
    </row>
    <row r="5762" spans="12:26" x14ac:dyDescent="0.25">
      <c r="L5762" s="38"/>
      <c r="Z5762" s="38"/>
    </row>
    <row r="5763" spans="12:26" x14ac:dyDescent="0.25">
      <c r="L5763" s="38"/>
      <c r="Z5763" s="38"/>
    </row>
    <row r="5764" spans="12:26" x14ac:dyDescent="0.25">
      <c r="L5764" s="38"/>
      <c r="Z5764" s="38"/>
    </row>
    <row r="5765" spans="12:26" x14ac:dyDescent="0.25">
      <c r="L5765" s="38"/>
      <c r="Z5765" s="38"/>
    </row>
    <row r="5766" spans="12:26" x14ac:dyDescent="0.25">
      <c r="L5766" s="38"/>
      <c r="Z5766" s="38"/>
    </row>
    <row r="5767" spans="12:26" x14ac:dyDescent="0.25">
      <c r="L5767" s="38"/>
      <c r="Z5767" s="38"/>
    </row>
    <row r="5768" spans="12:26" x14ac:dyDescent="0.25">
      <c r="L5768" s="38"/>
      <c r="Z5768" s="38"/>
    </row>
    <row r="5769" spans="12:26" x14ac:dyDescent="0.25">
      <c r="L5769" s="38"/>
      <c r="Z5769" s="38"/>
    </row>
    <row r="5770" spans="12:26" x14ac:dyDescent="0.25">
      <c r="L5770" s="38"/>
      <c r="Z5770" s="38"/>
    </row>
    <row r="5771" spans="12:26" x14ac:dyDescent="0.25">
      <c r="L5771" s="38"/>
      <c r="Z5771" s="38"/>
    </row>
    <row r="5772" spans="12:26" x14ac:dyDescent="0.25">
      <c r="L5772" s="38"/>
      <c r="Z5772" s="38"/>
    </row>
    <row r="5773" spans="12:26" x14ac:dyDescent="0.25">
      <c r="L5773" s="38"/>
      <c r="Z5773" s="38"/>
    </row>
    <row r="5774" spans="12:26" x14ac:dyDescent="0.25">
      <c r="L5774" s="38"/>
      <c r="Z5774" s="38"/>
    </row>
    <row r="5775" spans="12:26" x14ac:dyDescent="0.25">
      <c r="L5775" s="38"/>
      <c r="Z5775" s="38"/>
    </row>
    <row r="5776" spans="12:26" x14ac:dyDescent="0.25">
      <c r="L5776" s="38"/>
      <c r="Z5776" s="38"/>
    </row>
    <row r="5777" spans="12:26" x14ac:dyDescent="0.25">
      <c r="L5777" s="38"/>
      <c r="Z5777" s="38"/>
    </row>
    <row r="5778" spans="12:26" x14ac:dyDescent="0.25">
      <c r="L5778" s="38"/>
      <c r="Z5778" s="38"/>
    </row>
    <row r="5779" spans="12:26" x14ac:dyDescent="0.25">
      <c r="L5779" s="38"/>
      <c r="Z5779" s="38"/>
    </row>
    <row r="5780" spans="12:26" x14ac:dyDescent="0.25">
      <c r="L5780" s="38"/>
      <c r="Z5780" s="38"/>
    </row>
    <row r="5781" spans="12:26" x14ac:dyDescent="0.25">
      <c r="L5781" s="38"/>
      <c r="Z5781" s="38"/>
    </row>
    <row r="5782" spans="12:26" x14ac:dyDescent="0.25">
      <c r="L5782" s="38"/>
      <c r="Z5782" s="38"/>
    </row>
    <row r="5783" spans="12:26" x14ac:dyDescent="0.25">
      <c r="L5783" s="38"/>
      <c r="Z5783" s="38"/>
    </row>
    <row r="5784" spans="12:26" x14ac:dyDescent="0.25">
      <c r="L5784" s="38"/>
      <c r="Z5784" s="38"/>
    </row>
    <row r="5785" spans="12:26" x14ac:dyDescent="0.25">
      <c r="L5785" s="38"/>
      <c r="Z5785" s="38"/>
    </row>
    <row r="5786" spans="12:26" x14ac:dyDescent="0.25">
      <c r="L5786" s="38"/>
      <c r="Z5786" s="38"/>
    </row>
    <row r="5787" spans="12:26" x14ac:dyDescent="0.25">
      <c r="L5787" s="38"/>
      <c r="Z5787" s="38"/>
    </row>
    <row r="5788" spans="12:26" x14ac:dyDescent="0.25">
      <c r="L5788" s="38"/>
      <c r="Z5788" s="38"/>
    </row>
    <row r="5789" spans="12:26" x14ac:dyDescent="0.25">
      <c r="L5789" s="38"/>
      <c r="Z5789" s="38"/>
    </row>
    <row r="5790" spans="12:26" x14ac:dyDescent="0.25">
      <c r="L5790" s="38"/>
      <c r="Z5790" s="38"/>
    </row>
    <row r="5791" spans="12:26" x14ac:dyDescent="0.25">
      <c r="L5791" s="38"/>
      <c r="Z5791" s="38"/>
    </row>
    <row r="5792" spans="12:26" x14ac:dyDescent="0.25">
      <c r="L5792" s="38"/>
      <c r="Z5792" s="38"/>
    </row>
    <row r="5793" spans="12:26" x14ac:dyDescent="0.25">
      <c r="L5793" s="38"/>
      <c r="Z5793" s="38"/>
    </row>
    <row r="5794" spans="12:26" x14ac:dyDescent="0.25">
      <c r="L5794" s="38"/>
      <c r="Z5794" s="38"/>
    </row>
    <row r="5795" spans="12:26" x14ac:dyDescent="0.25">
      <c r="L5795" s="38"/>
      <c r="Z5795" s="38"/>
    </row>
    <row r="5796" spans="12:26" x14ac:dyDescent="0.25">
      <c r="L5796" s="38"/>
      <c r="Z5796" s="38"/>
    </row>
    <row r="5797" spans="12:26" x14ac:dyDescent="0.25">
      <c r="L5797" s="38"/>
      <c r="Z5797" s="38"/>
    </row>
    <row r="5798" spans="12:26" x14ac:dyDescent="0.25">
      <c r="L5798" s="38"/>
      <c r="Z5798" s="38"/>
    </row>
    <row r="5799" spans="12:26" x14ac:dyDescent="0.25">
      <c r="L5799" s="38"/>
      <c r="Z5799" s="38"/>
    </row>
    <row r="5800" spans="12:26" x14ac:dyDescent="0.25">
      <c r="L5800" s="38"/>
      <c r="Z5800" s="38"/>
    </row>
    <row r="5801" spans="12:26" x14ac:dyDescent="0.25">
      <c r="L5801" s="38"/>
      <c r="Z5801" s="38"/>
    </row>
    <row r="5802" spans="12:26" x14ac:dyDescent="0.25">
      <c r="L5802" s="38"/>
      <c r="Z5802" s="38"/>
    </row>
    <row r="5803" spans="12:26" x14ac:dyDescent="0.25">
      <c r="L5803" s="38"/>
      <c r="Z5803" s="38"/>
    </row>
    <row r="5804" spans="12:26" x14ac:dyDescent="0.25">
      <c r="L5804" s="38"/>
      <c r="Z5804" s="38"/>
    </row>
    <row r="5805" spans="12:26" x14ac:dyDescent="0.25">
      <c r="L5805" s="38"/>
      <c r="Z5805" s="38"/>
    </row>
    <row r="5806" spans="12:26" x14ac:dyDescent="0.25">
      <c r="L5806" s="38"/>
      <c r="Z5806" s="38"/>
    </row>
    <row r="5807" spans="12:26" x14ac:dyDescent="0.25">
      <c r="L5807" s="38"/>
      <c r="Z5807" s="38"/>
    </row>
    <row r="5808" spans="12:26" x14ac:dyDescent="0.25">
      <c r="L5808" s="38"/>
      <c r="Z5808" s="38"/>
    </row>
    <row r="5809" spans="12:26" x14ac:dyDescent="0.25">
      <c r="L5809" s="38"/>
      <c r="Z5809" s="38"/>
    </row>
    <row r="5810" spans="12:26" x14ac:dyDescent="0.25">
      <c r="L5810" s="38"/>
      <c r="Z5810" s="38"/>
    </row>
    <row r="5811" spans="12:26" x14ac:dyDescent="0.25">
      <c r="L5811" s="38"/>
      <c r="Z5811" s="38"/>
    </row>
    <row r="5812" spans="12:26" x14ac:dyDescent="0.25">
      <c r="L5812" s="38"/>
      <c r="Z5812" s="38"/>
    </row>
    <row r="5813" spans="12:26" x14ac:dyDescent="0.25">
      <c r="L5813" s="38"/>
      <c r="Z5813" s="38"/>
    </row>
    <row r="5814" spans="12:26" x14ac:dyDescent="0.25">
      <c r="L5814" s="38"/>
      <c r="Z5814" s="38"/>
    </row>
    <row r="5815" spans="12:26" x14ac:dyDescent="0.25">
      <c r="L5815" s="38"/>
      <c r="Z5815" s="38"/>
    </row>
    <row r="5816" spans="12:26" x14ac:dyDescent="0.25">
      <c r="L5816" s="38"/>
      <c r="Z5816" s="38"/>
    </row>
    <row r="5817" spans="12:26" x14ac:dyDescent="0.25">
      <c r="L5817" s="38"/>
      <c r="Z5817" s="38"/>
    </row>
    <row r="5818" spans="12:26" x14ac:dyDescent="0.25">
      <c r="L5818" s="38"/>
      <c r="Z5818" s="38"/>
    </row>
    <row r="5819" spans="12:26" x14ac:dyDescent="0.25">
      <c r="L5819" s="38"/>
      <c r="Z5819" s="38"/>
    </row>
    <row r="5820" spans="12:26" x14ac:dyDescent="0.25">
      <c r="L5820" s="38"/>
      <c r="Z5820" s="38"/>
    </row>
    <row r="5821" spans="12:26" x14ac:dyDescent="0.25">
      <c r="L5821" s="38"/>
      <c r="Z5821" s="38"/>
    </row>
    <row r="5822" spans="12:26" x14ac:dyDescent="0.25">
      <c r="L5822" s="38"/>
      <c r="Z5822" s="38"/>
    </row>
    <row r="5823" spans="12:26" x14ac:dyDescent="0.25">
      <c r="L5823" s="38"/>
      <c r="Z5823" s="38"/>
    </row>
    <row r="5824" spans="12:26" x14ac:dyDescent="0.25">
      <c r="L5824" s="38"/>
      <c r="Z5824" s="38"/>
    </row>
    <row r="5825" spans="12:26" x14ac:dyDescent="0.25">
      <c r="L5825" s="38"/>
      <c r="Z5825" s="38"/>
    </row>
    <row r="5826" spans="12:26" x14ac:dyDescent="0.25">
      <c r="L5826" s="38"/>
      <c r="Z5826" s="38"/>
    </row>
    <row r="5827" spans="12:26" x14ac:dyDescent="0.25">
      <c r="L5827" s="38"/>
      <c r="Z5827" s="38"/>
    </row>
    <row r="5828" spans="12:26" x14ac:dyDescent="0.25">
      <c r="L5828" s="38"/>
      <c r="Z5828" s="38"/>
    </row>
    <row r="5829" spans="12:26" x14ac:dyDescent="0.25">
      <c r="L5829" s="38"/>
      <c r="Z5829" s="38"/>
    </row>
    <row r="5830" spans="12:26" x14ac:dyDescent="0.25">
      <c r="L5830" s="38"/>
      <c r="Z5830" s="38"/>
    </row>
    <row r="5831" spans="12:26" x14ac:dyDescent="0.25">
      <c r="L5831" s="38"/>
      <c r="Z5831" s="38"/>
    </row>
    <row r="5832" spans="12:26" x14ac:dyDescent="0.25">
      <c r="L5832" s="38"/>
      <c r="Z5832" s="38"/>
    </row>
    <row r="5833" spans="12:26" x14ac:dyDescent="0.25">
      <c r="L5833" s="38"/>
      <c r="Z5833" s="38"/>
    </row>
    <row r="5834" spans="12:26" x14ac:dyDescent="0.25">
      <c r="L5834" s="38"/>
      <c r="Z5834" s="38"/>
    </row>
    <row r="5835" spans="12:26" x14ac:dyDescent="0.25">
      <c r="L5835" s="38"/>
      <c r="Z5835" s="38"/>
    </row>
    <row r="5836" spans="12:26" x14ac:dyDescent="0.25">
      <c r="L5836" s="38"/>
      <c r="Z5836" s="38"/>
    </row>
    <row r="5837" spans="12:26" x14ac:dyDescent="0.25">
      <c r="L5837" s="38"/>
      <c r="Z5837" s="38"/>
    </row>
    <row r="5838" spans="12:26" x14ac:dyDescent="0.25">
      <c r="L5838" s="38"/>
      <c r="Z5838" s="38"/>
    </row>
    <row r="5839" spans="12:26" x14ac:dyDescent="0.25">
      <c r="L5839" s="38"/>
      <c r="Z5839" s="38"/>
    </row>
    <row r="5840" spans="12:26" x14ac:dyDescent="0.25">
      <c r="L5840" s="38"/>
      <c r="Z5840" s="38"/>
    </row>
    <row r="5841" spans="12:26" x14ac:dyDescent="0.25">
      <c r="L5841" s="38"/>
      <c r="Z5841" s="38"/>
    </row>
    <row r="5842" spans="12:26" x14ac:dyDescent="0.25">
      <c r="L5842" s="38"/>
      <c r="Z5842" s="38"/>
    </row>
    <row r="5843" spans="12:26" x14ac:dyDescent="0.25">
      <c r="L5843" s="38"/>
      <c r="Z5843" s="38"/>
    </row>
    <row r="5844" spans="12:26" x14ac:dyDescent="0.25">
      <c r="L5844" s="38"/>
      <c r="Z5844" s="38"/>
    </row>
    <row r="5845" spans="12:26" x14ac:dyDescent="0.25">
      <c r="L5845" s="38"/>
      <c r="Z5845" s="38"/>
    </row>
    <row r="5846" spans="12:26" x14ac:dyDescent="0.25">
      <c r="L5846" s="38"/>
      <c r="Z5846" s="38"/>
    </row>
    <row r="5847" spans="12:26" x14ac:dyDescent="0.25">
      <c r="L5847" s="38"/>
      <c r="Z5847" s="38"/>
    </row>
    <row r="5848" spans="12:26" x14ac:dyDescent="0.25">
      <c r="L5848" s="38"/>
      <c r="Z5848" s="38"/>
    </row>
    <row r="5849" spans="12:26" x14ac:dyDescent="0.25">
      <c r="L5849" s="38"/>
      <c r="Z5849" s="38"/>
    </row>
    <row r="5850" spans="12:26" x14ac:dyDescent="0.25">
      <c r="L5850" s="38"/>
      <c r="Z5850" s="38"/>
    </row>
    <row r="5851" spans="12:26" x14ac:dyDescent="0.25">
      <c r="L5851" s="38"/>
      <c r="Z5851" s="38"/>
    </row>
    <row r="5852" spans="12:26" x14ac:dyDescent="0.25">
      <c r="L5852" s="38"/>
      <c r="Z5852" s="38"/>
    </row>
    <row r="5853" spans="12:26" x14ac:dyDescent="0.25">
      <c r="L5853" s="38"/>
      <c r="Z5853" s="38"/>
    </row>
    <row r="5854" spans="12:26" x14ac:dyDescent="0.25">
      <c r="L5854" s="38"/>
      <c r="Z5854" s="38"/>
    </row>
    <row r="5855" spans="12:26" x14ac:dyDescent="0.25">
      <c r="L5855" s="38"/>
      <c r="Z5855" s="38"/>
    </row>
    <row r="5856" spans="12:26" x14ac:dyDescent="0.25">
      <c r="L5856" s="38"/>
      <c r="Z5856" s="38"/>
    </row>
    <row r="5857" spans="12:26" x14ac:dyDescent="0.25">
      <c r="L5857" s="38"/>
      <c r="Z5857" s="38"/>
    </row>
    <row r="5858" spans="12:26" x14ac:dyDescent="0.25">
      <c r="L5858" s="38"/>
      <c r="Z5858" s="38"/>
    </row>
    <row r="5859" spans="12:26" x14ac:dyDescent="0.25">
      <c r="L5859" s="38"/>
      <c r="Z5859" s="38"/>
    </row>
    <row r="5860" spans="12:26" x14ac:dyDescent="0.25">
      <c r="L5860" s="38"/>
      <c r="Z5860" s="38"/>
    </row>
    <row r="5861" spans="12:26" x14ac:dyDescent="0.25">
      <c r="L5861" s="38"/>
      <c r="Z5861" s="38"/>
    </row>
    <row r="5862" spans="12:26" x14ac:dyDescent="0.25">
      <c r="L5862" s="38"/>
      <c r="Z5862" s="38"/>
    </row>
    <row r="5863" spans="12:26" x14ac:dyDescent="0.25">
      <c r="L5863" s="38"/>
      <c r="Z5863" s="38"/>
    </row>
    <row r="5864" spans="12:26" x14ac:dyDescent="0.25">
      <c r="L5864" s="38"/>
      <c r="Z5864" s="38"/>
    </row>
    <row r="5865" spans="12:26" x14ac:dyDescent="0.25">
      <c r="L5865" s="38"/>
      <c r="Z5865" s="38"/>
    </row>
    <row r="5866" spans="12:26" x14ac:dyDescent="0.25">
      <c r="L5866" s="38"/>
      <c r="Z5866" s="38"/>
    </row>
    <row r="5867" spans="12:26" x14ac:dyDescent="0.25">
      <c r="L5867" s="38"/>
      <c r="Z5867" s="38"/>
    </row>
    <row r="5868" spans="12:26" x14ac:dyDescent="0.25">
      <c r="L5868" s="38"/>
      <c r="Z5868" s="38"/>
    </row>
    <row r="5869" spans="12:26" x14ac:dyDescent="0.25">
      <c r="L5869" s="38"/>
      <c r="Z5869" s="38"/>
    </row>
    <row r="5870" spans="12:26" x14ac:dyDescent="0.25">
      <c r="L5870" s="38"/>
      <c r="Z5870" s="38"/>
    </row>
    <row r="5871" spans="12:26" x14ac:dyDescent="0.25">
      <c r="L5871" s="38"/>
      <c r="Z5871" s="38"/>
    </row>
    <row r="5872" spans="12:26" x14ac:dyDescent="0.25">
      <c r="L5872" s="38"/>
      <c r="Z5872" s="38"/>
    </row>
    <row r="5873" spans="12:26" x14ac:dyDescent="0.25">
      <c r="L5873" s="38"/>
      <c r="Z5873" s="38"/>
    </row>
    <row r="5874" spans="12:26" x14ac:dyDescent="0.25">
      <c r="L5874" s="38"/>
      <c r="Z5874" s="38"/>
    </row>
    <row r="5875" spans="12:26" x14ac:dyDescent="0.25">
      <c r="L5875" s="38"/>
      <c r="Z5875" s="38"/>
    </row>
    <row r="5876" spans="12:26" x14ac:dyDescent="0.25">
      <c r="L5876" s="38"/>
      <c r="Z5876" s="38"/>
    </row>
    <row r="5877" spans="12:26" x14ac:dyDescent="0.25">
      <c r="L5877" s="38"/>
      <c r="Z5877" s="38"/>
    </row>
    <row r="5878" spans="12:26" x14ac:dyDescent="0.25">
      <c r="L5878" s="38"/>
      <c r="Z5878" s="38"/>
    </row>
    <row r="5879" spans="12:26" x14ac:dyDescent="0.25">
      <c r="L5879" s="38"/>
      <c r="Z5879" s="38"/>
    </row>
    <row r="5880" spans="12:26" x14ac:dyDescent="0.25">
      <c r="L5880" s="38"/>
      <c r="Z5880" s="38"/>
    </row>
    <row r="5881" spans="12:26" x14ac:dyDescent="0.25">
      <c r="L5881" s="38"/>
      <c r="Z5881" s="38"/>
    </row>
    <row r="5882" spans="12:26" x14ac:dyDescent="0.25">
      <c r="L5882" s="38"/>
      <c r="Z5882" s="38"/>
    </row>
    <row r="5883" spans="12:26" x14ac:dyDescent="0.25">
      <c r="L5883" s="38"/>
      <c r="Z5883" s="38"/>
    </row>
    <row r="5884" spans="12:26" x14ac:dyDescent="0.25">
      <c r="L5884" s="38"/>
      <c r="Z5884" s="38"/>
    </row>
    <row r="5885" spans="12:26" x14ac:dyDescent="0.25">
      <c r="L5885" s="38"/>
      <c r="Z5885" s="38"/>
    </row>
    <row r="5886" spans="12:26" x14ac:dyDescent="0.25">
      <c r="L5886" s="38"/>
      <c r="Z5886" s="38"/>
    </row>
    <row r="5887" spans="12:26" x14ac:dyDescent="0.25">
      <c r="L5887" s="38"/>
      <c r="Z5887" s="38"/>
    </row>
    <row r="5888" spans="12:26" x14ac:dyDescent="0.25">
      <c r="L5888" s="38"/>
      <c r="Z5888" s="38"/>
    </row>
    <row r="5889" spans="12:26" x14ac:dyDescent="0.25">
      <c r="L5889" s="38"/>
      <c r="Z5889" s="38"/>
    </row>
    <row r="5890" spans="12:26" x14ac:dyDescent="0.25">
      <c r="L5890" s="38"/>
      <c r="Z5890" s="38"/>
    </row>
    <row r="5891" spans="12:26" x14ac:dyDescent="0.25">
      <c r="L5891" s="38"/>
      <c r="Z5891" s="38"/>
    </row>
    <row r="5892" spans="12:26" x14ac:dyDescent="0.25">
      <c r="L5892" s="38"/>
      <c r="Z5892" s="38"/>
    </row>
    <row r="5893" spans="12:26" x14ac:dyDescent="0.25">
      <c r="L5893" s="38"/>
      <c r="Z5893" s="38"/>
    </row>
    <row r="5894" spans="12:26" x14ac:dyDescent="0.25">
      <c r="L5894" s="38"/>
      <c r="Z5894" s="38"/>
    </row>
    <row r="5895" spans="12:26" x14ac:dyDescent="0.25">
      <c r="L5895" s="38"/>
      <c r="Z5895" s="38"/>
    </row>
    <row r="5896" spans="12:26" x14ac:dyDescent="0.25">
      <c r="L5896" s="38"/>
      <c r="Z5896" s="38"/>
    </row>
    <row r="5897" spans="12:26" x14ac:dyDescent="0.25">
      <c r="L5897" s="38"/>
      <c r="Z5897" s="38"/>
    </row>
    <row r="5898" spans="12:26" x14ac:dyDescent="0.25">
      <c r="L5898" s="38"/>
      <c r="Z5898" s="38"/>
    </row>
    <row r="5899" spans="12:26" x14ac:dyDescent="0.25">
      <c r="L5899" s="38"/>
      <c r="Z5899" s="38"/>
    </row>
    <row r="5900" spans="12:26" x14ac:dyDescent="0.25">
      <c r="L5900" s="38"/>
      <c r="Z5900" s="38"/>
    </row>
    <row r="5901" spans="12:26" x14ac:dyDescent="0.25">
      <c r="L5901" s="38"/>
      <c r="Z5901" s="38"/>
    </row>
    <row r="5902" spans="12:26" x14ac:dyDescent="0.25">
      <c r="L5902" s="38"/>
      <c r="Z5902" s="38"/>
    </row>
    <row r="5903" spans="12:26" x14ac:dyDescent="0.25">
      <c r="L5903" s="38"/>
      <c r="Z5903" s="38"/>
    </row>
    <row r="5904" spans="12:26" x14ac:dyDescent="0.25">
      <c r="L5904" s="38"/>
      <c r="Z5904" s="38"/>
    </row>
    <row r="5905" spans="12:26" x14ac:dyDescent="0.25">
      <c r="L5905" s="38"/>
      <c r="Z5905" s="38"/>
    </row>
    <row r="5906" spans="12:26" x14ac:dyDescent="0.25">
      <c r="L5906" s="38"/>
      <c r="Z5906" s="38"/>
    </row>
    <row r="5907" spans="12:26" x14ac:dyDescent="0.25">
      <c r="L5907" s="38"/>
      <c r="Z5907" s="38"/>
    </row>
    <row r="5908" spans="12:26" x14ac:dyDescent="0.25">
      <c r="L5908" s="38"/>
      <c r="Z5908" s="38"/>
    </row>
    <row r="5909" spans="12:26" x14ac:dyDescent="0.25">
      <c r="L5909" s="38"/>
      <c r="Z5909" s="38"/>
    </row>
    <row r="5910" spans="12:26" x14ac:dyDescent="0.25">
      <c r="L5910" s="38"/>
      <c r="Z5910" s="38"/>
    </row>
    <row r="5911" spans="12:26" x14ac:dyDescent="0.25">
      <c r="L5911" s="38"/>
      <c r="Z5911" s="38"/>
    </row>
    <row r="5912" spans="12:26" x14ac:dyDescent="0.25">
      <c r="L5912" s="38"/>
      <c r="Z5912" s="38"/>
    </row>
    <row r="5913" spans="12:26" x14ac:dyDescent="0.25">
      <c r="L5913" s="38"/>
      <c r="Z5913" s="38"/>
    </row>
    <row r="5914" spans="12:26" x14ac:dyDescent="0.25">
      <c r="L5914" s="38"/>
      <c r="Z5914" s="38"/>
    </row>
    <row r="5915" spans="12:26" x14ac:dyDescent="0.25">
      <c r="L5915" s="38"/>
      <c r="Z5915" s="38"/>
    </row>
    <row r="5916" spans="12:26" x14ac:dyDescent="0.25">
      <c r="L5916" s="38"/>
      <c r="Z5916" s="38"/>
    </row>
    <row r="5917" spans="12:26" x14ac:dyDescent="0.25">
      <c r="L5917" s="38"/>
      <c r="Z5917" s="38"/>
    </row>
    <row r="5918" spans="12:26" x14ac:dyDescent="0.25">
      <c r="L5918" s="38"/>
      <c r="Z5918" s="38"/>
    </row>
    <row r="5919" spans="12:26" x14ac:dyDescent="0.25">
      <c r="L5919" s="38"/>
      <c r="Z5919" s="38"/>
    </row>
    <row r="5920" spans="12:26" x14ac:dyDescent="0.25">
      <c r="L5920" s="38"/>
      <c r="Z5920" s="38"/>
    </row>
    <row r="5921" spans="12:26" x14ac:dyDescent="0.25">
      <c r="L5921" s="38"/>
      <c r="Z5921" s="38"/>
    </row>
    <row r="5922" spans="12:26" x14ac:dyDescent="0.25">
      <c r="L5922" s="38"/>
      <c r="Z5922" s="38"/>
    </row>
    <row r="5923" spans="12:26" x14ac:dyDescent="0.25">
      <c r="L5923" s="38"/>
      <c r="Z5923" s="38"/>
    </row>
    <row r="5924" spans="12:26" x14ac:dyDescent="0.25">
      <c r="L5924" s="38"/>
      <c r="Z5924" s="38"/>
    </row>
    <row r="5925" spans="12:26" x14ac:dyDescent="0.25">
      <c r="L5925" s="38"/>
      <c r="Z5925" s="38"/>
    </row>
    <row r="5926" spans="12:26" x14ac:dyDescent="0.25">
      <c r="L5926" s="38"/>
      <c r="Z5926" s="38"/>
    </row>
    <row r="5927" spans="12:26" x14ac:dyDescent="0.25">
      <c r="L5927" s="38"/>
      <c r="Z5927" s="38"/>
    </row>
    <row r="5928" spans="12:26" x14ac:dyDescent="0.25">
      <c r="L5928" s="38"/>
      <c r="Z5928" s="38"/>
    </row>
    <row r="5929" spans="12:26" x14ac:dyDescent="0.25">
      <c r="L5929" s="38"/>
      <c r="Z5929" s="38"/>
    </row>
    <row r="5930" spans="12:26" x14ac:dyDescent="0.25">
      <c r="L5930" s="38"/>
      <c r="Z5930" s="38"/>
    </row>
    <row r="5931" spans="12:26" x14ac:dyDescent="0.25">
      <c r="L5931" s="38"/>
      <c r="Z5931" s="38"/>
    </row>
    <row r="5932" spans="12:26" x14ac:dyDescent="0.25">
      <c r="L5932" s="38"/>
      <c r="Z5932" s="38"/>
    </row>
    <row r="5933" spans="12:26" x14ac:dyDescent="0.25">
      <c r="L5933" s="38"/>
      <c r="Z5933" s="38"/>
    </row>
    <row r="5934" spans="12:26" x14ac:dyDescent="0.25">
      <c r="L5934" s="38"/>
      <c r="Z5934" s="38"/>
    </row>
    <row r="5935" spans="12:26" x14ac:dyDescent="0.25">
      <c r="L5935" s="38"/>
      <c r="Z5935" s="38"/>
    </row>
    <row r="5936" spans="12:26" x14ac:dyDescent="0.25">
      <c r="L5936" s="38"/>
      <c r="Z5936" s="38"/>
    </row>
    <row r="5937" spans="12:26" x14ac:dyDescent="0.25">
      <c r="L5937" s="38"/>
      <c r="Z5937" s="38"/>
    </row>
    <row r="5938" spans="12:26" x14ac:dyDescent="0.25">
      <c r="L5938" s="38"/>
      <c r="Z5938" s="38"/>
    </row>
    <row r="5939" spans="12:26" x14ac:dyDescent="0.25">
      <c r="L5939" s="38"/>
      <c r="Z5939" s="38"/>
    </row>
    <row r="5940" spans="12:26" x14ac:dyDescent="0.25">
      <c r="L5940" s="38"/>
      <c r="Z5940" s="38"/>
    </row>
    <row r="5941" spans="12:26" x14ac:dyDescent="0.25">
      <c r="L5941" s="38"/>
      <c r="Z5941" s="38"/>
    </row>
    <row r="5942" spans="12:26" x14ac:dyDescent="0.25">
      <c r="L5942" s="38"/>
      <c r="Z5942" s="38"/>
    </row>
    <row r="5943" spans="12:26" x14ac:dyDescent="0.25">
      <c r="L5943" s="38"/>
      <c r="Z5943" s="38"/>
    </row>
    <row r="5944" spans="12:26" x14ac:dyDescent="0.25">
      <c r="L5944" s="38"/>
      <c r="Z5944" s="38"/>
    </row>
    <row r="5945" spans="12:26" x14ac:dyDescent="0.25">
      <c r="L5945" s="38"/>
      <c r="Z5945" s="38"/>
    </row>
    <row r="5946" spans="12:26" x14ac:dyDescent="0.25">
      <c r="L5946" s="38"/>
      <c r="Z5946" s="38"/>
    </row>
    <row r="5947" spans="12:26" x14ac:dyDescent="0.25">
      <c r="L5947" s="38"/>
      <c r="Z5947" s="38"/>
    </row>
    <row r="5948" spans="12:26" x14ac:dyDescent="0.25">
      <c r="L5948" s="38"/>
      <c r="Z5948" s="38"/>
    </row>
    <row r="5949" spans="12:26" x14ac:dyDescent="0.25">
      <c r="L5949" s="38"/>
      <c r="Z5949" s="38"/>
    </row>
    <row r="5950" spans="12:26" x14ac:dyDescent="0.25">
      <c r="L5950" s="38"/>
      <c r="Z5950" s="38"/>
    </row>
    <row r="5951" spans="12:26" x14ac:dyDescent="0.25">
      <c r="L5951" s="38"/>
      <c r="Z5951" s="38"/>
    </row>
    <row r="5952" spans="12:26" x14ac:dyDescent="0.25">
      <c r="L5952" s="38"/>
      <c r="Z5952" s="38"/>
    </row>
    <row r="5953" spans="12:26" x14ac:dyDescent="0.25">
      <c r="L5953" s="38"/>
      <c r="Z5953" s="38"/>
    </row>
    <row r="5954" spans="12:26" x14ac:dyDescent="0.25">
      <c r="L5954" s="38"/>
      <c r="Z5954" s="38"/>
    </row>
    <row r="5955" spans="12:26" x14ac:dyDescent="0.25">
      <c r="L5955" s="38"/>
      <c r="Z5955" s="38"/>
    </row>
    <row r="5956" spans="12:26" x14ac:dyDescent="0.25">
      <c r="L5956" s="38"/>
      <c r="Z5956" s="38"/>
    </row>
    <row r="5957" spans="12:26" x14ac:dyDescent="0.25">
      <c r="L5957" s="38"/>
      <c r="Z5957" s="38"/>
    </row>
    <row r="5958" spans="12:26" x14ac:dyDescent="0.25">
      <c r="L5958" s="38"/>
      <c r="Z5958" s="38"/>
    </row>
    <row r="5959" spans="12:26" x14ac:dyDescent="0.25">
      <c r="L5959" s="38"/>
      <c r="Z5959" s="38"/>
    </row>
    <row r="5960" spans="12:26" x14ac:dyDescent="0.25">
      <c r="L5960" s="38"/>
      <c r="Z5960" s="38"/>
    </row>
    <row r="5961" spans="12:26" x14ac:dyDescent="0.25">
      <c r="L5961" s="38"/>
      <c r="Z5961" s="38"/>
    </row>
    <row r="5962" spans="12:26" x14ac:dyDescent="0.25">
      <c r="L5962" s="38"/>
      <c r="Z5962" s="38"/>
    </row>
    <row r="5963" spans="12:26" x14ac:dyDescent="0.25">
      <c r="L5963" s="38"/>
      <c r="Z5963" s="38"/>
    </row>
    <row r="5964" spans="12:26" x14ac:dyDescent="0.25">
      <c r="L5964" s="38"/>
      <c r="Z5964" s="38"/>
    </row>
    <row r="5965" spans="12:26" x14ac:dyDescent="0.25">
      <c r="L5965" s="38"/>
      <c r="Z5965" s="38"/>
    </row>
    <row r="5966" spans="12:26" x14ac:dyDescent="0.25">
      <c r="L5966" s="38"/>
      <c r="Z5966" s="38"/>
    </row>
    <row r="5967" spans="12:26" x14ac:dyDescent="0.25">
      <c r="L5967" s="38"/>
      <c r="Z5967" s="38"/>
    </row>
    <row r="5968" spans="12:26" x14ac:dyDescent="0.25">
      <c r="L5968" s="38"/>
      <c r="Z5968" s="38"/>
    </row>
    <row r="5969" spans="12:26" x14ac:dyDescent="0.25">
      <c r="L5969" s="38"/>
      <c r="Z5969" s="38"/>
    </row>
    <row r="5970" spans="12:26" x14ac:dyDescent="0.25">
      <c r="L5970" s="38"/>
      <c r="Z5970" s="38"/>
    </row>
    <row r="5971" spans="12:26" x14ac:dyDescent="0.25">
      <c r="L5971" s="38"/>
      <c r="Z5971" s="38"/>
    </row>
    <row r="5972" spans="12:26" x14ac:dyDescent="0.25">
      <c r="L5972" s="38"/>
      <c r="Z5972" s="38"/>
    </row>
    <row r="5973" spans="12:26" x14ac:dyDescent="0.25">
      <c r="L5973" s="38"/>
      <c r="Z5973" s="38"/>
    </row>
    <row r="5974" spans="12:26" x14ac:dyDescent="0.25">
      <c r="L5974" s="38"/>
      <c r="Z5974" s="38"/>
    </row>
    <row r="5975" spans="12:26" x14ac:dyDescent="0.25">
      <c r="L5975" s="38"/>
      <c r="Z5975" s="38"/>
    </row>
    <row r="5976" spans="12:26" x14ac:dyDescent="0.25">
      <c r="L5976" s="38"/>
      <c r="Z5976" s="38"/>
    </row>
    <row r="5977" spans="12:26" x14ac:dyDescent="0.25">
      <c r="L5977" s="38"/>
      <c r="Z5977" s="38"/>
    </row>
    <row r="5978" spans="12:26" x14ac:dyDescent="0.25">
      <c r="L5978" s="38"/>
      <c r="Z5978" s="38"/>
    </row>
    <row r="5979" spans="12:26" x14ac:dyDescent="0.25">
      <c r="L5979" s="38"/>
      <c r="Z5979" s="38"/>
    </row>
    <row r="5980" spans="12:26" x14ac:dyDescent="0.25">
      <c r="L5980" s="38"/>
      <c r="Z5980" s="38"/>
    </row>
    <row r="5981" spans="12:26" x14ac:dyDescent="0.25">
      <c r="L5981" s="38"/>
      <c r="Z5981" s="38"/>
    </row>
    <row r="5982" spans="12:26" x14ac:dyDescent="0.25">
      <c r="L5982" s="38"/>
      <c r="Z5982" s="38"/>
    </row>
    <row r="5983" spans="12:26" x14ac:dyDescent="0.25">
      <c r="L5983" s="38"/>
      <c r="Z5983" s="38"/>
    </row>
    <row r="5984" spans="12:26" x14ac:dyDescent="0.25">
      <c r="L5984" s="38"/>
      <c r="Z5984" s="38"/>
    </row>
    <row r="5985" spans="12:26" x14ac:dyDescent="0.25">
      <c r="L5985" s="38"/>
      <c r="Z5985" s="38"/>
    </row>
    <row r="5986" spans="12:26" x14ac:dyDescent="0.25">
      <c r="L5986" s="38"/>
      <c r="Z5986" s="38"/>
    </row>
    <row r="5987" spans="12:26" x14ac:dyDescent="0.25">
      <c r="L5987" s="38"/>
      <c r="Z5987" s="38"/>
    </row>
    <row r="5988" spans="12:26" x14ac:dyDescent="0.25">
      <c r="L5988" s="38"/>
      <c r="Z5988" s="38"/>
    </row>
    <row r="5989" spans="12:26" x14ac:dyDescent="0.25">
      <c r="L5989" s="38"/>
      <c r="Z5989" s="38"/>
    </row>
    <row r="5990" spans="12:26" x14ac:dyDescent="0.25">
      <c r="L5990" s="38"/>
      <c r="Z5990" s="38"/>
    </row>
    <row r="5991" spans="12:26" x14ac:dyDescent="0.25">
      <c r="L5991" s="38"/>
      <c r="Z5991" s="38"/>
    </row>
    <row r="5992" spans="12:26" x14ac:dyDescent="0.25">
      <c r="L5992" s="38"/>
      <c r="Z5992" s="38"/>
    </row>
    <row r="5993" spans="12:26" x14ac:dyDescent="0.25">
      <c r="L5993" s="38"/>
      <c r="Z5993" s="38"/>
    </row>
    <row r="5994" spans="12:26" x14ac:dyDescent="0.25">
      <c r="L5994" s="38"/>
      <c r="Z5994" s="38"/>
    </row>
    <row r="5995" spans="12:26" x14ac:dyDescent="0.25">
      <c r="L5995" s="38"/>
      <c r="Z5995" s="38"/>
    </row>
    <row r="5996" spans="12:26" x14ac:dyDescent="0.25">
      <c r="L5996" s="38"/>
      <c r="Z5996" s="38"/>
    </row>
    <row r="5997" spans="12:26" x14ac:dyDescent="0.25">
      <c r="L5997" s="38"/>
      <c r="Z5997" s="38"/>
    </row>
    <row r="5998" spans="12:26" x14ac:dyDescent="0.25">
      <c r="L5998" s="38"/>
      <c r="Z5998" s="38"/>
    </row>
    <row r="5999" spans="12:26" x14ac:dyDescent="0.25">
      <c r="L5999" s="38"/>
      <c r="Z5999" s="38"/>
    </row>
    <row r="6000" spans="12:26" x14ac:dyDescent="0.25">
      <c r="L6000" s="38"/>
      <c r="Z6000" s="38"/>
    </row>
    <row r="6001" spans="12:26" x14ac:dyDescent="0.25">
      <c r="L6001" s="38"/>
      <c r="Z6001" s="38"/>
    </row>
    <row r="6002" spans="12:26" x14ac:dyDescent="0.25">
      <c r="L6002" s="38"/>
      <c r="Z6002" s="38"/>
    </row>
    <row r="6003" spans="12:26" x14ac:dyDescent="0.25">
      <c r="L6003" s="38"/>
      <c r="Z6003" s="38"/>
    </row>
    <row r="6004" spans="12:26" x14ac:dyDescent="0.25">
      <c r="L6004" s="38"/>
      <c r="Z6004" s="38"/>
    </row>
    <row r="6005" spans="12:26" x14ac:dyDescent="0.25">
      <c r="L6005" s="38"/>
      <c r="Z6005" s="38"/>
    </row>
    <row r="6006" spans="12:26" x14ac:dyDescent="0.25">
      <c r="L6006" s="38"/>
      <c r="Z6006" s="38"/>
    </row>
    <row r="6007" spans="12:26" x14ac:dyDescent="0.25">
      <c r="L6007" s="38"/>
      <c r="Z6007" s="38"/>
    </row>
    <row r="6008" spans="12:26" x14ac:dyDescent="0.25">
      <c r="L6008" s="38"/>
      <c r="Z6008" s="38"/>
    </row>
    <row r="6009" spans="12:26" x14ac:dyDescent="0.25">
      <c r="L6009" s="38"/>
      <c r="Z6009" s="38"/>
    </row>
    <row r="6010" spans="12:26" x14ac:dyDescent="0.25">
      <c r="L6010" s="38"/>
      <c r="Z6010" s="38"/>
    </row>
    <row r="6011" spans="12:26" x14ac:dyDescent="0.25">
      <c r="L6011" s="38"/>
      <c r="Z6011" s="38"/>
    </row>
    <row r="6012" spans="12:26" x14ac:dyDescent="0.25">
      <c r="L6012" s="38"/>
      <c r="Z6012" s="38"/>
    </row>
    <row r="6013" spans="12:26" x14ac:dyDescent="0.25">
      <c r="L6013" s="38"/>
      <c r="Z6013" s="38"/>
    </row>
    <row r="6014" spans="12:26" x14ac:dyDescent="0.25">
      <c r="L6014" s="38"/>
      <c r="Z6014" s="38"/>
    </row>
    <row r="6015" spans="12:26" x14ac:dyDescent="0.25">
      <c r="L6015" s="38"/>
      <c r="Z6015" s="38"/>
    </row>
    <row r="6016" spans="12:26" x14ac:dyDescent="0.25">
      <c r="L6016" s="38"/>
      <c r="Z6016" s="38"/>
    </row>
    <row r="6017" spans="12:26" x14ac:dyDescent="0.25">
      <c r="L6017" s="38"/>
      <c r="Z6017" s="38"/>
    </row>
    <row r="6018" spans="12:26" x14ac:dyDescent="0.25">
      <c r="L6018" s="38"/>
      <c r="Z6018" s="38"/>
    </row>
    <row r="6019" spans="12:26" x14ac:dyDescent="0.25">
      <c r="L6019" s="38"/>
      <c r="Z6019" s="38"/>
    </row>
    <row r="6020" spans="12:26" x14ac:dyDescent="0.25">
      <c r="L6020" s="38"/>
      <c r="Z6020" s="38"/>
    </row>
    <row r="6021" spans="12:26" x14ac:dyDescent="0.25">
      <c r="L6021" s="38"/>
      <c r="Z6021" s="38"/>
    </row>
    <row r="6022" spans="12:26" x14ac:dyDescent="0.25">
      <c r="L6022" s="38"/>
      <c r="Z6022" s="38"/>
    </row>
    <row r="6023" spans="12:26" x14ac:dyDescent="0.25">
      <c r="L6023" s="38"/>
      <c r="Z6023" s="38"/>
    </row>
    <row r="6024" spans="12:26" x14ac:dyDescent="0.25">
      <c r="L6024" s="38"/>
      <c r="Z6024" s="38"/>
    </row>
    <row r="6025" spans="12:26" x14ac:dyDescent="0.25">
      <c r="L6025" s="38"/>
      <c r="Z6025" s="38"/>
    </row>
    <row r="6026" spans="12:26" x14ac:dyDescent="0.25">
      <c r="L6026" s="38"/>
      <c r="Z6026" s="38"/>
    </row>
    <row r="6027" spans="12:26" x14ac:dyDescent="0.25">
      <c r="L6027" s="38"/>
      <c r="Z6027" s="38"/>
    </row>
    <row r="6028" spans="12:26" x14ac:dyDescent="0.25">
      <c r="L6028" s="38"/>
      <c r="Z6028" s="38"/>
    </row>
    <row r="6029" spans="12:26" x14ac:dyDescent="0.25">
      <c r="L6029" s="38"/>
      <c r="Z6029" s="38"/>
    </row>
    <row r="6030" spans="12:26" x14ac:dyDescent="0.25">
      <c r="L6030" s="38"/>
      <c r="Z6030" s="38"/>
    </row>
    <row r="6031" spans="12:26" x14ac:dyDescent="0.25">
      <c r="L6031" s="38"/>
      <c r="Z6031" s="38"/>
    </row>
    <row r="6032" spans="12:26" x14ac:dyDescent="0.25">
      <c r="L6032" s="38"/>
      <c r="Z6032" s="38"/>
    </row>
    <row r="6033" spans="12:26" x14ac:dyDescent="0.25">
      <c r="L6033" s="38"/>
      <c r="Z6033" s="38"/>
    </row>
    <row r="6034" spans="12:26" x14ac:dyDescent="0.25">
      <c r="L6034" s="38"/>
      <c r="Z6034" s="38"/>
    </row>
    <row r="6035" spans="12:26" x14ac:dyDescent="0.25">
      <c r="L6035" s="38"/>
      <c r="Z6035" s="38"/>
    </row>
    <row r="6036" spans="12:26" x14ac:dyDescent="0.25">
      <c r="L6036" s="38"/>
      <c r="Z6036" s="38"/>
    </row>
    <row r="6037" spans="12:26" x14ac:dyDescent="0.25">
      <c r="L6037" s="38"/>
      <c r="Z6037" s="38"/>
    </row>
    <row r="6038" spans="12:26" x14ac:dyDescent="0.25">
      <c r="L6038" s="38"/>
      <c r="Z6038" s="38"/>
    </row>
    <row r="6039" spans="12:26" x14ac:dyDescent="0.25">
      <c r="L6039" s="38"/>
      <c r="Z6039" s="38"/>
    </row>
    <row r="6040" spans="12:26" x14ac:dyDescent="0.25">
      <c r="L6040" s="38"/>
      <c r="Z6040" s="38"/>
    </row>
    <row r="6041" spans="12:26" x14ac:dyDescent="0.25">
      <c r="L6041" s="38"/>
      <c r="Z6041" s="38"/>
    </row>
    <row r="6042" spans="12:26" x14ac:dyDescent="0.25">
      <c r="L6042" s="38"/>
      <c r="Z6042" s="38"/>
    </row>
    <row r="6043" spans="12:26" x14ac:dyDescent="0.25">
      <c r="L6043" s="38"/>
      <c r="Z6043" s="38"/>
    </row>
    <row r="6044" spans="12:26" x14ac:dyDescent="0.25">
      <c r="L6044" s="38"/>
      <c r="Z6044" s="38"/>
    </row>
    <row r="6045" spans="12:26" x14ac:dyDescent="0.25">
      <c r="L6045" s="38"/>
      <c r="Z6045" s="38"/>
    </row>
    <row r="6046" spans="12:26" x14ac:dyDescent="0.25">
      <c r="L6046" s="38"/>
      <c r="Z6046" s="38"/>
    </row>
    <row r="6047" spans="12:26" x14ac:dyDescent="0.25">
      <c r="L6047" s="38"/>
      <c r="Z6047" s="38"/>
    </row>
    <row r="6048" spans="12:26" x14ac:dyDescent="0.25">
      <c r="L6048" s="38"/>
      <c r="Z6048" s="38"/>
    </row>
    <row r="6049" spans="12:26" x14ac:dyDescent="0.25">
      <c r="L6049" s="38"/>
      <c r="Z6049" s="38"/>
    </row>
    <row r="6050" spans="12:26" x14ac:dyDescent="0.25">
      <c r="L6050" s="38"/>
      <c r="Z6050" s="38"/>
    </row>
    <row r="6051" spans="12:26" x14ac:dyDescent="0.25">
      <c r="L6051" s="38"/>
      <c r="Z6051" s="38"/>
    </row>
    <row r="6052" spans="12:26" x14ac:dyDescent="0.25">
      <c r="L6052" s="38"/>
      <c r="Z6052" s="38"/>
    </row>
    <row r="6053" spans="12:26" x14ac:dyDescent="0.25">
      <c r="L6053" s="38"/>
      <c r="Z6053" s="38"/>
    </row>
    <row r="6054" spans="12:26" x14ac:dyDescent="0.25">
      <c r="L6054" s="38"/>
      <c r="Z6054" s="38"/>
    </row>
    <row r="6055" spans="12:26" x14ac:dyDescent="0.25">
      <c r="L6055" s="38"/>
      <c r="Z6055" s="38"/>
    </row>
    <row r="6056" spans="12:26" x14ac:dyDescent="0.25">
      <c r="L6056" s="38"/>
      <c r="Z6056" s="38"/>
    </row>
    <row r="6057" spans="12:26" x14ac:dyDescent="0.25">
      <c r="L6057" s="38"/>
      <c r="Z6057" s="38"/>
    </row>
    <row r="6058" spans="12:26" x14ac:dyDescent="0.25">
      <c r="L6058" s="38"/>
      <c r="Z6058" s="38"/>
    </row>
    <row r="6059" spans="12:26" x14ac:dyDescent="0.25">
      <c r="L6059" s="38"/>
      <c r="Z6059" s="38"/>
    </row>
    <row r="6060" spans="12:26" x14ac:dyDescent="0.25">
      <c r="L6060" s="38"/>
      <c r="Z6060" s="38"/>
    </row>
    <row r="6061" spans="12:26" x14ac:dyDescent="0.25">
      <c r="L6061" s="38"/>
      <c r="Z6061" s="38"/>
    </row>
    <row r="6062" spans="12:26" x14ac:dyDescent="0.25">
      <c r="L6062" s="38"/>
      <c r="Z6062" s="38"/>
    </row>
    <row r="6063" spans="12:26" x14ac:dyDescent="0.25">
      <c r="L6063" s="38"/>
      <c r="Z6063" s="38"/>
    </row>
    <row r="6064" spans="12:26" x14ac:dyDescent="0.25">
      <c r="L6064" s="38"/>
      <c r="Z6064" s="38"/>
    </row>
    <row r="6065" spans="12:26" x14ac:dyDescent="0.25">
      <c r="L6065" s="38"/>
      <c r="Z6065" s="38"/>
    </row>
    <row r="6066" spans="12:26" x14ac:dyDescent="0.25">
      <c r="L6066" s="38"/>
      <c r="Z6066" s="38"/>
    </row>
    <row r="6067" spans="12:26" x14ac:dyDescent="0.25">
      <c r="L6067" s="38"/>
      <c r="Z6067" s="38"/>
    </row>
    <row r="6068" spans="12:26" x14ac:dyDescent="0.25">
      <c r="L6068" s="38"/>
      <c r="Z6068" s="38"/>
    </row>
    <row r="6069" spans="12:26" x14ac:dyDescent="0.25">
      <c r="L6069" s="38"/>
      <c r="Z6069" s="38"/>
    </row>
    <row r="6070" spans="12:26" x14ac:dyDescent="0.25">
      <c r="L6070" s="38"/>
      <c r="Z6070" s="38"/>
    </row>
    <row r="6071" spans="12:26" x14ac:dyDescent="0.25">
      <c r="L6071" s="38"/>
      <c r="Z6071" s="38"/>
    </row>
    <row r="6072" spans="12:26" x14ac:dyDescent="0.25">
      <c r="L6072" s="38"/>
      <c r="Z6072" s="38"/>
    </row>
    <row r="6073" spans="12:26" x14ac:dyDescent="0.25">
      <c r="L6073" s="38"/>
      <c r="Z6073" s="38"/>
    </row>
    <row r="6074" spans="12:26" x14ac:dyDescent="0.25">
      <c r="L6074" s="38"/>
      <c r="Z6074" s="38"/>
    </row>
    <row r="6075" spans="12:26" x14ac:dyDescent="0.25">
      <c r="L6075" s="38"/>
      <c r="Z6075" s="38"/>
    </row>
    <row r="6076" spans="12:26" x14ac:dyDescent="0.25">
      <c r="L6076" s="38"/>
      <c r="Z6076" s="38"/>
    </row>
    <row r="6077" spans="12:26" x14ac:dyDescent="0.25">
      <c r="L6077" s="38"/>
      <c r="Z6077" s="38"/>
    </row>
    <row r="6078" spans="12:26" x14ac:dyDescent="0.25">
      <c r="L6078" s="38"/>
      <c r="Z6078" s="38"/>
    </row>
    <row r="6079" spans="12:26" x14ac:dyDescent="0.25">
      <c r="L6079" s="38"/>
      <c r="Z6079" s="38"/>
    </row>
    <row r="6080" spans="12:26" x14ac:dyDescent="0.25">
      <c r="L6080" s="38"/>
      <c r="Z6080" s="38"/>
    </row>
    <row r="6081" spans="12:26" x14ac:dyDescent="0.25">
      <c r="L6081" s="38"/>
      <c r="Z6081" s="38"/>
    </row>
    <row r="6082" spans="12:26" x14ac:dyDescent="0.25">
      <c r="L6082" s="38"/>
      <c r="Z6082" s="38"/>
    </row>
    <row r="6083" spans="12:26" x14ac:dyDescent="0.25">
      <c r="L6083" s="38"/>
      <c r="Z6083" s="38"/>
    </row>
    <row r="6084" spans="12:26" x14ac:dyDescent="0.25">
      <c r="L6084" s="38"/>
      <c r="Z6084" s="38"/>
    </row>
    <row r="6085" spans="12:26" x14ac:dyDescent="0.25">
      <c r="L6085" s="38"/>
      <c r="Z6085" s="38"/>
    </row>
    <row r="6086" spans="12:26" x14ac:dyDescent="0.25">
      <c r="L6086" s="38"/>
      <c r="Z6086" s="38"/>
    </row>
    <row r="6087" spans="12:26" x14ac:dyDescent="0.25">
      <c r="L6087" s="38"/>
      <c r="Z6087" s="38"/>
    </row>
    <row r="6088" spans="12:26" x14ac:dyDescent="0.25">
      <c r="L6088" s="38"/>
      <c r="Z6088" s="38"/>
    </row>
    <row r="6089" spans="12:26" x14ac:dyDescent="0.25">
      <c r="L6089" s="38"/>
      <c r="Z6089" s="38"/>
    </row>
    <row r="6090" spans="12:26" x14ac:dyDescent="0.25">
      <c r="L6090" s="38"/>
      <c r="Z6090" s="38"/>
    </row>
    <row r="6091" spans="12:26" x14ac:dyDescent="0.25">
      <c r="L6091" s="38"/>
      <c r="Z6091" s="38"/>
    </row>
    <row r="6092" spans="12:26" x14ac:dyDescent="0.25">
      <c r="L6092" s="38"/>
      <c r="Z6092" s="38"/>
    </row>
    <row r="6093" spans="12:26" x14ac:dyDescent="0.25">
      <c r="L6093" s="38"/>
      <c r="Z6093" s="38"/>
    </row>
    <row r="6094" spans="12:26" x14ac:dyDescent="0.25">
      <c r="L6094" s="38"/>
      <c r="Z6094" s="38"/>
    </row>
    <row r="6095" spans="12:26" x14ac:dyDescent="0.25">
      <c r="L6095" s="38"/>
      <c r="Z6095" s="38"/>
    </row>
    <row r="6096" spans="12:26" x14ac:dyDescent="0.25">
      <c r="L6096" s="38"/>
      <c r="Z6096" s="38"/>
    </row>
    <row r="6097" spans="12:26" x14ac:dyDescent="0.25">
      <c r="L6097" s="38"/>
      <c r="Z6097" s="38"/>
    </row>
    <row r="6098" spans="12:26" x14ac:dyDescent="0.25">
      <c r="L6098" s="38"/>
      <c r="Z6098" s="38"/>
    </row>
    <row r="6099" spans="12:26" x14ac:dyDescent="0.25">
      <c r="L6099" s="38"/>
      <c r="Z6099" s="38"/>
    </row>
    <row r="6100" spans="12:26" x14ac:dyDescent="0.25">
      <c r="L6100" s="38"/>
      <c r="Z6100" s="38"/>
    </row>
    <row r="6101" spans="12:26" x14ac:dyDescent="0.25">
      <c r="L6101" s="38"/>
      <c r="Z6101" s="38"/>
    </row>
    <row r="6102" spans="12:26" x14ac:dyDescent="0.25">
      <c r="L6102" s="38"/>
      <c r="Z6102" s="38"/>
    </row>
    <row r="6103" spans="12:26" x14ac:dyDescent="0.25">
      <c r="L6103" s="38"/>
      <c r="Z6103" s="38"/>
    </row>
    <row r="6104" spans="12:26" x14ac:dyDescent="0.25">
      <c r="L6104" s="38"/>
      <c r="Z6104" s="38"/>
    </row>
    <row r="6105" spans="12:26" x14ac:dyDescent="0.25">
      <c r="L6105" s="38"/>
      <c r="Z6105" s="38"/>
    </row>
    <row r="6106" spans="12:26" x14ac:dyDescent="0.25">
      <c r="L6106" s="38"/>
      <c r="Z6106" s="38"/>
    </row>
    <row r="6107" spans="12:26" x14ac:dyDescent="0.25">
      <c r="L6107" s="38"/>
      <c r="Z6107" s="38"/>
    </row>
    <row r="6108" spans="12:26" x14ac:dyDescent="0.25">
      <c r="L6108" s="38"/>
      <c r="Z6108" s="38"/>
    </row>
    <row r="6109" spans="12:26" x14ac:dyDescent="0.25">
      <c r="L6109" s="38"/>
      <c r="Z6109" s="38"/>
    </row>
    <row r="6110" spans="12:26" x14ac:dyDescent="0.25">
      <c r="L6110" s="38"/>
      <c r="Z6110" s="38"/>
    </row>
    <row r="6111" spans="12:26" x14ac:dyDescent="0.25">
      <c r="L6111" s="38"/>
      <c r="Z6111" s="38"/>
    </row>
    <row r="6112" spans="12:26" x14ac:dyDescent="0.25">
      <c r="L6112" s="38"/>
      <c r="Z6112" s="38"/>
    </row>
    <row r="6113" spans="12:26" x14ac:dyDescent="0.25">
      <c r="L6113" s="38"/>
      <c r="Z6113" s="38"/>
    </row>
    <row r="6114" spans="12:26" x14ac:dyDescent="0.25">
      <c r="L6114" s="38"/>
      <c r="Z6114" s="38"/>
    </row>
    <row r="6115" spans="12:26" x14ac:dyDescent="0.25">
      <c r="L6115" s="38"/>
      <c r="Z6115" s="38"/>
    </row>
    <row r="6116" spans="12:26" x14ac:dyDescent="0.25">
      <c r="L6116" s="38"/>
      <c r="Z6116" s="38"/>
    </row>
    <row r="6117" spans="12:26" x14ac:dyDescent="0.25">
      <c r="L6117" s="38"/>
      <c r="Z6117" s="38"/>
    </row>
    <row r="6118" spans="12:26" x14ac:dyDescent="0.25">
      <c r="L6118" s="38"/>
      <c r="Z6118" s="38"/>
    </row>
    <row r="6119" spans="12:26" x14ac:dyDescent="0.25">
      <c r="L6119" s="38"/>
      <c r="Z6119" s="38"/>
    </row>
    <row r="6120" spans="12:26" x14ac:dyDescent="0.25">
      <c r="L6120" s="38"/>
      <c r="Z6120" s="38"/>
    </row>
    <row r="6121" spans="12:26" x14ac:dyDescent="0.25">
      <c r="L6121" s="38"/>
      <c r="Z6121" s="38"/>
    </row>
    <row r="6122" spans="12:26" x14ac:dyDescent="0.25">
      <c r="L6122" s="38"/>
      <c r="Z6122" s="38"/>
    </row>
    <row r="6123" spans="12:26" x14ac:dyDescent="0.25">
      <c r="L6123" s="38"/>
      <c r="Z6123" s="38"/>
    </row>
    <row r="6124" spans="12:26" x14ac:dyDescent="0.25">
      <c r="L6124" s="38"/>
      <c r="Z6124" s="38"/>
    </row>
    <row r="6125" spans="12:26" x14ac:dyDescent="0.25">
      <c r="L6125" s="38"/>
      <c r="Z6125" s="38"/>
    </row>
    <row r="6126" spans="12:26" x14ac:dyDescent="0.25">
      <c r="L6126" s="38"/>
      <c r="Z6126" s="38"/>
    </row>
    <row r="6127" spans="12:26" x14ac:dyDescent="0.25">
      <c r="L6127" s="38"/>
      <c r="Z6127" s="38"/>
    </row>
    <row r="6128" spans="12:26" x14ac:dyDescent="0.25">
      <c r="L6128" s="38"/>
      <c r="Z6128" s="38"/>
    </row>
    <row r="6129" spans="12:26" x14ac:dyDescent="0.25">
      <c r="L6129" s="38"/>
      <c r="Z6129" s="38"/>
    </row>
    <row r="6130" spans="12:26" x14ac:dyDescent="0.25">
      <c r="L6130" s="38"/>
      <c r="Z6130" s="38"/>
    </row>
    <row r="6131" spans="12:26" x14ac:dyDescent="0.25">
      <c r="L6131" s="38"/>
      <c r="Z6131" s="38"/>
    </row>
    <row r="6132" spans="12:26" x14ac:dyDescent="0.25">
      <c r="L6132" s="38"/>
      <c r="Z6132" s="38"/>
    </row>
    <row r="6133" spans="12:26" x14ac:dyDescent="0.25">
      <c r="L6133" s="38"/>
      <c r="Z6133" s="38"/>
    </row>
    <row r="6134" spans="12:26" x14ac:dyDescent="0.25">
      <c r="L6134" s="38"/>
      <c r="Z6134" s="38"/>
    </row>
    <row r="6135" spans="12:26" x14ac:dyDescent="0.25">
      <c r="L6135" s="38"/>
      <c r="Z6135" s="38"/>
    </row>
    <row r="6136" spans="12:26" x14ac:dyDescent="0.25">
      <c r="L6136" s="38"/>
      <c r="Z6136" s="38"/>
    </row>
    <row r="6137" spans="12:26" x14ac:dyDescent="0.25">
      <c r="L6137" s="38"/>
      <c r="Z6137" s="38"/>
    </row>
    <row r="6138" spans="12:26" x14ac:dyDescent="0.25">
      <c r="L6138" s="38"/>
      <c r="Z6138" s="38"/>
    </row>
    <row r="6139" spans="12:26" x14ac:dyDescent="0.25">
      <c r="L6139" s="38"/>
      <c r="Z6139" s="38"/>
    </row>
    <row r="6140" spans="12:26" x14ac:dyDescent="0.25">
      <c r="L6140" s="38"/>
      <c r="Z6140" s="38"/>
    </row>
    <row r="6141" spans="12:26" x14ac:dyDescent="0.25">
      <c r="L6141" s="38"/>
      <c r="Z6141" s="38"/>
    </row>
    <row r="6142" spans="12:26" x14ac:dyDescent="0.25">
      <c r="L6142" s="38"/>
      <c r="Z6142" s="38"/>
    </row>
    <row r="6143" spans="12:26" x14ac:dyDescent="0.25">
      <c r="L6143" s="38"/>
      <c r="Z6143" s="38"/>
    </row>
    <row r="6144" spans="12:26" x14ac:dyDescent="0.25">
      <c r="L6144" s="38"/>
      <c r="Z6144" s="38"/>
    </row>
    <row r="6145" spans="12:26" x14ac:dyDescent="0.25">
      <c r="L6145" s="38"/>
      <c r="Z6145" s="38"/>
    </row>
    <row r="6146" spans="12:26" x14ac:dyDescent="0.25">
      <c r="L6146" s="38"/>
      <c r="Z6146" s="38"/>
    </row>
    <row r="6147" spans="12:26" x14ac:dyDescent="0.25">
      <c r="L6147" s="38"/>
      <c r="Z6147" s="38"/>
    </row>
    <row r="6148" spans="12:26" x14ac:dyDescent="0.25">
      <c r="L6148" s="38"/>
      <c r="Z6148" s="38"/>
    </row>
    <row r="6149" spans="12:26" x14ac:dyDescent="0.25">
      <c r="L6149" s="38"/>
      <c r="Z6149" s="38"/>
    </row>
    <row r="6150" spans="12:26" x14ac:dyDescent="0.25">
      <c r="L6150" s="38"/>
      <c r="Z6150" s="38"/>
    </row>
    <row r="6151" spans="12:26" x14ac:dyDescent="0.25">
      <c r="L6151" s="38"/>
      <c r="Z6151" s="38"/>
    </row>
    <row r="6152" spans="12:26" x14ac:dyDescent="0.25">
      <c r="L6152" s="38"/>
      <c r="Z6152" s="38"/>
    </row>
    <row r="6153" spans="12:26" x14ac:dyDescent="0.25">
      <c r="L6153" s="38"/>
      <c r="Z6153" s="38"/>
    </row>
    <row r="6154" spans="12:26" x14ac:dyDescent="0.25">
      <c r="L6154" s="38"/>
      <c r="Z6154" s="38"/>
    </row>
    <row r="6155" spans="12:26" x14ac:dyDescent="0.25">
      <c r="L6155" s="38"/>
      <c r="Z6155" s="38"/>
    </row>
    <row r="6156" spans="12:26" x14ac:dyDescent="0.25">
      <c r="L6156" s="38"/>
      <c r="Z6156" s="38"/>
    </row>
    <row r="6157" spans="12:26" x14ac:dyDescent="0.25">
      <c r="L6157" s="38"/>
      <c r="Z6157" s="38"/>
    </row>
    <row r="6158" spans="12:26" x14ac:dyDescent="0.25">
      <c r="L6158" s="38"/>
      <c r="Z6158" s="38"/>
    </row>
    <row r="6159" spans="12:26" x14ac:dyDescent="0.25">
      <c r="L6159" s="38"/>
      <c r="Z6159" s="38"/>
    </row>
    <row r="6160" spans="12:26" x14ac:dyDescent="0.25">
      <c r="L6160" s="38"/>
      <c r="Z6160" s="38"/>
    </row>
    <row r="6161" spans="12:26" x14ac:dyDescent="0.25">
      <c r="L6161" s="38"/>
      <c r="Z6161" s="38"/>
    </row>
    <row r="6162" spans="12:26" x14ac:dyDescent="0.25">
      <c r="L6162" s="38"/>
      <c r="Z6162" s="38"/>
    </row>
    <row r="6163" spans="12:26" x14ac:dyDescent="0.25">
      <c r="L6163" s="38"/>
      <c r="Z6163" s="38"/>
    </row>
    <row r="6164" spans="12:26" x14ac:dyDescent="0.25">
      <c r="L6164" s="38"/>
      <c r="Z6164" s="38"/>
    </row>
    <row r="6165" spans="12:26" x14ac:dyDescent="0.25">
      <c r="L6165" s="38"/>
      <c r="Z6165" s="38"/>
    </row>
    <row r="6166" spans="12:26" x14ac:dyDescent="0.25">
      <c r="L6166" s="38"/>
      <c r="Z6166" s="38"/>
    </row>
    <row r="6167" spans="12:26" x14ac:dyDescent="0.25">
      <c r="L6167" s="38"/>
      <c r="Z6167" s="38"/>
    </row>
    <row r="6168" spans="12:26" x14ac:dyDescent="0.25">
      <c r="L6168" s="38"/>
      <c r="Z6168" s="38"/>
    </row>
    <row r="6169" spans="12:26" x14ac:dyDescent="0.25">
      <c r="L6169" s="38"/>
      <c r="Z6169" s="38"/>
    </row>
    <row r="6170" spans="12:26" x14ac:dyDescent="0.25">
      <c r="L6170" s="38"/>
      <c r="Z6170" s="38"/>
    </row>
    <row r="6171" spans="12:26" x14ac:dyDescent="0.25">
      <c r="L6171" s="38"/>
      <c r="Z6171" s="38"/>
    </row>
    <row r="6172" spans="12:26" x14ac:dyDescent="0.25">
      <c r="L6172" s="38"/>
      <c r="Z6172" s="38"/>
    </row>
    <row r="6173" spans="12:26" x14ac:dyDescent="0.25">
      <c r="L6173" s="38"/>
      <c r="Z6173" s="38"/>
    </row>
    <row r="6174" spans="12:26" x14ac:dyDescent="0.25">
      <c r="L6174" s="38"/>
      <c r="Z6174" s="38"/>
    </row>
    <row r="6175" spans="12:26" x14ac:dyDescent="0.25">
      <c r="L6175" s="38"/>
      <c r="Z6175" s="38"/>
    </row>
    <row r="6176" spans="12:26" x14ac:dyDescent="0.25">
      <c r="L6176" s="38"/>
      <c r="Z6176" s="38"/>
    </row>
    <row r="6177" spans="12:26" x14ac:dyDescent="0.25">
      <c r="L6177" s="38"/>
      <c r="Z6177" s="38"/>
    </row>
    <row r="6178" spans="12:26" x14ac:dyDescent="0.25">
      <c r="L6178" s="38"/>
      <c r="Z6178" s="38"/>
    </row>
    <row r="6179" spans="12:26" x14ac:dyDescent="0.25">
      <c r="L6179" s="38"/>
      <c r="Z6179" s="38"/>
    </row>
    <row r="6180" spans="12:26" x14ac:dyDescent="0.25">
      <c r="L6180" s="38"/>
      <c r="Z6180" s="38"/>
    </row>
    <row r="6181" spans="12:26" x14ac:dyDescent="0.25">
      <c r="L6181" s="38"/>
      <c r="Z6181" s="38"/>
    </row>
    <row r="6182" spans="12:26" x14ac:dyDescent="0.25">
      <c r="L6182" s="38"/>
      <c r="Z6182" s="38"/>
    </row>
    <row r="6183" spans="12:26" x14ac:dyDescent="0.25">
      <c r="L6183" s="38"/>
      <c r="Z6183" s="38"/>
    </row>
    <row r="6184" spans="12:26" x14ac:dyDescent="0.25">
      <c r="L6184" s="38"/>
      <c r="Z6184" s="38"/>
    </row>
    <row r="6185" spans="12:26" x14ac:dyDescent="0.25">
      <c r="L6185" s="38"/>
      <c r="Z6185" s="38"/>
    </row>
    <row r="6186" spans="12:26" x14ac:dyDescent="0.25">
      <c r="L6186" s="38"/>
      <c r="Z6186" s="38"/>
    </row>
    <row r="6187" spans="12:26" x14ac:dyDescent="0.25">
      <c r="L6187" s="38"/>
      <c r="Z6187" s="38"/>
    </row>
    <row r="6188" spans="12:26" x14ac:dyDescent="0.25">
      <c r="L6188" s="38"/>
      <c r="Z6188" s="38"/>
    </row>
    <row r="6189" spans="12:26" x14ac:dyDescent="0.25">
      <c r="L6189" s="38"/>
      <c r="Z6189" s="38"/>
    </row>
    <row r="6190" spans="12:26" x14ac:dyDescent="0.25">
      <c r="L6190" s="38"/>
      <c r="Z6190" s="38"/>
    </row>
    <row r="6191" spans="12:26" x14ac:dyDescent="0.25">
      <c r="L6191" s="38"/>
      <c r="Z6191" s="38"/>
    </row>
    <row r="6192" spans="12:26" x14ac:dyDescent="0.25">
      <c r="L6192" s="38"/>
      <c r="Z6192" s="38"/>
    </row>
    <row r="6193" spans="12:26" x14ac:dyDescent="0.25">
      <c r="L6193" s="38"/>
      <c r="Z6193" s="38"/>
    </row>
    <row r="6194" spans="12:26" x14ac:dyDescent="0.25">
      <c r="L6194" s="38"/>
      <c r="Z6194" s="38"/>
    </row>
    <row r="6195" spans="12:26" x14ac:dyDescent="0.25">
      <c r="L6195" s="38"/>
      <c r="Z6195" s="38"/>
    </row>
    <row r="6196" spans="12:26" x14ac:dyDescent="0.25">
      <c r="L6196" s="38"/>
      <c r="Z6196" s="38"/>
    </row>
    <row r="6197" spans="12:26" x14ac:dyDescent="0.25">
      <c r="L6197" s="38"/>
      <c r="Z6197" s="38"/>
    </row>
    <row r="6198" spans="12:26" x14ac:dyDescent="0.25">
      <c r="L6198" s="38"/>
      <c r="Z6198" s="38"/>
    </row>
    <row r="6199" spans="12:26" x14ac:dyDescent="0.25">
      <c r="L6199" s="38"/>
      <c r="Z6199" s="38"/>
    </row>
    <row r="6200" spans="12:26" x14ac:dyDescent="0.25">
      <c r="L6200" s="38"/>
      <c r="Z6200" s="38"/>
    </row>
    <row r="6201" spans="12:26" x14ac:dyDescent="0.25">
      <c r="L6201" s="38"/>
      <c r="Z6201" s="38"/>
    </row>
    <row r="6202" spans="12:26" x14ac:dyDescent="0.25">
      <c r="L6202" s="38"/>
      <c r="Z6202" s="38"/>
    </row>
    <row r="6203" spans="12:26" x14ac:dyDescent="0.25">
      <c r="L6203" s="38"/>
      <c r="Z6203" s="38"/>
    </row>
    <row r="6204" spans="12:26" x14ac:dyDescent="0.25">
      <c r="L6204" s="38"/>
      <c r="Z6204" s="38"/>
    </row>
    <row r="6205" spans="12:26" x14ac:dyDescent="0.25">
      <c r="L6205" s="38"/>
      <c r="Z6205" s="38"/>
    </row>
    <row r="6206" spans="12:26" x14ac:dyDescent="0.25">
      <c r="L6206" s="38"/>
      <c r="Z6206" s="38"/>
    </row>
    <row r="6207" spans="12:26" x14ac:dyDescent="0.25">
      <c r="L6207" s="38"/>
      <c r="Z6207" s="38"/>
    </row>
    <row r="6208" spans="12:26" x14ac:dyDescent="0.25">
      <c r="L6208" s="38"/>
      <c r="Z6208" s="38"/>
    </row>
    <row r="6209" spans="12:26" x14ac:dyDescent="0.25">
      <c r="L6209" s="38"/>
      <c r="Z6209" s="38"/>
    </row>
    <row r="6210" spans="12:26" x14ac:dyDescent="0.25">
      <c r="L6210" s="38"/>
      <c r="Z6210" s="38"/>
    </row>
    <row r="6211" spans="12:26" x14ac:dyDescent="0.25">
      <c r="L6211" s="38"/>
      <c r="Z6211" s="38"/>
    </row>
    <row r="6212" spans="12:26" x14ac:dyDescent="0.25">
      <c r="L6212" s="38"/>
      <c r="Z6212" s="38"/>
    </row>
    <row r="6213" spans="12:26" x14ac:dyDescent="0.25">
      <c r="L6213" s="38"/>
      <c r="Z6213" s="38"/>
    </row>
    <row r="6214" spans="12:26" x14ac:dyDescent="0.25">
      <c r="L6214" s="38"/>
      <c r="Z6214" s="38"/>
    </row>
    <row r="6215" spans="12:26" x14ac:dyDescent="0.25">
      <c r="L6215" s="38"/>
      <c r="Z6215" s="38"/>
    </row>
    <row r="6216" spans="12:26" x14ac:dyDescent="0.25">
      <c r="L6216" s="38"/>
      <c r="Z6216" s="38"/>
    </row>
    <row r="6217" spans="12:26" x14ac:dyDescent="0.25">
      <c r="L6217" s="38"/>
      <c r="Z6217" s="38"/>
    </row>
    <row r="6218" spans="12:26" x14ac:dyDescent="0.25">
      <c r="L6218" s="38"/>
      <c r="Z6218" s="38"/>
    </row>
    <row r="6219" spans="12:26" x14ac:dyDescent="0.25">
      <c r="L6219" s="38"/>
      <c r="Z6219" s="38"/>
    </row>
    <row r="6220" spans="12:26" x14ac:dyDescent="0.25">
      <c r="L6220" s="38"/>
      <c r="Z6220" s="38"/>
    </row>
    <row r="6221" spans="12:26" x14ac:dyDescent="0.25">
      <c r="L6221" s="38"/>
      <c r="Z6221" s="38"/>
    </row>
    <row r="6222" spans="12:26" x14ac:dyDescent="0.25">
      <c r="L6222" s="38"/>
      <c r="Z6222" s="38"/>
    </row>
    <row r="6223" spans="12:26" x14ac:dyDescent="0.25">
      <c r="L6223" s="38"/>
      <c r="Z6223" s="38"/>
    </row>
    <row r="6224" spans="12:26" x14ac:dyDescent="0.25">
      <c r="L6224" s="38"/>
      <c r="Z6224" s="38"/>
    </row>
    <row r="6225" spans="12:26" x14ac:dyDescent="0.25">
      <c r="L6225" s="38"/>
      <c r="Z6225" s="38"/>
    </row>
    <row r="6226" spans="12:26" x14ac:dyDescent="0.25">
      <c r="L6226" s="38"/>
      <c r="Z6226" s="38"/>
    </row>
    <row r="6227" spans="12:26" x14ac:dyDescent="0.25">
      <c r="L6227" s="38"/>
      <c r="Z6227" s="38"/>
    </row>
    <row r="6228" spans="12:26" x14ac:dyDescent="0.25">
      <c r="L6228" s="38"/>
      <c r="Z6228" s="38"/>
    </row>
    <row r="6229" spans="12:26" x14ac:dyDescent="0.25">
      <c r="L6229" s="38"/>
      <c r="Z6229" s="38"/>
    </row>
    <row r="6230" spans="12:26" x14ac:dyDescent="0.25">
      <c r="L6230" s="38"/>
      <c r="Z6230" s="38"/>
    </row>
    <row r="6231" spans="12:26" x14ac:dyDescent="0.25">
      <c r="L6231" s="38"/>
      <c r="Z6231" s="38"/>
    </row>
    <row r="6232" spans="12:26" x14ac:dyDescent="0.25">
      <c r="L6232" s="38"/>
      <c r="Z6232" s="38"/>
    </row>
    <row r="6233" spans="12:26" x14ac:dyDescent="0.25">
      <c r="L6233" s="38"/>
      <c r="Z6233" s="38"/>
    </row>
    <row r="6234" spans="12:26" x14ac:dyDescent="0.25">
      <c r="L6234" s="38"/>
      <c r="Z6234" s="38"/>
    </row>
    <row r="6235" spans="12:26" x14ac:dyDescent="0.25">
      <c r="L6235" s="38"/>
      <c r="Z6235" s="38"/>
    </row>
    <row r="6236" spans="12:26" x14ac:dyDescent="0.25">
      <c r="L6236" s="38"/>
      <c r="Z6236" s="38"/>
    </row>
    <row r="6237" spans="12:26" x14ac:dyDescent="0.25">
      <c r="L6237" s="38"/>
      <c r="Z6237" s="38"/>
    </row>
    <row r="6238" spans="12:26" x14ac:dyDescent="0.25">
      <c r="L6238" s="38"/>
      <c r="Z6238" s="38"/>
    </row>
    <row r="6239" spans="12:26" x14ac:dyDescent="0.25">
      <c r="L6239" s="38"/>
      <c r="Z6239" s="38"/>
    </row>
    <row r="6240" spans="12:26" x14ac:dyDescent="0.25">
      <c r="L6240" s="38"/>
      <c r="Z6240" s="38"/>
    </row>
    <row r="6241" spans="12:26" x14ac:dyDescent="0.25">
      <c r="L6241" s="38"/>
      <c r="Z6241" s="38"/>
    </row>
    <row r="6242" spans="12:26" x14ac:dyDescent="0.25">
      <c r="L6242" s="38"/>
      <c r="Z6242" s="38"/>
    </row>
    <row r="6243" spans="12:26" x14ac:dyDescent="0.25">
      <c r="L6243" s="38"/>
      <c r="Z6243" s="38"/>
    </row>
    <row r="6244" spans="12:26" x14ac:dyDescent="0.25">
      <c r="L6244" s="38"/>
      <c r="Z6244" s="38"/>
    </row>
    <row r="6245" spans="12:26" x14ac:dyDescent="0.25">
      <c r="L6245" s="38"/>
      <c r="Z6245" s="38"/>
    </row>
    <row r="6246" spans="12:26" x14ac:dyDescent="0.25">
      <c r="L6246" s="38"/>
      <c r="Z6246" s="38"/>
    </row>
    <row r="6247" spans="12:26" x14ac:dyDescent="0.25">
      <c r="L6247" s="38"/>
      <c r="Z6247" s="38"/>
    </row>
    <row r="6248" spans="12:26" x14ac:dyDescent="0.25">
      <c r="L6248" s="38"/>
      <c r="Z6248" s="38"/>
    </row>
    <row r="6249" spans="12:26" x14ac:dyDescent="0.25">
      <c r="L6249" s="38"/>
      <c r="Z6249" s="38"/>
    </row>
    <row r="6250" spans="12:26" x14ac:dyDescent="0.25">
      <c r="L6250" s="38"/>
      <c r="Z6250" s="38"/>
    </row>
    <row r="6251" spans="12:26" x14ac:dyDescent="0.25">
      <c r="L6251" s="38"/>
      <c r="Z6251" s="38"/>
    </row>
    <row r="6252" spans="12:26" x14ac:dyDescent="0.25">
      <c r="L6252" s="38"/>
      <c r="Z6252" s="38"/>
    </row>
    <row r="6253" spans="12:26" x14ac:dyDescent="0.25">
      <c r="L6253" s="38"/>
      <c r="Z6253" s="38"/>
    </row>
    <row r="6254" spans="12:26" x14ac:dyDescent="0.25">
      <c r="L6254" s="38"/>
      <c r="Z6254" s="38"/>
    </row>
    <row r="6255" spans="12:26" x14ac:dyDescent="0.25">
      <c r="L6255" s="38"/>
      <c r="Z6255" s="38"/>
    </row>
    <row r="6256" spans="12:26" x14ac:dyDescent="0.25">
      <c r="L6256" s="38"/>
      <c r="Z6256" s="38"/>
    </row>
    <row r="6257" spans="12:26" x14ac:dyDescent="0.25">
      <c r="L6257" s="38"/>
      <c r="Z6257" s="38"/>
    </row>
    <row r="6258" spans="12:26" x14ac:dyDescent="0.25">
      <c r="L6258" s="38"/>
      <c r="Z6258" s="38"/>
    </row>
    <row r="6259" spans="12:26" x14ac:dyDescent="0.25">
      <c r="L6259" s="38"/>
      <c r="Z6259" s="38"/>
    </row>
    <row r="6260" spans="12:26" x14ac:dyDescent="0.25">
      <c r="L6260" s="38"/>
      <c r="Z6260" s="38"/>
    </row>
    <row r="6261" spans="12:26" x14ac:dyDescent="0.25">
      <c r="L6261" s="38"/>
      <c r="Z6261" s="38"/>
    </row>
    <row r="6262" spans="12:26" x14ac:dyDescent="0.25">
      <c r="L6262" s="38"/>
      <c r="Z6262" s="38"/>
    </row>
    <row r="6263" spans="12:26" x14ac:dyDescent="0.25">
      <c r="L6263" s="38"/>
      <c r="Z6263" s="38"/>
    </row>
    <row r="6264" spans="12:26" x14ac:dyDescent="0.25">
      <c r="L6264" s="38"/>
      <c r="Z6264" s="38"/>
    </row>
    <row r="6265" spans="12:26" x14ac:dyDescent="0.25">
      <c r="L6265" s="38"/>
      <c r="Z6265" s="38"/>
    </row>
    <row r="6266" spans="12:26" x14ac:dyDescent="0.25">
      <c r="L6266" s="38"/>
      <c r="Z6266" s="38"/>
    </row>
    <row r="6267" spans="12:26" x14ac:dyDescent="0.25">
      <c r="L6267" s="38"/>
      <c r="Z6267" s="38"/>
    </row>
    <row r="6268" spans="12:26" x14ac:dyDescent="0.25">
      <c r="L6268" s="38"/>
      <c r="Z6268" s="38"/>
    </row>
    <row r="6269" spans="12:26" x14ac:dyDescent="0.25">
      <c r="L6269" s="38"/>
      <c r="Z6269" s="38"/>
    </row>
    <row r="6270" spans="12:26" x14ac:dyDescent="0.25">
      <c r="L6270" s="38"/>
      <c r="Z6270" s="38"/>
    </row>
    <row r="6271" spans="12:26" x14ac:dyDescent="0.25">
      <c r="L6271" s="38"/>
      <c r="Z6271" s="38"/>
    </row>
    <row r="6272" spans="12:26" x14ac:dyDescent="0.25">
      <c r="L6272" s="38"/>
      <c r="Z6272" s="38"/>
    </row>
    <row r="6273" spans="12:26" x14ac:dyDescent="0.25">
      <c r="L6273" s="38"/>
      <c r="Z6273" s="38"/>
    </row>
    <row r="6274" spans="12:26" x14ac:dyDescent="0.25">
      <c r="L6274" s="38"/>
      <c r="Z6274" s="38"/>
    </row>
    <row r="6275" spans="12:26" x14ac:dyDescent="0.25">
      <c r="L6275" s="38"/>
      <c r="Z6275" s="38"/>
    </row>
    <row r="6276" spans="12:26" x14ac:dyDescent="0.25">
      <c r="L6276" s="38"/>
      <c r="Z6276" s="38"/>
    </row>
    <row r="6277" spans="12:26" x14ac:dyDescent="0.25">
      <c r="L6277" s="38"/>
      <c r="Z6277" s="38"/>
    </row>
    <row r="6278" spans="12:26" x14ac:dyDescent="0.25">
      <c r="L6278" s="38"/>
      <c r="Z6278" s="38"/>
    </row>
    <row r="6279" spans="12:26" x14ac:dyDescent="0.25">
      <c r="L6279" s="38"/>
      <c r="Z6279" s="38"/>
    </row>
    <row r="6280" spans="12:26" x14ac:dyDescent="0.25">
      <c r="L6280" s="38"/>
      <c r="Z6280" s="38"/>
    </row>
    <row r="6281" spans="12:26" x14ac:dyDescent="0.25">
      <c r="L6281" s="38"/>
      <c r="Z6281" s="38"/>
    </row>
    <row r="6282" spans="12:26" x14ac:dyDescent="0.25">
      <c r="L6282" s="38"/>
      <c r="Z6282" s="38"/>
    </row>
    <row r="6283" spans="12:26" x14ac:dyDescent="0.25">
      <c r="L6283" s="38"/>
      <c r="Z6283" s="38"/>
    </row>
    <row r="6284" spans="12:26" x14ac:dyDescent="0.25">
      <c r="L6284" s="38"/>
      <c r="Z6284" s="38"/>
    </row>
    <row r="6285" spans="12:26" x14ac:dyDescent="0.25">
      <c r="L6285" s="38"/>
      <c r="Z6285" s="38"/>
    </row>
    <row r="6286" spans="12:26" x14ac:dyDescent="0.25">
      <c r="L6286" s="38"/>
      <c r="Z6286" s="38"/>
    </row>
    <row r="6287" spans="12:26" x14ac:dyDescent="0.25">
      <c r="L6287" s="38"/>
      <c r="Z6287" s="38"/>
    </row>
    <row r="6288" spans="12:26" x14ac:dyDescent="0.25">
      <c r="L6288" s="38"/>
      <c r="Z6288" s="38"/>
    </row>
    <row r="6289" spans="12:26" x14ac:dyDescent="0.25">
      <c r="L6289" s="38"/>
      <c r="Z6289" s="38"/>
    </row>
    <row r="6290" spans="12:26" x14ac:dyDescent="0.25">
      <c r="L6290" s="38"/>
      <c r="Z6290" s="38"/>
    </row>
    <row r="6291" spans="12:26" x14ac:dyDescent="0.25">
      <c r="L6291" s="38"/>
      <c r="Z6291" s="38"/>
    </row>
    <row r="6292" spans="12:26" x14ac:dyDescent="0.25">
      <c r="L6292" s="38"/>
      <c r="Z6292" s="38"/>
    </row>
    <row r="6293" spans="12:26" x14ac:dyDescent="0.25">
      <c r="L6293" s="38"/>
      <c r="Z6293" s="38"/>
    </row>
    <row r="6294" spans="12:26" x14ac:dyDescent="0.25">
      <c r="L6294" s="38"/>
      <c r="Z6294" s="38"/>
    </row>
    <row r="6295" spans="12:26" x14ac:dyDescent="0.25">
      <c r="L6295" s="38"/>
      <c r="Z6295" s="38"/>
    </row>
    <row r="6296" spans="12:26" x14ac:dyDescent="0.25">
      <c r="L6296" s="38"/>
      <c r="Z6296" s="38"/>
    </row>
    <row r="6297" spans="12:26" x14ac:dyDescent="0.25">
      <c r="L6297" s="38"/>
      <c r="Z6297" s="38"/>
    </row>
    <row r="6298" spans="12:26" x14ac:dyDescent="0.25">
      <c r="L6298" s="38"/>
      <c r="Z6298" s="38"/>
    </row>
    <row r="6299" spans="12:26" x14ac:dyDescent="0.25">
      <c r="L6299" s="38"/>
      <c r="Z6299" s="38"/>
    </row>
    <row r="6300" spans="12:26" x14ac:dyDescent="0.25">
      <c r="L6300" s="38"/>
      <c r="Z6300" s="38"/>
    </row>
    <row r="6301" spans="12:26" x14ac:dyDescent="0.25">
      <c r="L6301" s="38"/>
      <c r="Z6301" s="38"/>
    </row>
    <row r="6302" spans="12:26" x14ac:dyDescent="0.25">
      <c r="L6302" s="38"/>
      <c r="Z6302" s="38"/>
    </row>
    <row r="6303" spans="12:26" x14ac:dyDescent="0.25">
      <c r="L6303" s="38"/>
      <c r="Z6303" s="38"/>
    </row>
    <row r="6304" spans="12:26" x14ac:dyDescent="0.25">
      <c r="L6304" s="38"/>
      <c r="Z6304" s="38"/>
    </row>
    <row r="6305" spans="12:26" x14ac:dyDescent="0.25">
      <c r="L6305" s="38"/>
      <c r="Z6305" s="38"/>
    </row>
    <row r="6306" spans="12:26" x14ac:dyDescent="0.25">
      <c r="L6306" s="38"/>
      <c r="Z6306" s="38"/>
    </row>
    <row r="6307" spans="12:26" x14ac:dyDescent="0.25">
      <c r="L6307" s="38"/>
      <c r="Z6307" s="38"/>
    </row>
    <row r="6308" spans="12:26" x14ac:dyDescent="0.25">
      <c r="L6308" s="38"/>
      <c r="Z6308" s="38"/>
    </row>
    <row r="6309" spans="12:26" x14ac:dyDescent="0.25">
      <c r="L6309" s="38"/>
      <c r="Z6309" s="38"/>
    </row>
    <row r="6310" spans="12:26" x14ac:dyDescent="0.25">
      <c r="L6310" s="38"/>
      <c r="Z6310" s="38"/>
    </row>
    <row r="6311" spans="12:26" x14ac:dyDescent="0.25">
      <c r="L6311" s="38"/>
      <c r="Z6311" s="38"/>
    </row>
    <row r="6312" spans="12:26" x14ac:dyDescent="0.25">
      <c r="L6312" s="38"/>
      <c r="Z6312" s="38"/>
    </row>
    <row r="6313" spans="12:26" x14ac:dyDescent="0.25">
      <c r="L6313" s="38"/>
      <c r="Z6313" s="38"/>
    </row>
    <row r="6314" spans="12:26" x14ac:dyDescent="0.25">
      <c r="L6314" s="38"/>
      <c r="Z6314" s="38"/>
    </row>
    <row r="6315" spans="12:26" x14ac:dyDescent="0.25">
      <c r="L6315" s="38"/>
      <c r="Z6315" s="38"/>
    </row>
    <row r="6316" spans="12:26" x14ac:dyDescent="0.25">
      <c r="L6316" s="38"/>
      <c r="Z6316" s="38"/>
    </row>
    <row r="6317" spans="12:26" x14ac:dyDescent="0.25">
      <c r="L6317" s="38"/>
      <c r="Z6317" s="38"/>
    </row>
    <row r="6318" spans="12:26" x14ac:dyDescent="0.25">
      <c r="L6318" s="38"/>
      <c r="Z6318" s="38"/>
    </row>
    <row r="6319" spans="12:26" x14ac:dyDescent="0.25">
      <c r="L6319" s="38"/>
      <c r="Z6319" s="38"/>
    </row>
    <row r="6320" spans="12:26" x14ac:dyDescent="0.25">
      <c r="L6320" s="38"/>
      <c r="Z6320" s="38"/>
    </row>
    <row r="6321" spans="12:26" x14ac:dyDescent="0.25">
      <c r="L6321" s="38"/>
      <c r="Z6321" s="38"/>
    </row>
    <row r="6322" spans="12:26" x14ac:dyDescent="0.25">
      <c r="L6322" s="38"/>
      <c r="Z6322" s="38"/>
    </row>
    <row r="6323" spans="12:26" x14ac:dyDescent="0.25">
      <c r="L6323" s="38"/>
      <c r="Z6323" s="38"/>
    </row>
    <row r="6324" spans="12:26" x14ac:dyDescent="0.25">
      <c r="L6324" s="38"/>
      <c r="Z6324" s="38"/>
    </row>
    <row r="6325" spans="12:26" x14ac:dyDescent="0.25">
      <c r="L6325" s="38"/>
      <c r="Z6325" s="38"/>
    </row>
    <row r="6326" spans="12:26" x14ac:dyDescent="0.25">
      <c r="L6326" s="38"/>
      <c r="Z6326" s="38"/>
    </row>
    <row r="6327" spans="12:26" x14ac:dyDescent="0.25">
      <c r="L6327" s="38"/>
      <c r="Z6327" s="38"/>
    </row>
    <row r="6328" spans="12:26" x14ac:dyDescent="0.25">
      <c r="L6328" s="38"/>
      <c r="Z6328" s="38"/>
    </row>
    <row r="6329" spans="12:26" x14ac:dyDescent="0.25">
      <c r="L6329" s="38"/>
      <c r="Z6329" s="38"/>
    </row>
    <row r="6330" spans="12:26" x14ac:dyDescent="0.25">
      <c r="L6330" s="38"/>
      <c r="Z6330" s="38"/>
    </row>
    <row r="6331" spans="12:26" x14ac:dyDescent="0.25">
      <c r="L6331" s="38"/>
      <c r="Z6331" s="38"/>
    </row>
    <row r="6332" spans="12:26" x14ac:dyDescent="0.25">
      <c r="L6332" s="38"/>
      <c r="Z6332" s="38"/>
    </row>
    <row r="6333" spans="12:26" x14ac:dyDescent="0.25">
      <c r="L6333" s="38"/>
      <c r="Z6333" s="38"/>
    </row>
    <row r="6334" spans="12:26" x14ac:dyDescent="0.25">
      <c r="L6334" s="38"/>
      <c r="Z6334" s="38"/>
    </row>
    <row r="6335" spans="12:26" x14ac:dyDescent="0.25">
      <c r="L6335" s="38"/>
      <c r="Z6335" s="38"/>
    </row>
    <row r="6336" spans="12:26" x14ac:dyDescent="0.25">
      <c r="L6336" s="38"/>
      <c r="Z6336" s="38"/>
    </row>
    <row r="6337" spans="12:26" x14ac:dyDescent="0.25">
      <c r="L6337" s="38"/>
      <c r="Z6337" s="38"/>
    </row>
    <row r="6338" spans="12:26" x14ac:dyDescent="0.25">
      <c r="L6338" s="38"/>
      <c r="Z6338" s="38"/>
    </row>
    <row r="6339" spans="12:26" x14ac:dyDescent="0.25">
      <c r="L6339" s="38"/>
      <c r="Z6339" s="38"/>
    </row>
    <row r="6340" spans="12:26" x14ac:dyDescent="0.25">
      <c r="L6340" s="38"/>
      <c r="Z6340" s="38"/>
    </row>
    <row r="6341" spans="12:26" x14ac:dyDescent="0.25">
      <c r="L6341" s="38"/>
      <c r="Z6341" s="38"/>
    </row>
    <row r="6342" spans="12:26" x14ac:dyDescent="0.25">
      <c r="L6342" s="38"/>
      <c r="Z6342" s="38"/>
    </row>
    <row r="6343" spans="12:26" x14ac:dyDescent="0.25">
      <c r="L6343" s="38"/>
      <c r="Z6343" s="38"/>
    </row>
    <row r="6344" spans="12:26" x14ac:dyDescent="0.25">
      <c r="L6344" s="38"/>
      <c r="Z6344" s="38"/>
    </row>
    <row r="6345" spans="12:26" x14ac:dyDescent="0.25">
      <c r="L6345" s="38"/>
      <c r="Z6345" s="38"/>
    </row>
    <row r="6346" spans="12:26" x14ac:dyDescent="0.25">
      <c r="L6346" s="38"/>
      <c r="Z6346" s="38"/>
    </row>
    <row r="6347" spans="12:26" x14ac:dyDescent="0.25">
      <c r="L6347" s="38"/>
      <c r="Z6347" s="38"/>
    </row>
    <row r="6348" spans="12:26" x14ac:dyDescent="0.25">
      <c r="L6348" s="38"/>
      <c r="Z6348" s="38"/>
    </row>
    <row r="6349" spans="12:26" x14ac:dyDescent="0.25">
      <c r="L6349" s="38"/>
      <c r="Z6349" s="38"/>
    </row>
    <row r="6350" spans="12:26" x14ac:dyDescent="0.25">
      <c r="L6350" s="38"/>
      <c r="Z6350" s="38"/>
    </row>
    <row r="6351" spans="12:26" x14ac:dyDescent="0.25">
      <c r="L6351" s="38"/>
      <c r="Z6351" s="38"/>
    </row>
    <row r="6352" spans="12:26" x14ac:dyDescent="0.25">
      <c r="L6352" s="38"/>
      <c r="Z6352" s="38"/>
    </row>
    <row r="6353" spans="12:26" x14ac:dyDescent="0.25">
      <c r="L6353" s="38"/>
      <c r="Z6353" s="38"/>
    </row>
    <row r="6354" spans="12:26" x14ac:dyDescent="0.25">
      <c r="L6354" s="38"/>
      <c r="Z6354" s="38"/>
    </row>
    <row r="6355" spans="12:26" x14ac:dyDescent="0.25">
      <c r="L6355" s="38"/>
      <c r="Z6355" s="38"/>
    </row>
    <row r="6356" spans="12:26" x14ac:dyDescent="0.25">
      <c r="L6356" s="38"/>
      <c r="Z6356" s="38"/>
    </row>
    <row r="6357" spans="12:26" x14ac:dyDescent="0.25">
      <c r="L6357" s="38"/>
      <c r="Z6357" s="38"/>
    </row>
    <row r="6358" spans="12:26" x14ac:dyDescent="0.25">
      <c r="L6358" s="38"/>
      <c r="Z6358" s="38"/>
    </row>
    <row r="6359" spans="12:26" x14ac:dyDescent="0.25">
      <c r="L6359" s="38"/>
      <c r="Z6359" s="38"/>
    </row>
    <row r="6360" spans="12:26" x14ac:dyDescent="0.25">
      <c r="L6360" s="38"/>
      <c r="Z6360" s="38"/>
    </row>
    <row r="6361" spans="12:26" x14ac:dyDescent="0.25">
      <c r="L6361" s="38"/>
      <c r="Z6361" s="38"/>
    </row>
    <row r="6362" spans="12:26" x14ac:dyDescent="0.25">
      <c r="L6362" s="38"/>
      <c r="Z6362" s="38"/>
    </row>
    <row r="6363" spans="12:26" x14ac:dyDescent="0.25">
      <c r="L6363" s="38"/>
      <c r="Z6363" s="38"/>
    </row>
    <row r="6364" spans="12:26" x14ac:dyDescent="0.25">
      <c r="L6364" s="38"/>
      <c r="Z6364" s="38"/>
    </row>
    <row r="6365" spans="12:26" x14ac:dyDescent="0.25">
      <c r="L6365" s="38"/>
      <c r="Z6365" s="38"/>
    </row>
    <row r="6366" spans="12:26" x14ac:dyDescent="0.25">
      <c r="L6366" s="38"/>
      <c r="Z6366" s="38"/>
    </row>
    <row r="6367" spans="12:26" x14ac:dyDescent="0.25">
      <c r="L6367" s="38"/>
      <c r="Z6367" s="38"/>
    </row>
    <row r="6368" spans="12:26" x14ac:dyDescent="0.25">
      <c r="L6368" s="38"/>
      <c r="Z6368" s="38"/>
    </row>
    <row r="6369" spans="12:26" x14ac:dyDescent="0.25">
      <c r="L6369" s="38"/>
      <c r="Z6369" s="38"/>
    </row>
    <row r="6370" spans="12:26" x14ac:dyDescent="0.25">
      <c r="L6370" s="38"/>
      <c r="Z6370" s="38"/>
    </row>
    <row r="6371" spans="12:26" x14ac:dyDescent="0.25">
      <c r="L6371" s="38"/>
      <c r="Z6371" s="38"/>
    </row>
    <row r="6372" spans="12:26" x14ac:dyDescent="0.25">
      <c r="L6372" s="38"/>
      <c r="Z6372" s="38"/>
    </row>
    <row r="6373" spans="12:26" x14ac:dyDescent="0.25">
      <c r="L6373" s="38"/>
      <c r="Z6373" s="38"/>
    </row>
    <row r="6374" spans="12:26" x14ac:dyDescent="0.25">
      <c r="L6374" s="38"/>
      <c r="Z6374" s="38"/>
    </row>
    <row r="6375" spans="12:26" x14ac:dyDescent="0.25">
      <c r="L6375" s="38"/>
      <c r="Z6375" s="38"/>
    </row>
    <row r="6376" spans="12:26" x14ac:dyDescent="0.25">
      <c r="L6376" s="38"/>
      <c r="Z6376" s="38"/>
    </row>
    <row r="6377" spans="12:26" x14ac:dyDescent="0.25">
      <c r="L6377" s="38"/>
      <c r="Z6377" s="38"/>
    </row>
    <row r="6378" spans="12:26" x14ac:dyDescent="0.25">
      <c r="L6378" s="38"/>
      <c r="Z6378" s="38"/>
    </row>
    <row r="6379" spans="12:26" x14ac:dyDescent="0.25">
      <c r="L6379" s="38"/>
      <c r="Z6379" s="38"/>
    </row>
    <row r="6380" spans="12:26" x14ac:dyDescent="0.25">
      <c r="L6380" s="38"/>
      <c r="Z6380" s="38"/>
    </row>
    <row r="6381" spans="12:26" x14ac:dyDescent="0.25">
      <c r="L6381" s="38"/>
      <c r="Z6381" s="38"/>
    </row>
    <row r="6382" spans="12:26" x14ac:dyDescent="0.25">
      <c r="L6382" s="38"/>
      <c r="Z6382" s="38"/>
    </row>
    <row r="6383" spans="12:26" x14ac:dyDescent="0.25">
      <c r="L6383" s="38"/>
      <c r="Z6383" s="38"/>
    </row>
    <row r="6384" spans="12:26" x14ac:dyDescent="0.25">
      <c r="L6384" s="38"/>
      <c r="Z6384" s="38"/>
    </row>
    <row r="6385" spans="12:26" x14ac:dyDescent="0.25">
      <c r="L6385" s="38"/>
      <c r="Z6385" s="38"/>
    </row>
    <row r="6386" spans="12:26" x14ac:dyDescent="0.25">
      <c r="L6386" s="38"/>
      <c r="Z6386" s="38"/>
    </row>
    <row r="6387" spans="12:26" x14ac:dyDescent="0.25">
      <c r="L6387" s="38"/>
      <c r="Z6387" s="38"/>
    </row>
    <row r="6388" spans="12:26" x14ac:dyDescent="0.25">
      <c r="L6388" s="38"/>
      <c r="Z6388" s="38"/>
    </row>
    <row r="6389" spans="12:26" x14ac:dyDescent="0.25">
      <c r="L6389" s="38"/>
      <c r="Z6389" s="38"/>
    </row>
    <row r="6390" spans="12:26" x14ac:dyDescent="0.25">
      <c r="L6390" s="38"/>
      <c r="Z6390" s="38"/>
    </row>
    <row r="6391" spans="12:26" x14ac:dyDescent="0.25">
      <c r="L6391" s="38"/>
      <c r="Z6391" s="38"/>
    </row>
    <row r="6392" spans="12:26" x14ac:dyDescent="0.25">
      <c r="L6392" s="38"/>
      <c r="Z6392" s="38"/>
    </row>
    <row r="6393" spans="12:26" x14ac:dyDescent="0.25">
      <c r="L6393" s="38"/>
      <c r="Z6393" s="38"/>
    </row>
    <row r="6394" spans="12:26" x14ac:dyDescent="0.25">
      <c r="L6394" s="38"/>
      <c r="Z6394" s="38"/>
    </row>
    <row r="6395" spans="12:26" x14ac:dyDescent="0.25">
      <c r="L6395" s="38"/>
      <c r="Z6395" s="38"/>
    </row>
    <row r="6396" spans="12:26" x14ac:dyDescent="0.25">
      <c r="L6396" s="38"/>
      <c r="Z6396" s="38"/>
    </row>
    <row r="6397" spans="12:26" x14ac:dyDescent="0.25">
      <c r="L6397" s="38"/>
      <c r="Z6397" s="38"/>
    </row>
    <row r="6398" spans="12:26" x14ac:dyDescent="0.25">
      <c r="L6398" s="38"/>
      <c r="Z6398" s="38"/>
    </row>
    <row r="6399" spans="12:26" x14ac:dyDescent="0.25">
      <c r="L6399" s="38"/>
      <c r="Z6399" s="38"/>
    </row>
    <row r="6400" spans="12:26" x14ac:dyDescent="0.25">
      <c r="L6400" s="38"/>
      <c r="Z6400" s="38"/>
    </row>
    <row r="6401" spans="12:26" x14ac:dyDescent="0.25">
      <c r="L6401" s="38"/>
      <c r="Z6401" s="38"/>
    </row>
    <row r="6402" spans="12:26" x14ac:dyDescent="0.25">
      <c r="L6402" s="38"/>
      <c r="Z6402" s="38"/>
    </row>
    <row r="6403" spans="12:26" x14ac:dyDescent="0.25">
      <c r="L6403" s="38"/>
      <c r="Z6403" s="38"/>
    </row>
    <row r="6404" spans="12:26" x14ac:dyDescent="0.25">
      <c r="L6404" s="38"/>
      <c r="Z6404" s="38"/>
    </row>
    <row r="6405" spans="12:26" x14ac:dyDescent="0.25">
      <c r="L6405" s="38"/>
      <c r="Z6405" s="38"/>
    </row>
    <row r="6406" spans="12:26" x14ac:dyDescent="0.25">
      <c r="L6406" s="38"/>
      <c r="Z6406" s="38"/>
    </row>
    <row r="6407" spans="12:26" x14ac:dyDescent="0.25">
      <c r="L6407" s="38"/>
      <c r="Z6407" s="38"/>
    </row>
    <row r="6408" spans="12:26" x14ac:dyDescent="0.25">
      <c r="L6408" s="38"/>
      <c r="Z6408" s="38"/>
    </row>
    <row r="6409" spans="12:26" x14ac:dyDescent="0.25">
      <c r="L6409" s="38"/>
      <c r="Z6409" s="38"/>
    </row>
    <row r="6410" spans="12:26" x14ac:dyDescent="0.25">
      <c r="L6410" s="38"/>
      <c r="Z6410" s="38"/>
    </row>
    <row r="6411" spans="12:26" x14ac:dyDescent="0.25">
      <c r="L6411" s="38"/>
      <c r="Z6411" s="38"/>
    </row>
    <row r="6412" spans="12:26" x14ac:dyDescent="0.25">
      <c r="L6412" s="38"/>
      <c r="Z6412" s="38"/>
    </row>
    <row r="6413" spans="12:26" x14ac:dyDescent="0.25">
      <c r="L6413" s="38"/>
      <c r="Z6413" s="38"/>
    </row>
    <row r="6414" spans="12:26" x14ac:dyDescent="0.25">
      <c r="L6414" s="38"/>
      <c r="Z6414" s="38"/>
    </row>
    <row r="6415" spans="12:26" x14ac:dyDescent="0.25">
      <c r="L6415" s="38"/>
      <c r="Z6415" s="38"/>
    </row>
    <row r="6416" spans="12:26" x14ac:dyDescent="0.25">
      <c r="L6416" s="38"/>
      <c r="Z6416" s="38"/>
    </row>
    <row r="6417" spans="12:26" x14ac:dyDescent="0.25">
      <c r="L6417" s="38"/>
      <c r="Z6417" s="38"/>
    </row>
    <row r="6418" spans="12:26" x14ac:dyDescent="0.25">
      <c r="L6418" s="38"/>
      <c r="Z6418" s="38"/>
    </row>
    <row r="6419" spans="12:26" x14ac:dyDescent="0.25">
      <c r="L6419" s="38"/>
      <c r="Z6419" s="38"/>
    </row>
    <row r="6420" spans="12:26" x14ac:dyDescent="0.25">
      <c r="L6420" s="38"/>
      <c r="Z6420" s="38"/>
    </row>
    <row r="6421" spans="12:26" x14ac:dyDescent="0.25">
      <c r="L6421" s="38"/>
      <c r="Z6421" s="38"/>
    </row>
    <row r="6422" spans="12:26" x14ac:dyDescent="0.25">
      <c r="L6422" s="38"/>
      <c r="Z6422" s="38"/>
    </row>
    <row r="6423" spans="12:26" x14ac:dyDescent="0.25">
      <c r="L6423" s="38"/>
      <c r="Z6423" s="38"/>
    </row>
    <row r="6424" spans="12:26" x14ac:dyDescent="0.25">
      <c r="L6424" s="38"/>
      <c r="Z6424" s="38"/>
    </row>
    <row r="6425" spans="12:26" x14ac:dyDescent="0.25">
      <c r="L6425" s="38"/>
      <c r="Z6425" s="38"/>
    </row>
    <row r="6426" spans="12:26" x14ac:dyDescent="0.25">
      <c r="L6426" s="38"/>
      <c r="Z6426" s="38"/>
    </row>
    <row r="6427" spans="12:26" x14ac:dyDescent="0.25">
      <c r="L6427" s="38"/>
      <c r="Z6427" s="38"/>
    </row>
    <row r="6428" spans="12:26" x14ac:dyDescent="0.25">
      <c r="L6428" s="38"/>
      <c r="Z6428" s="38"/>
    </row>
    <row r="6429" spans="12:26" x14ac:dyDescent="0.25">
      <c r="L6429" s="38"/>
      <c r="Z6429" s="38"/>
    </row>
    <row r="6430" spans="12:26" x14ac:dyDescent="0.25">
      <c r="L6430" s="38"/>
      <c r="Z6430" s="38"/>
    </row>
    <row r="6431" spans="12:26" x14ac:dyDescent="0.25">
      <c r="L6431" s="38"/>
      <c r="Z6431" s="38"/>
    </row>
    <row r="6432" spans="12:26" x14ac:dyDescent="0.25">
      <c r="L6432" s="38"/>
      <c r="Z6432" s="38"/>
    </row>
    <row r="6433" spans="12:26" x14ac:dyDescent="0.25">
      <c r="L6433" s="38"/>
      <c r="Z6433" s="38"/>
    </row>
    <row r="6434" spans="12:26" x14ac:dyDescent="0.25">
      <c r="L6434" s="38"/>
      <c r="Z6434" s="38"/>
    </row>
    <row r="6435" spans="12:26" x14ac:dyDescent="0.25">
      <c r="L6435" s="38"/>
      <c r="Z6435" s="38"/>
    </row>
    <row r="6436" spans="12:26" x14ac:dyDescent="0.25">
      <c r="L6436" s="38"/>
      <c r="Z6436" s="38"/>
    </row>
    <row r="6437" spans="12:26" x14ac:dyDescent="0.25">
      <c r="L6437" s="38"/>
      <c r="Z6437" s="38"/>
    </row>
    <row r="6438" spans="12:26" x14ac:dyDescent="0.25">
      <c r="L6438" s="38"/>
      <c r="Z6438" s="38"/>
    </row>
    <row r="6439" spans="12:26" x14ac:dyDescent="0.25">
      <c r="L6439" s="38"/>
      <c r="Z6439" s="38"/>
    </row>
    <row r="6440" spans="12:26" x14ac:dyDescent="0.25">
      <c r="L6440" s="38"/>
      <c r="Z6440" s="38"/>
    </row>
    <row r="6441" spans="12:26" x14ac:dyDescent="0.25">
      <c r="L6441" s="38"/>
      <c r="Z6441" s="38"/>
    </row>
    <row r="6442" spans="12:26" x14ac:dyDescent="0.25">
      <c r="L6442" s="38"/>
      <c r="Z6442" s="38"/>
    </row>
    <row r="6443" spans="12:26" x14ac:dyDescent="0.25">
      <c r="L6443" s="38"/>
      <c r="Z6443" s="38"/>
    </row>
    <row r="6444" spans="12:26" x14ac:dyDescent="0.25">
      <c r="L6444" s="38"/>
      <c r="Z6444" s="38"/>
    </row>
    <row r="6445" spans="12:26" x14ac:dyDescent="0.25">
      <c r="L6445" s="38"/>
      <c r="Z6445" s="38"/>
    </row>
    <row r="6446" spans="12:26" x14ac:dyDescent="0.25">
      <c r="L6446" s="38"/>
      <c r="Z6446" s="38"/>
    </row>
    <row r="6447" spans="12:26" x14ac:dyDescent="0.25">
      <c r="L6447" s="38"/>
      <c r="Z6447" s="38"/>
    </row>
    <row r="6448" spans="12:26" x14ac:dyDescent="0.25">
      <c r="L6448" s="38"/>
      <c r="Z6448" s="38"/>
    </row>
    <row r="6449" spans="12:26" x14ac:dyDescent="0.25">
      <c r="L6449" s="38"/>
      <c r="Z6449" s="38"/>
    </row>
    <row r="6450" spans="12:26" x14ac:dyDescent="0.25">
      <c r="L6450" s="38"/>
      <c r="Z6450" s="38"/>
    </row>
    <row r="6451" spans="12:26" x14ac:dyDescent="0.25">
      <c r="L6451" s="38"/>
      <c r="Z6451" s="38"/>
    </row>
    <row r="6452" spans="12:26" x14ac:dyDescent="0.25">
      <c r="L6452" s="38"/>
      <c r="Z6452" s="38"/>
    </row>
    <row r="6453" spans="12:26" x14ac:dyDescent="0.25">
      <c r="L6453" s="38"/>
      <c r="Z6453" s="38"/>
    </row>
    <row r="6454" spans="12:26" x14ac:dyDescent="0.25">
      <c r="L6454" s="38"/>
      <c r="Z6454" s="38"/>
    </row>
    <row r="6455" spans="12:26" x14ac:dyDescent="0.25">
      <c r="L6455" s="38"/>
      <c r="Z6455" s="38"/>
    </row>
    <row r="6456" spans="12:26" x14ac:dyDescent="0.25">
      <c r="L6456" s="38"/>
      <c r="Z6456" s="38"/>
    </row>
    <row r="6457" spans="12:26" x14ac:dyDescent="0.25">
      <c r="L6457" s="38"/>
      <c r="Z6457" s="38"/>
    </row>
    <row r="6458" spans="12:26" x14ac:dyDescent="0.25">
      <c r="L6458" s="38"/>
      <c r="Z6458" s="38"/>
    </row>
    <row r="6459" spans="12:26" x14ac:dyDescent="0.25">
      <c r="L6459" s="38"/>
      <c r="Z6459" s="38"/>
    </row>
    <row r="6460" spans="12:26" x14ac:dyDescent="0.25">
      <c r="L6460" s="38"/>
      <c r="Z6460" s="38"/>
    </row>
    <row r="6461" spans="12:26" x14ac:dyDescent="0.25">
      <c r="L6461" s="38"/>
      <c r="Z6461" s="38"/>
    </row>
    <row r="6462" spans="12:26" x14ac:dyDescent="0.25">
      <c r="L6462" s="38"/>
      <c r="Z6462" s="38"/>
    </row>
    <row r="6463" spans="12:26" x14ac:dyDescent="0.25">
      <c r="L6463" s="38"/>
      <c r="Z6463" s="38"/>
    </row>
    <row r="6464" spans="12:26" x14ac:dyDescent="0.25">
      <c r="L6464" s="38"/>
      <c r="Z6464" s="38"/>
    </row>
    <row r="6465" spans="12:26" x14ac:dyDescent="0.25">
      <c r="L6465" s="38"/>
      <c r="Z6465" s="38"/>
    </row>
    <row r="6466" spans="12:26" x14ac:dyDescent="0.25">
      <c r="L6466" s="38"/>
      <c r="Z6466" s="38"/>
    </row>
    <row r="6467" spans="12:26" x14ac:dyDescent="0.25">
      <c r="L6467" s="38"/>
      <c r="Z6467" s="38"/>
    </row>
    <row r="6468" spans="12:26" x14ac:dyDescent="0.25">
      <c r="L6468" s="38"/>
      <c r="Z6468" s="38"/>
    </row>
    <row r="6469" spans="12:26" x14ac:dyDescent="0.25">
      <c r="L6469" s="38"/>
      <c r="Z6469" s="38"/>
    </row>
    <row r="6470" spans="12:26" x14ac:dyDescent="0.25">
      <c r="L6470" s="38"/>
      <c r="Z6470" s="38"/>
    </row>
    <row r="6471" spans="12:26" x14ac:dyDescent="0.25">
      <c r="L6471" s="38"/>
      <c r="Z6471" s="38"/>
    </row>
    <row r="6472" spans="12:26" x14ac:dyDescent="0.25">
      <c r="L6472" s="38"/>
      <c r="Z6472" s="38"/>
    </row>
    <row r="6473" spans="12:26" x14ac:dyDescent="0.25">
      <c r="L6473" s="38"/>
      <c r="Z6473" s="38"/>
    </row>
    <row r="6474" spans="12:26" x14ac:dyDescent="0.25">
      <c r="L6474" s="38"/>
      <c r="Z6474" s="38"/>
    </row>
    <row r="6475" spans="12:26" x14ac:dyDescent="0.25">
      <c r="L6475" s="38"/>
      <c r="Z6475" s="38"/>
    </row>
    <row r="6476" spans="12:26" x14ac:dyDescent="0.25">
      <c r="L6476" s="38"/>
      <c r="Z6476" s="38"/>
    </row>
    <row r="6477" spans="12:26" x14ac:dyDescent="0.25">
      <c r="L6477" s="38"/>
      <c r="Z6477" s="38"/>
    </row>
    <row r="6478" spans="12:26" x14ac:dyDescent="0.25">
      <c r="L6478" s="38"/>
      <c r="Z6478" s="38"/>
    </row>
    <row r="6479" spans="12:26" x14ac:dyDescent="0.25">
      <c r="L6479" s="38"/>
      <c r="Z6479" s="38"/>
    </row>
    <row r="6480" spans="12:26" x14ac:dyDescent="0.25">
      <c r="L6480" s="38"/>
      <c r="Z6480" s="38"/>
    </row>
    <row r="6481" spans="12:26" x14ac:dyDescent="0.25">
      <c r="L6481" s="38"/>
      <c r="Z6481" s="38"/>
    </row>
    <row r="6482" spans="12:26" x14ac:dyDescent="0.25">
      <c r="L6482" s="38"/>
      <c r="Z6482" s="38"/>
    </row>
    <row r="6483" spans="12:26" x14ac:dyDescent="0.25">
      <c r="L6483" s="38"/>
      <c r="Z6483" s="38"/>
    </row>
    <row r="6484" spans="12:26" x14ac:dyDescent="0.25">
      <c r="L6484" s="38"/>
      <c r="Z6484" s="38"/>
    </row>
    <row r="6485" spans="12:26" x14ac:dyDescent="0.25">
      <c r="L6485" s="38"/>
      <c r="Z6485" s="38"/>
    </row>
    <row r="6486" spans="12:26" x14ac:dyDescent="0.25">
      <c r="L6486" s="38"/>
      <c r="Z6486" s="38"/>
    </row>
    <row r="6487" spans="12:26" x14ac:dyDescent="0.25">
      <c r="L6487" s="38"/>
      <c r="Z6487" s="38"/>
    </row>
    <row r="6488" spans="12:26" x14ac:dyDescent="0.25">
      <c r="L6488" s="38"/>
      <c r="Z6488" s="38"/>
    </row>
    <row r="6489" spans="12:26" x14ac:dyDescent="0.25">
      <c r="L6489" s="38"/>
      <c r="Z6489" s="38"/>
    </row>
    <row r="6490" spans="12:26" x14ac:dyDescent="0.25">
      <c r="L6490" s="38"/>
      <c r="Z6490" s="38"/>
    </row>
    <row r="6491" spans="12:26" x14ac:dyDescent="0.25">
      <c r="L6491" s="38"/>
      <c r="Z6491" s="38"/>
    </row>
    <row r="6492" spans="12:26" x14ac:dyDescent="0.25">
      <c r="L6492" s="38"/>
      <c r="Z6492" s="38"/>
    </row>
    <row r="6493" spans="12:26" x14ac:dyDescent="0.25">
      <c r="L6493" s="38"/>
      <c r="Z6493" s="38"/>
    </row>
    <row r="6494" spans="12:26" x14ac:dyDescent="0.25">
      <c r="L6494" s="38"/>
      <c r="Z6494" s="38"/>
    </row>
    <row r="6495" spans="12:26" x14ac:dyDescent="0.25">
      <c r="L6495" s="38"/>
      <c r="Z6495" s="38"/>
    </row>
    <row r="6496" spans="12:26" x14ac:dyDescent="0.25">
      <c r="L6496" s="38"/>
      <c r="Z6496" s="38"/>
    </row>
    <row r="6497" spans="12:26" x14ac:dyDescent="0.25">
      <c r="L6497" s="38"/>
      <c r="Z6497" s="38"/>
    </row>
    <row r="6498" spans="12:26" x14ac:dyDescent="0.25">
      <c r="L6498" s="38"/>
      <c r="Z6498" s="38"/>
    </row>
    <row r="6499" spans="12:26" x14ac:dyDescent="0.25">
      <c r="L6499" s="38"/>
      <c r="Z6499" s="38"/>
    </row>
    <row r="6500" spans="12:26" x14ac:dyDescent="0.25">
      <c r="L6500" s="38"/>
      <c r="Z6500" s="38"/>
    </row>
    <row r="6501" spans="12:26" x14ac:dyDescent="0.25">
      <c r="L6501" s="38"/>
      <c r="Z6501" s="38"/>
    </row>
    <row r="6502" spans="12:26" x14ac:dyDescent="0.25">
      <c r="L6502" s="38"/>
      <c r="Z6502" s="38"/>
    </row>
    <row r="6503" spans="12:26" x14ac:dyDescent="0.25">
      <c r="L6503" s="38"/>
      <c r="Z6503" s="38"/>
    </row>
    <row r="6504" spans="12:26" x14ac:dyDescent="0.25">
      <c r="L6504" s="38"/>
      <c r="Z6504" s="38"/>
    </row>
    <row r="6505" spans="12:26" x14ac:dyDescent="0.25">
      <c r="L6505" s="38"/>
      <c r="Z6505" s="38"/>
    </row>
    <row r="6506" spans="12:26" x14ac:dyDescent="0.25">
      <c r="L6506" s="38"/>
      <c r="Z6506" s="38"/>
    </row>
    <row r="6507" spans="12:26" x14ac:dyDescent="0.25">
      <c r="L6507" s="38"/>
      <c r="Z6507" s="38"/>
    </row>
    <row r="6508" spans="12:26" x14ac:dyDescent="0.25">
      <c r="L6508" s="38"/>
      <c r="Z6508" s="38"/>
    </row>
    <row r="6509" spans="12:26" x14ac:dyDescent="0.25">
      <c r="L6509" s="38"/>
      <c r="Z6509" s="38"/>
    </row>
    <row r="6510" spans="12:26" x14ac:dyDescent="0.25">
      <c r="L6510" s="38"/>
      <c r="Z6510" s="38"/>
    </row>
    <row r="6511" spans="12:26" x14ac:dyDescent="0.25">
      <c r="L6511" s="38"/>
      <c r="Z6511" s="38"/>
    </row>
    <row r="6512" spans="12:26" x14ac:dyDescent="0.25">
      <c r="L6512" s="38"/>
      <c r="Z6512" s="38"/>
    </row>
    <row r="6513" spans="12:26" x14ac:dyDescent="0.25">
      <c r="L6513" s="38"/>
      <c r="Z6513" s="38"/>
    </row>
    <row r="6514" spans="12:26" x14ac:dyDescent="0.25">
      <c r="L6514" s="38"/>
      <c r="Z6514" s="38"/>
    </row>
    <row r="6515" spans="12:26" x14ac:dyDescent="0.25">
      <c r="L6515" s="38"/>
      <c r="Z6515" s="38"/>
    </row>
    <row r="6516" spans="12:26" x14ac:dyDescent="0.25">
      <c r="L6516" s="38"/>
      <c r="Z6516" s="38"/>
    </row>
    <row r="6517" spans="12:26" x14ac:dyDescent="0.25">
      <c r="L6517" s="38"/>
      <c r="Z6517" s="38"/>
    </row>
    <row r="6518" spans="12:26" x14ac:dyDescent="0.25">
      <c r="L6518" s="38"/>
      <c r="Z6518" s="38"/>
    </row>
    <row r="6519" spans="12:26" x14ac:dyDescent="0.25">
      <c r="L6519" s="38"/>
      <c r="Z6519" s="38"/>
    </row>
    <row r="6520" spans="12:26" x14ac:dyDescent="0.25">
      <c r="L6520" s="38"/>
      <c r="Z6520" s="38"/>
    </row>
    <row r="6521" spans="12:26" x14ac:dyDescent="0.25">
      <c r="L6521" s="38"/>
      <c r="Z6521" s="38"/>
    </row>
    <row r="6522" spans="12:26" x14ac:dyDescent="0.25">
      <c r="L6522" s="38"/>
      <c r="Z6522" s="38"/>
    </row>
    <row r="6523" spans="12:26" x14ac:dyDescent="0.25">
      <c r="L6523" s="38"/>
      <c r="Z6523" s="38"/>
    </row>
    <row r="6524" spans="12:26" x14ac:dyDescent="0.25">
      <c r="L6524" s="38"/>
      <c r="Z6524" s="38"/>
    </row>
    <row r="6525" spans="12:26" x14ac:dyDescent="0.25">
      <c r="L6525" s="38"/>
      <c r="Z6525" s="38"/>
    </row>
    <row r="6526" spans="12:26" x14ac:dyDescent="0.25">
      <c r="L6526" s="38"/>
      <c r="Z6526" s="38"/>
    </row>
    <row r="6527" spans="12:26" x14ac:dyDescent="0.25">
      <c r="L6527" s="38"/>
      <c r="Z6527" s="38"/>
    </row>
    <row r="6528" spans="12:26" x14ac:dyDescent="0.25">
      <c r="L6528" s="38"/>
      <c r="Z6528" s="38"/>
    </row>
    <row r="6529" spans="12:26" x14ac:dyDescent="0.25">
      <c r="L6529" s="38"/>
      <c r="Z6529" s="38"/>
    </row>
    <row r="6530" spans="12:26" x14ac:dyDescent="0.25">
      <c r="L6530" s="38"/>
      <c r="Z6530" s="38"/>
    </row>
    <row r="6531" spans="12:26" x14ac:dyDescent="0.25">
      <c r="L6531" s="38"/>
      <c r="Z6531" s="38"/>
    </row>
    <row r="6532" spans="12:26" x14ac:dyDescent="0.25">
      <c r="L6532" s="38"/>
      <c r="Z6532" s="38"/>
    </row>
    <row r="6533" spans="12:26" x14ac:dyDescent="0.25">
      <c r="L6533" s="38"/>
      <c r="Z6533" s="38"/>
    </row>
    <row r="6534" spans="12:26" x14ac:dyDescent="0.25">
      <c r="L6534" s="38"/>
      <c r="Z6534" s="38"/>
    </row>
    <row r="6535" spans="12:26" x14ac:dyDescent="0.25">
      <c r="L6535" s="38"/>
      <c r="Z6535" s="38"/>
    </row>
    <row r="6536" spans="12:26" x14ac:dyDescent="0.25">
      <c r="L6536" s="38"/>
      <c r="Z6536" s="38"/>
    </row>
    <row r="6537" spans="12:26" x14ac:dyDescent="0.25">
      <c r="L6537" s="38"/>
      <c r="Z6537" s="38"/>
    </row>
    <row r="6538" spans="12:26" x14ac:dyDescent="0.25">
      <c r="L6538" s="38"/>
      <c r="Z6538" s="38"/>
    </row>
    <row r="6539" spans="12:26" x14ac:dyDescent="0.25">
      <c r="L6539" s="38"/>
      <c r="Z6539" s="38"/>
    </row>
    <row r="6540" spans="12:26" x14ac:dyDescent="0.25">
      <c r="L6540" s="38"/>
      <c r="Z6540" s="38"/>
    </row>
    <row r="6541" spans="12:26" x14ac:dyDescent="0.25">
      <c r="L6541" s="38"/>
      <c r="Z6541" s="38"/>
    </row>
    <row r="6542" spans="12:26" x14ac:dyDescent="0.25">
      <c r="L6542" s="38"/>
      <c r="Z6542" s="38"/>
    </row>
    <row r="6543" spans="12:26" x14ac:dyDescent="0.25">
      <c r="L6543" s="38"/>
      <c r="Z6543" s="38"/>
    </row>
    <row r="6544" spans="12:26" x14ac:dyDescent="0.25">
      <c r="L6544" s="38"/>
      <c r="Z6544" s="38"/>
    </row>
    <row r="6545" spans="12:26" x14ac:dyDescent="0.25">
      <c r="L6545" s="38"/>
      <c r="Z6545" s="38"/>
    </row>
    <row r="6546" spans="12:26" x14ac:dyDescent="0.25">
      <c r="L6546" s="38"/>
      <c r="Z6546" s="38"/>
    </row>
    <row r="6547" spans="12:26" x14ac:dyDescent="0.25">
      <c r="L6547" s="38"/>
      <c r="Z6547" s="38"/>
    </row>
    <row r="6548" spans="12:26" x14ac:dyDescent="0.25">
      <c r="L6548" s="38"/>
      <c r="Z6548" s="38"/>
    </row>
    <row r="6549" spans="12:26" x14ac:dyDescent="0.25">
      <c r="L6549" s="38"/>
      <c r="Z6549" s="38"/>
    </row>
    <row r="6550" spans="12:26" x14ac:dyDescent="0.25">
      <c r="L6550" s="38"/>
      <c r="Z6550" s="38"/>
    </row>
    <row r="6551" spans="12:26" x14ac:dyDescent="0.25">
      <c r="L6551" s="38"/>
      <c r="Z6551" s="38"/>
    </row>
    <row r="6552" spans="12:26" x14ac:dyDescent="0.25">
      <c r="L6552" s="38"/>
      <c r="Z6552" s="38"/>
    </row>
    <row r="6553" spans="12:26" x14ac:dyDescent="0.25">
      <c r="L6553" s="38"/>
      <c r="Z6553" s="38"/>
    </row>
    <row r="6554" spans="12:26" x14ac:dyDescent="0.25">
      <c r="L6554" s="38"/>
      <c r="Z6554" s="38"/>
    </row>
    <row r="6555" spans="12:26" x14ac:dyDescent="0.25">
      <c r="L6555" s="38"/>
      <c r="Z6555" s="38"/>
    </row>
    <row r="6556" spans="12:26" x14ac:dyDescent="0.25">
      <c r="L6556" s="38"/>
      <c r="Z6556" s="38"/>
    </row>
    <row r="6557" spans="12:26" x14ac:dyDescent="0.25">
      <c r="L6557" s="38"/>
      <c r="Z6557" s="38"/>
    </row>
    <row r="6558" spans="12:26" x14ac:dyDescent="0.25">
      <c r="L6558" s="38"/>
      <c r="Z6558" s="38"/>
    </row>
    <row r="6559" spans="12:26" x14ac:dyDescent="0.25">
      <c r="L6559" s="38"/>
      <c r="Z6559" s="38"/>
    </row>
    <row r="6560" spans="12:26" x14ac:dyDescent="0.25">
      <c r="L6560" s="38"/>
      <c r="Z6560" s="38"/>
    </row>
    <row r="6561" spans="12:26" x14ac:dyDescent="0.25">
      <c r="L6561" s="38"/>
      <c r="Z6561" s="38"/>
    </row>
    <row r="6562" spans="12:26" x14ac:dyDescent="0.25">
      <c r="L6562" s="38"/>
      <c r="Z6562" s="38"/>
    </row>
    <row r="6563" spans="12:26" x14ac:dyDescent="0.25">
      <c r="L6563" s="38"/>
      <c r="Z6563" s="38"/>
    </row>
    <row r="6564" spans="12:26" x14ac:dyDescent="0.25">
      <c r="L6564" s="38"/>
      <c r="Z6564" s="38"/>
    </row>
    <row r="6565" spans="12:26" x14ac:dyDescent="0.25">
      <c r="L6565" s="38"/>
      <c r="Z6565" s="38"/>
    </row>
    <row r="6566" spans="12:26" x14ac:dyDescent="0.25">
      <c r="L6566" s="38"/>
      <c r="Z6566" s="38"/>
    </row>
    <row r="6567" spans="12:26" x14ac:dyDescent="0.25">
      <c r="L6567" s="38"/>
      <c r="Z6567" s="38"/>
    </row>
    <row r="6568" spans="12:26" x14ac:dyDescent="0.25">
      <c r="L6568" s="38"/>
      <c r="Z6568" s="38"/>
    </row>
    <row r="6569" spans="12:26" x14ac:dyDescent="0.25">
      <c r="L6569" s="38"/>
      <c r="Z6569" s="38"/>
    </row>
    <row r="6570" spans="12:26" x14ac:dyDescent="0.25">
      <c r="L6570" s="38"/>
      <c r="Z6570" s="38"/>
    </row>
    <row r="6571" spans="12:26" x14ac:dyDescent="0.25">
      <c r="L6571" s="38"/>
      <c r="Z6571" s="38"/>
    </row>
    <row r="6572" spans="12:26" x14ac:dyDescent="0.25">
      <c r="L6572" s="38"/>
      <c r="Z6572" s="38"/>
    </row>
    <row r="6573" spans="12:26" x14ac:dyDescent="0.25">
      <c r="L6573" s="38"/>
      <c r="Z6573" s="38"/>
    </row>
    <row r="6574" spans="12:26" x14ac:dyDescent="0.25">
      <c r="L6574" s="38"/>
      <c r="Z6574" s="38"/>
    </row>
    <row r="6575" spans="12:26" x14ac:dyDescent="0.25">
      <c r="L6575" s="38"/>
      <c r="Z6575" s="38"/>
    </row>
    <row r="6576" spans="12:26" x14ac:dyDescent="0.25">
      <c r="L6576" s="38"/>
      <c r="Z6576" s="38"/>
    </row>
    <row r="6577" spans="12:26" x14ac:dyDescent="0.25">
      <c r="L6577" s="38"/>
      <c r="Z6577" s="38"/>
    </row>
    <row r="6578" spans="12:26" x14ac:dyDescent="0.25">
      <c r="L6578" s="38"/>
      <c r="Z6578" s="38"/>
    </row>
    <row r="6579" spans="12:26" x14ac:dyDescent="0.25">
      <c r="L6579" s="38"/>
      <c r="Z6579" s="38"/>
    </row>
    <row r="6580" spans="12:26" x14ac:dyDescent="0.25">
      <c r="L6580" s="38"/>
      <c r="Z6580" s="38"/>
    </row>
    <row r="6581" spans="12:26" x14ac:dyDescent="0.25">
      <c r="L6581" s="38"/>
      <c r="Z6581" s="38"/>
    </row>
    <row r="6582" spans="12:26" x14ac:dyDescent="0.25">
      <c r="L6582" s="38"/>
      <c r="Z6582" s="38"/>
    </row>
    <row r="6583" spans="12:26" x14ac:dyDescent="0.25">
      <c r="L6583" s="38"/>
      <c r="Z6583" s="38"/>
    </row>
    <row r="6584" spans="12:26" x14ac:dyDescent="0.25">
      <c r="L6584" s="38"/>
      <c r="Z6584" s="38"/>
    </row>
    <row r="6585" spans="12:26" x14ac:dyDescent="0.25">
      <c r="L6585" s="38"/>
      <c r="Z6585" s="38"/>
    </row>
    <row r="6586" spans="12:26" x14ac:dyDescent="0.25">
      <c r="L6586" s="38"/>
      <c r="Z6586" s="38"/>
    </row>
    <row r="6587" spans="12:26" x14ac:dyDescent="0.25">
      <c r="L6587" s="38"/>
      <c r="Z6587" s="38"/>
    </row>
    <row r="6588" spans="12:26" x14ac:dyDescent="0.25">
      <c r="L6588" s="38"/>
      <c r="Z6588" s="38"/>
    </row>
    <row r="6589" spans="12:26" x14ac:dyDescent="0.25">
      <c r="L6589" s="38"/>
      <c r="Z6589" s="38"/>
    </row>
    <row r="6590" spans="12:26" x14ac:dyDescent="0.25">
      <c r="L6590" s="38"/>
      <c r="Z6590" s="38"/>
    </row>
    <row r="6591" spans="12:26" x14ac:dyDescent="0.25">
      <c r="L6591" s="38"/>
      <c r="Z6591" s="38"/>
    </row>
    <row r="6592" spans="12:26" x14ac:dyDescent="0.25">
      <c r="L6592" s="38"/>
      <c r="Z6592" s="38"/>
    </row>
    <row r="6593" spans="12:26" x14ac:dyDescent="0.25">
      <c r="L6593" s="38"/>
      <c r="Z6593" s="38"/>
    </row>
    <row r="6594" spans="12:26" x14ac:dyDescent="0.25">
      <c r="L6594" s="38"/>
      <c r="Z6594" s="38"/>
    </row>
    <row r="6595" spans="12:26" x14ac:dyDescent="0.25">
      <c r="L6595" s="38"/>
      <c r="Z6595" s="38"/>
    </row>
    <row r="6596" spans="12:26" x14ac:dyDescent="0.25">
      <c r="L6596" s="38"/>
      <c r="Z6596" s="38"/>
    </row>
    <row r="6597" spans="12:26" x14ac:dyDescent="0.25">
      <c r="L6597" s="38"/>
      <c r="Z6597" s="38"/>
    </row>
    <row r="6598" spans="12:26" x14ac:dyDescent="0.25">
      <c r="L6598" s="38"/>
      <c r="Z6598" s="38"/>
    </row>
    <row r="6599" spans="12:26" x14ac:dyDescent="0.25">
      <c r="L6599" s="38"/>
      <c r="Z6599" s="38"/>
    </row>
    <row r="6600" spans="12:26" x14ac:dyDescent="0.25">
      <c r="L6600" s="38"/>
      <c r="Z6600" s="38"/>
    </row>
    <row r="6601" spans="12:26" x14ac:dyDescent="0.25">
      <c r="L6601" s="38"/>
      <c r="Z6601" s="38"/>
    </row>
    <row r="6602" spans="12:26" x14ac:dyDescent="0.25">
      <c r="L6602" s="38"/>
      <c r="Z6602" s="38"/>
    </row>
    <row r="6603" spans="12:26" x14ac:dyDescent="0.25">
      <c r="L6603" s="38"/>
      <c r="Z6603" s="38"/>
    </row>
    <row r="6604" spans="12:26" x14ac:dyDescent="0.25">
      <c r="L6604" s="38"/>
      <c r="Z6604" s="38"/>
    </row>
    <row r="6605" spans="12:26" x14ac:dyDescent="0.25">
      <c r="L6605" s="38"/>
      <c r="Z6605" s="38"/>
    </row>
    <row r="6606" spans="12:26" x14ac:dyDescent="0.25">
      <c r="L6606" s="38"/>
      <c r="Z6606" s="38"/>
    </row>
    <row r="6607" spans="12:26" x14ac:dyDescent="0.25">
      <c r="L6607" s="38"/>
      <c r="Z6607" s="38"/>
    </row>
    <row r="6608" spans="12:26" x14ac:dyDescent="0.25">
      <c r="L6608" s="38"/>
      <c r="Z6608" s="38"/>
    </row>
    <row r="6609" spans="12:26" x14ac:dyDescent="0.25">
      <c r="L6609" s="38"/>
      <c r="Z6609" s="38"/>
    </row>
    <row r="6610" spans="12:26" x14ac:dyDescent="0.25">
      <c r="L6610" s="38"/>
      <c r="Z6610" s="38"/>
    </row>
    <row r="6611" spans="12:26" x14ac:dyDescent="0.25">
      <c r="L6611" s="38"/>
      <c r="Z6611" s="38"/>
    </row>
    <row r="6612" spans="12:26" x14ac:dyDescent="0.25">
      <c r="L6612" s="38"/>
      <c r="Z6612" s="38"/>
    </row>
    <row r="6613" spans="12:26" x14ac:dyDescent="0.25">
      <c r="L6613" s="38"/>
      <c r="Z6613" s="38"/>
    </row>
    <row r="6614" spans="12:26" x14ac:dyDescent="0.25">
      <c r="L6614" s="38"/>
      <c r="Z6614" s="38"/>
    </row>
    <row r="6615" spans="12:26" x14ac:dyDescent="0.25">
      <c r="L6615" s="38"/>
      <c r="Z6615" s="38"/>
    </row>
    <row r="6616" spans="12:26" x14ac:dyDescent="0.25">
      <c r="L6616" s="38"/>
      <c r="Z6616" s="38"/>
    </row>
    <row r="6617" spans="12:26" x14ac:dyDescent="0.25">
      <c r="L6617" s="38"/>
      <c r="Z6617" s="38"/>
    </row>
    <row r="6618" spans="12:26" x14ac:dyDescent="0.25">
      <c r="L6618" s="38"/>
      <c r="Z6618" s="38"/>
    </row>
    <row r="6619" spans="12:26" x14ac:dyDescent="0.25">
      <c r="L6619" s="38"/>
      <c r="Z6619" s="38"/>
    </row>
    <row r="6620" spans="12:26" x14ac:dyDescent="0.25">
      <c r="L6620" s="38"/>
      <c r="Z6620" s="38"/>
    </row>
    <row r="6621" spans="12:26" x14ac:dyDescent="0.25">
      <c r="L6621" s="38"/>
      <c r="Z6621" s="38"/>
    </row>
    <row r="6622" spans="12:26" x14ac:dyDescent="0.25">
      <c r="L6622" s="38"/>
      <c r="Z6622" s="38"/>
    </row>
    <row r="6623" spans="12:26" x14ac:dyDescent="0.25">
      <c r="L6623" s="38"/>
      <c r="Z6623" s="38"/>
    </row>
    <row r="6624" spans="12:26" x14ac:dyDescent="0.25">
      <c r="L6624" s="38"/>
      <c r="Z6624" s="38"/>
    </row>
    <row r="6625" spans="12:26" x14ac:dyDescent="0.25">
      <c r="L6625" s="38"/>
      <c r="Z6625" s="38"/>
    </row>
    <row r="6626" spans="12:26" x14ac:dyDescent="0.25">
      <c r="L6626" s="38"/>
      <c r="Z6626" s="38"/>
    </row>
    <row r="6627" spans="12:26" x14ac:dyDescent="0.25">
      <c r="L6627" s="38"/>
      <c r="Z6627" s="38"/>
    </row>
    <row r="6628" spans="12:26" x14ac:dyDescent="0.25">
      <c r="L6628" s="38"/>
      <c r="Z6628" s="38"/>
    </row>
    <row r="6629" spans="12:26" x14ac:dyDescent="0.25">
      <c r="L6629" s="38"/>
      <c r="Z6629" s="38"/>
    </row>
    <row r="6630" spans="12:26" x14ac:dyDescent="0.25">
      <c r="L6630" s="38"/>
      <c r="Z6630" s="38"/>
    </row>
    <row r="6631" spans="12:26" x14ac:dyDescent="0.25">
      <c r="L6631" s="38"/>
      <c r="Z6631" s="38"/>
    </row>
    <row r="6632" spans="12:26" x14ac:dyDescent="0.25">
      <c r="L6632" s="38"/>
      <c r="Z6632" s="38"/>
    </row>
    <row r="6633" spans="12:26" x14ac:dyDescent="0.25">
      <c r="L6633" s="38"/>
      <c r="Z6633" s="38"/>
    </row>
    <row r="6634" spans="12:26" x14ac:dyDescent="0.25">
      <c r="L6634" s="38"/>
      <c r="Z6634" s="38"/>
    </row>
    <row r="6635" spans="12:26" x14ac:dyDescent="0.25">
      <c r="L6635" s="38"/>
      <c r="Z6635" s="38"/>
    </row>
    <row r="6636" spans="12:26" x14ac:dyDescent="0.25">
      <c r="L6636" s="38"/>
      <c r="Z6636" s="38"/>
    </row>
    <row r="6637" spans="12:26" x14ac:dyDescent="0.25">
      <c r="L6637" s="38"/>
      <c r="Z6637" s="38"/>
    </row>
    <row r="6638" spans="12:26" x14ac:dyDescent="0.25">
      <c r="L6638" s="38"/>
      <c r="Z6638" s="38"/>
    </row>
    <row r="6639" spans="12:26" x14ac:dyDescent="0.25">
      <c r="L6639" s="38"/>
      <c r="Z6639" s="38"/>
    </row>
    <row r="6640" spans="12:26" x14ac:dyDescent="0.25">
      <c r="L6640" s="38"/>
      <c r="Z6640" s="38"/>
    </row>
    <row r="6641" spans="12:26" x14ac:dyDescent="0.25">
      <c r="L6641" s="38"/>
      <c r="Z6641" s="38"/>
    </row>
    <row r="6642" spans="12:26" x14ac:dyDescent="0.25">
      <c r="L6642" s="38"/>
      <c r="Z6642" s="38"/>
    </row>
    <row r="6643" spans="12:26" x14ac:dyDescent="0.25">
      <c r="L6643" s="38"/>
      <c r="Z6643" s="38"/>
    </row>
    <row r="6644" spans="12:26" x14ac:dyDescent="0.25">
      <c r="L6644" s="38"/>
      <c r="Z6644" s="38"/>
    </row>
    <row r="6645" spans="12:26" x14ac:dyDescent="0.25">
      <c r="L6645" s="38"/>
      <c r="Z6645" s="38"/>
    </row>
    <row r="6646" spans="12:26" x14ac:dyDescent="0.25">
      <c r="L6646" s="38"/>
      <c r="Z6646" s="38"/>
    </row>
    <row r="6647" spans="12:26" x14ac:dyDescent="0.25">
      <c r="L6647" s="38"/>
      <c r="Z6647" s="38"/>
    </row>
    <row r="6648" spans="12:26" x14ac:dyDescent="0.25">
      <c r="L6648" s="38"/>
      <c r="Z6648" s="38"/>
    </row>
    <row r="6649" spans="12:26" x14ac:dyDescent="0.25">
      <c r="L6649" s="38"/>
      <c r="Z6649" s="38"/>
    </row>
    <row r="6650" spans="12:26" x14ac:dyDescent="0.25">
      <c r="L6650" s="38"/>
      <c r="Z6650" s="38"/>
    </row>
    <row r="6651" spans="12:26" x14ac:dyDescent="0.25">
      <c r="L6651" s="38"/>
      <c r="Z6651" s="38"/>
    </row>
    <row r="6652" spans="12:26" x14ac:dyDescent="0.25">
      <c r="L6652" s="38"/>
      <c r="Z6652" s="38"/>
    </row>
    <row r="6653" spans="12:26" x14ac:dyDescent="0.25">
      <c r="L6653" s="38"/>
      <c r="Z6653" s="38"/>
    </row>
    <row r="6654" spans="12:26" x14ac:dyDescent="0.25">
      <c r="L6654" s="38"/>
      <c r="Z6654" s="38"/>
    </row>
    <row r="6655" spans="12:26" x14ac:dyDescent="0.25">
      <c r="L6655" s="38"/>
      <c r="Z6655" s="38"/>
    </row>
    <row r="6656" spans="12:26" x14ac:dyDescent="0.25">
      <c r="L6656" s="38"/>
      <c r="Z6656" s="38"/>
    </row>
    <row r="6657" spans="12:26" x14ac:dyDescent="0.25">
      <c r="L6657" s="38"/>
      <c r="Z6657" s="38"/>
    </row>
    <row r="6658" spans="12:26" x14ac:dyDescent="0.25">
      <c r="L6658" s="38"/>
      <c r="Z6658" s="38"/>
    </row>
    <row r="6659" spans="12:26" x14ac:dyDescent="0.25">
      <c r="L6659" s="38"/>
      <c r="Z6659" s="38"/>
    </row>
    <row r="6660" spans="12:26" x14ac:dyDescent="0.25">
      <c r="L6660" s="38"/>
      <c r="Z6660" s="38"/>
    </row>
    <row r="6661" spans="12:26" x14ac:dyDescent="0.25">
      <c r="L6661" s="38"/>
      <c r="Z6661" s="38"/>
    </row>
    <row r="6662" spans="12:26" x14ac:dyDescent="0.25">
      <c r="L6662" s="38"/>
      <c r="Z6662" s="38"/>
    </row>
    <row r="6663" spans="12:26" x14ac:dyDescent="0.25">
      <c r="L6663" s="38"/>
      <c r="Z6663" s="38"/>
    </row>
    <row r="6664" spans="12:26" x14ac:dyDescent="0.25">
      <c r="L6664" s="38"/>
      <c r="Z6664" s="38"/>
    </row>
    <row r="6665" spans="12:26" x14ac:dyDescent="0.25">
      <c r="L6665" s="38"/>
      <c r="Z6665" s="38"/>
    </row>
    <row r="6666" spans="12:26" x14ac:dyDescent="0.25">
      <c r="L6666" s="38"/>
      <c r="Z6666" s="38"/>
    </row>
    <row r="6667" spans="12:26" x14ac:dyDescent="0.25">
      <c r="L6667" s="38"/>
      <c r="Z6667" s="38"/>
    </row>
    <row r="6668" spans="12:26" x14ac:dyDescent="0.25">
      <c r="L6668" s="38"/>
      <c r="Z6668" s="38"/>
    </row>
    <row r="6669" spans="12:26" x14ac:dyDescent="0.25">
      <c r="L6669" s="38"/>
      <c r="Z6669" s="38"/>
    </row>
    <row r="6670" spans="12:26" x14ac:dyDescent="0.25">
      <c r="L6670" s="38"/>
      <c r="Z6670" s="38"/>
    </row>
    <row r="6671" spans="12:26" x14ac:dyDescent="0.25">
      <c r="L6671" s="38"/>
      <c r="Z6671" s="38"/>
    </row>
    <row r="6672" spans="12:26" x14ac:dyDescent="0.25">
      <c r="L6672" s="38"/>
      <c r="Z6672" s="38"/>
    </row>
    <row r="6673" spans="12:26" x14ac:dyDescent="0.25">
      <c r="L6673" s="38"/>
      <c r="Z6673" s="38"/>
    </row>
    <row r="6674" spans="12:26" x14ac:dyDescent="0.25">
      <c r="L6674" s="38"/>
      <c r="Z6674" s="38"/>
    </row>
    <row r="6675" spans="12:26" x14ac:dyDescent="0.25">
      <c r="L6675" s="38"/>
      <c r="Z6675" s="38"/>
    </row>
    <row r="6676" spans="12:26" x14ac:dyDescent="0.25">
      <c r="L6676" s="38"/>
      <c r="Z6676" s="38"/>
    </row>
    <row r="6677" spans="12:26" x14ac:dyDescent="0.25">
      <c r="L6677" s="38"/>
      <c r="Z6677" s="38"/>
    </row>
    <row r="6678" spans="12:26" x14ac:dyDescent="0.25">
      <c r="L6678" s="38"/>
      <c r="Z6678" s="38"/>
    </row>
    <row r="6679" spans="12:26" x14ac:dyDescent="0.25">
      <c r="L6679" s="38"/>
      <c r="Z6679" s="38"/>
    </row>
    <row r="6680" spans="12:26" x14ac:dyDescent="0.25">
      <c r="L6680" s="38"/>
      <c r="Z6680" s="38"/>
    </row>
    <row r="6681" spans="12:26" x14ac:dyDescent="0.25">
      <c r="L6681" s="38"/>
      <c r="Z6681" s="38"/>
    </row>
    <row r="6682" spans="12:26" x14ac:dyDescent="0.25">
      <c r="L6682" s="38"/>
      <c r="Z6682" s="38"/>
    </row>
    <row r="6683" spans="12:26" x14ac:dyDescent="0.25">
      <c r="L6683" s="38"/>
      <c r="Z6683" s="38"/>
    </row>
    <row r="6684" spans="12:26" x14ac:dyDescent="0.25">
      <c r="L6684" s="38"/>
      <c r="Z6684" s="38"/>
    </row>
    <row r="6685" spans="12:26" x14ac:dyDescent="0.25">
      <c r="L6685" s="38"/>
      <c r="Z6685" s="38"/>
    </row>
    <row r="6686" spans="12:26" x14ac:dyDescent="0.25">
      <c r="L6686" s="38"/>
      <c r="Z6686" s="38"/>
    </row>
    <row r="6687" spans="12:26" x14ac:dyDescent="0.25">
      <c r="L6687" s="38"/>
      <c r="Z6687" s="38"/>
    </row>
    <row r="6688" spans="12:26" x14ac:dyDescent="0.25">
      <c r="L6688" s="38"/>
      <c r="Z6688" s="38"/>
    </row>
    <row r="6689" spans="12:26" x14ac:dyDescent="0.25">
      <c r="L6689" s="38"/>
      <c r="Z6689" s="38"/>
    </row>
    <row r="6690" spans="12:26" x14ac:dyDescent="0.25">
      <c r="L6690" s="38"/>
      <c r="Z6690" s="38"/>
    </row>
    <row r="6691" spans="12:26" x14ac:dyDescent="0.25">
      <c r="L6691" s="38"/>
      <c r="Z6691" s="38"/>
    </row>
    <row r="6692" spans="12:26" x14ac:dyDescent="0.25">
      <c r="L6692" s="38"/>
      <c r="Z6692" s="38"/>
    </row>
    <row r="6693" spans="12:26" x14ac:dyDescent="0.25">
      <c r="L6693" s="38"/>
      <c r="Z6693" s="38"/>
    </row>
    <row r="6694" spans="12:26" x14ac:dyDescent="0.25">
      <c r="L6694" s="38"/>
      <c r="Z6694" s="38"/>
    </row>
    <row r="6695" spans="12:26" x14ac:dyDescent="0.25">
      <c r="L6695" s="38"/>
      <c r="Z6695" s="38"/>
    </row>
    <row r="6696" spans="12:26" x14ac:dyDescent="0.25">
      <c r="L6696" s="38"/>
      <c r="Z6696" s="38"/>
    </row>
    <row r="6697" spans="12:26" x14ac:dyDescent="0.25">
      <c r="L6697" s="38"/>
      <c r="Z6697" s="38"/>
    </row>
    <row r="6698" spans="12:26" x14ac:dyDescent="0.25">
      <c r="L6698" s="38"/>
      <c r="Z6698" s="38"/>
    </row>
    <row r="6699" spans="12:26" x14ac:dyDescent="0.25">
      <c r="L6699" s="38"/>
      <c r="Z6699" s="38"/>
    </row>
    <row r="6700" spans="12:26" x14ac:dyDescent="0.25">
      <c r="L6700" s="38"/>
      <c r="Z6700" s="38"/>
    </row>
    <row r="6701" spans="12:26" x14ac:dyDescent="0.25">
      <c r="L6701" s="38"/>
      <c r="Z6701" s="38"/>
    </row>
    <row r="6702" spans="12:26" x14ac:dyDescent="0.25">
      <c r="L6702" s="38"/>
      <c r="Z6702" s="38"/>
    </row>
    <row r="6703" spans="12:26" x14ac:dyDescent="0.25">
      <c r="L6703" s="38"/>
      <c r="Z6703" s="38"/>
    </row>
    <row r="6704" spans="12:26" x14ac:dyDescent="0.25">
      <c r="L6704" s="38"/>
      <c r="Z6704" s="38"/>
    </row>
    <row r="6705" spans="12:26" x14ac:dyDescent="0.25">
      <c r="L6705" s="38"/>
      <c r="Z6705" s="38"/>
    </row>
    <row r="6706" spans="12:26" x14ac:dyDescent="0.25">
      <c r="L6706" s="38"/>
      <c r="Z6706" s="38"/>
    </row>
    <row r="6707" spans="12:26" x14ac:dyDescent="0.25">
      <c r="L6707" s="38"/>
      <c r="Z6707" s="38"/>
    </row>
    <row r="6708" spans="12:26" x14ac:dyDescent="0.25">
      <c r="L6708" s="38"/>
      <c r="Z6708" s="38"/>
    </row>
    <row r="6709" spans="12:26" x14ac:dyDescent="0.25">
      <c r="L6709" s="38"/>
      <c r="Z6709" s="38"/>
    </row>
    <row r="6710" spans="12:26" x14ac:dyDescent="0.25">
      <c r="L6710" s="38"/>
      <c r="Z6710" s="38"/>
    </row>
    <row r="6711" spans="12:26" x14ac:dyDescent="0.25">
      <c r="L6711" s="38"/>
      <c r="Z6711" s="38"/>
    </row>
    <row r="6712" spans="12:26" x14ac:dyDescent="0.25">
      <c r="L6712" s="38"/>
      <c r="Z6712" s="38"/>
    </row>
    <row r="6713" spans="12:26" x14ac:dyDescent="0.25">
      <c r="L6713" s="38"/>
      <c r="Z6713" s="38"/>
    </row>
    <row r="6714" spans="12:26" x14ac:dyDescent="0.25">
      <c r="L6714" s="38"/>
      <c r="Z6714" s="38"/>
    </row>
    <row r="6715" spans="12:26" x14ac:dyDescent="0.25">
      <c r="L6715" s="38"/>
      <c r="Z6715" s="38"/>
    </row>
    <row r="6716" spans="12:26" x14ac:dyDescent="0.25">
      <c r="L6716" s="38"/>
      <c r="Z6716" s="38"/>
    </row>
    <row r="6717" spans="12:26" x14ac:dyDescent="0.25">
      <c r="L6717" s="38"/>
      <c r="Z6717" s="38"/>
    </row>
    <row r="6718" spans="12:26" x14ac:dyDescent="0.25">
      <c r="L6718" s="38"/>
      <c r="Z6718" s="38"/>
    </row>
    <row r="6719" spans="12:26" x14ac:dyDescent="0.25">
      <c r="L6719" s="38"/>
      <c r="Z6719" s="38"/>
    </row>
    <row r="6720" spans="12:26" x14ac:dyDescent="0.25">
      <c r="L6720" s="38"/>
      <c r="Z6720" s="38"/>
    </row>
    <row r="6721" spans="12:26" x14ac:dyDescent="0.25">
      <c r="L6721" s="38"/>
      <c r="Z6721" s="38"/>
    </row>
    <row r="6722" spans="12:26" x14ac:dyDescent="0.25">
      <c r="L6722" s="38"/>
      <c r="Z6722" s="38"/>
    </row>
    <row r="6723" spans="12:26" x14ac:dyDescent="0.25">
      <c r="L6723" s="38"/>
      <c r="Z6723" s="38"/>
    </row>
    <row r="6724" spans="12:26" x14ac:dyDescent="0.25">
      <c r="L6724" s="38"/>
      <c r="Z6724" s="38"/>
    </row>
    <row r="6725" spans="12:26" x14ac:dyDescent="0.25">
      <c r="L6725" s="38"/>
      <c r="Z6725" s="38"/>
    </row>
    <row r="6726" spans="12:26" x14ac:dyDescent="0.25">
      <c r="L6726" s="38"/>
      <c r="Z6726" s="38"/>
    </row>
    <row r="6727" spans="12:26" x14ac:dyDescent="0.25">
      <c r="L6727" s="38"/>
      <c r="Z6727" s="38"/>
    </row>
    <row r="6728" spans="12:26" x14ac:dyDescent="0.25">
      <c r="L6728" s="38"/>
      <c r="Z6728" s="38"/>
    </row>
    <row r="6729" spans="12:26" x14ac:dyDescent="0.25">
      <c r="L6729" s="38"/>
      <c r="Z6729" s="38"/>
    </row>
    <row r="6730" spans="12:26" x14ac:dyDescent="0.25">
      <c r="L6730" s="38"/>
      <c r="Z6730" s="38"/>
    </row>
    <row r="6731" spans="12:26" x14ac:dyDescent="0.25">
      <c r="L6731" s="38"/>
      <c r="Z6731" s="38"/>
    </row>
    <row r="6732" spans="12:26" x14ac:dyDescent="0.25">
      <c r="L6732" s="38"/>
      <c r="Z6732" s="38"/>
    </row>
    <row r="6733" spans="12:26" x14ac:dyDescent="0.25">
      <c r="L6733" s="38"/>
      <c r="Z6733" s="38"/>
    </row>
    <row r="6734" spans="12:26" x14ac:dyDescent="0.25">
      <c r="L6734" s="38"/>
      <c r="Z6734" s="38"/>
    </row>
    <row r="6735" spans="12:26" x14ac:dyDescent="0.25">
      <c r="L6735" s="38"/>
      <c r="Z6735" s="38"/>
    </row>
    <row r="6736" spans="12:26" x14ac:dyDescent="0.25">
      <c r="L6736" s="38"/>
      <c r="Z6736" s="38"/>
    </row>
    <row r="6737" spans="12:26" x14ac:dyDescent="0.25">
      <c r="L6737" s="38"/>
      <c r="Z6737" s="38"/>
    </row>
    <row r="6738" spans="12:26" x14ac:dyDescent="0.25">
      <c r="L6738" s="38"/>
      <c r="Z6738" s="38"/>
    </row>
    <row r="6739" spans="12:26" x14ac:dyDescent="0.25">
      <c r="L6739" s="38"/>
      <c r="Z6739" s="38"/>
    </row>
    <row r="6740" spans="12:26" x14ac:dyDescent="0.25">
      <c r="L6740" s="38"/>
      <c r="Z6740" s="38"/>
    </row>
    <row r="6741" spans="12:26" x14ac:dyDescent="0.25">
      <c r="L6741" s="38"/>
      <c r="Z6741" s="38"/>
    </row>
    <row r="6742" spans="12:26" x14ac:dyDescent="0.25">
      <c r="L6742" s="38"/>
      <c r="Z6742" s="38"/>
    </row>
    <row r="6743" spans="12:26" x14ac:dyDescent="0.25">
      <c r="L6743" s="38"/>
      <c r="Z6743" s="38"/>
    </row>
    <row r="6744" spans="12:26" x14ac:dyDescent="0.25">
      <c r="L6744" s="38"/>
      <c r="Z6744" s="38"/>
    </row>
    <row r="6745" spans="12:26" x14ac:dyDescent="0.25">
      <c r="L6745" s="38"/>
      <c r="Z6745" s="38"/>
    </row>
    <row r="6746" spans="12:26" x14ac:dyDescent="0.25">
      <c r="L6746" s="38"/>
      <c r="Z6746" s="38"/>
    </row>
    <row r="6747" spans="12:26" x14ac:dyDescent="0.25">
      <c r="L6747" s="38"/>
      <c r="Z6747" s="38"/>
    </row>
    <row r="6748" spans="12:26" x14ac:dyDescent="0.25">
      <c r="L6748" s="38"/>
      <c r="Z6748" s="38"/>
    </row>
    <row r="6749" spans="12:26" x14ac:dyDescent="0.25">
      <c r="L6749" s="38"/>
      <c r="Z6749" s="38"/>
    </row>
    <row r="6750" spans="12:26" x14ac:dyDescent="0.25">
      <c r="L6750" s="38"/>
      <c r="Z6750" s="38"/>
    </row>
    <row r="6751" spans="12:26" x14ac:dyDescent="0.25">
      <c r="L6751" s="38"/>
      <c r="Z6751" s="38"/>
    </row>
    <row r="6752" spans="12:26" x14ac:dyDescent="0.25">
      <c r="L6752" s="38"/>
      <c r="Z6752" s="38"/>
    </row>
    <row r="6753" spans="12:26" x14ac:dyDescent="0.25">
      <c r="L6753" s="38"/>
      <c r="Z6753" s="38"/>
    </row>
    <row r="6754" spans="12:26" x14ac:dyDescent="0.25">
      <c r="L6754" s="38"/>
      <c r="Z6754" s="38"/>
    </row>
    <row r="6755" spans="12:26" x14ac:dyDescent="0.25">
      <c r="L6755" s="38"/>
      <c r="Z6755" s="38"/>
    </row>
    <row r="6756" spans="12:26" x14ac:dyDescent="0.25">
      <c r="L6756" s="38"/>
      <c r="Z6756" s="38"/>
    </row>
    <row r="6757" spans="12:26" x14ac:dyDescent="0.25">
      <c r="L6757" s="38"/>
      <c r="Z6757" s="38"/>
    </row>
    <row r="6758" spans="12:26" x14ac:dyDescent="0.25">
      <c r="L6758" s="38"/>
      <c r="Z6758" s="38"/>
    </row>
    <row r="6759" spans="12:26" x14ac:dyDescent="0.25">
      <c r="L6759" s="38"/>
      <c r="Z6759" s="38"/>
    </row>
    <row r="6760" spans="12:26" x14ac:dyDescent="0.25">
      <c r="L6760" s="38"/>
      <c r="Z6760" s="38"/>
    </row>
    <row r="6761" spans="12:26" x14ac:dyDescent="0.25">
      <c r="L6761" s="38"/>
      <c r="Z6761" s="38"/>
    </row>
    <row r="6762" spans="12:26" x14ac:dyDescent="0.25">
      <c r="L6762" s="38"/>
      <c r="Z6762" s="38"/>
    </row>
    <row r="6763" spans="12:26" x14ac:dyDescent="0.25">
      <c r="L6763" s="38"/>
      <c r="Z6763" s="38"/>
    </row>
    <row r="6764" spans="12:26" x14ac:dyDescent="0.25">
      <c r="L6764" s="38"/>
      <c r="Z6764" s="38"/>
    </row>
    <row r="6765" spans="12:26" x14ac:dyDescent="0.25">
      <c r="L6765" s="38"/>
      <c r="Z6765" s="38"/>
    </row>
    <row r="6766" spans="12:26" x14ac:dyDescent="0.25">
      <c r="L6766" s="38"/>
      <c r="Z6766" s="38"/>
    </row>
    <row r="6767" spans="12:26" x14ac:dyDescent="0.25">
      <c r="L6767" s="38"/>
      <c r="Z6767" s="38"/>
    </row>
    <row r="6768" spans="12:26" x14ac:dyDescent="0.25">
      <c r="L6768" s="38"/>
      <c r="Z6768" s="38"/>
    </row>
    <row r="6769" spans="12:26" x14ac:dyDescent="0.25">
      <c r="L6769" s="38"/>
      <c r="Z6769" s="38"/>
    </row>
    <row r="6770" spans="12:26" x14ac:dyDescent="0.25">
      <c r="L6770" s="38"/>
      <c r="Z6770" s="38"/>
    </row>
    <row r="6771" spans="12:26" x14ac:dyDescent="0.25">
      <c r="L6771" s="38"/>
      <c r="Z6771" s="38"/>
    </row>
    <row r="6772" spans="12:26" x14ac:dyDescent="0.25">
      <c r="L6772" s="38"/>
      <c r="Z6772" s="38"/>
    </row>
    <row r="6773" spans="12:26" x14ac:dyDescent="0.25">
      <c r="L6773" s="38"/>
      <c r="Z6773" s="38"/>
    </row>
    <row r="6774" spans="12:26" x14ac:dyDescent="0.25">
      <c r="L6774" s="38"/>
      <c r="Z6774" s="38"/>
    </row>
    <row r="6775" spans="12:26" x14ac:dyDescent="0.25">
      <c r="L6775" s="38"/>
      <c r="Z6775" s="38"/>
    </row>
    <row r="6776" spans="12:26" x14ac:dyDescent="0.25">
      <c r="L6776" s="38"/>
      <c r="Z6776" s="38"/>
    </row>
    <row r="6777" spans="12:26" x14ac:dyDescent="0.25">
      <c r="L6777" s="38"/>
      <c r="Z6777" s="38"/>
    </row>
    <row r="6778" spans="12:26" x14ac:dyDescent="0.25">
      <c r="L6778" s="38"/>
      <c r="Z6778" s="38"/>
    </row>
    <row r="6779" spans="12:26" x14ac:dyDescent="0.25">
      <c r="L6779" s="38"/>
      <c r="Z6779" s="38"/>
    </row>
    <row r="6780" spans="12:26" x14ac:dyDescent="0.25">
      <c r="L6780" s="38"/>
      <c r="Z6780" s="38"/>
    </row>
    <row r="6781" spans="12:26" x14ac:dyDescent="0.25">
      <c r="L6781" s="38"/>
      <c r="Z6781" s="38"/>
    </row>
    <row r="6782" spans="12:26" x14ac:dyDescent="0.25">
      <c r="L6782" s="38"/>
      <c r="Z6782" s="38"/>
    </row>
    <row r="6783" spans="12:26" x14ac:dyDescent="0.25">
      <c r="L6783" s="38"/>
      <c r="Z6783" s="38"/>
    </row>
    <row r="6784" spans="12:26" x14ac:dyDescent="0.25">
      <c r="L6784" s="38"/>
      <c r="Z6784" s="38"/>
    </row>
    <row r="6785" spans="12:26" x14ac:dyDescent="0.25">
      <c r="L6785" s="38"/>
      <c r="Z6785" s="38"/>
    </row>
    <row r="6786" spans="12:26" x14ac:dyDescent="0.25">
      <c r="L6786" s="38"/>
      <c r="Z6786" s="38"/>
    </row>
    <row r="6787" spans="12:26" x14ac:dyDescent="0.25">
      <c r="L6787" s="38"/>
      <c r="Z6787" s="38"/>
    </row>
    <row r="6788" spans="12:26" x14ac:dyDescent="0.25">
      <c r="L6788" s="38"/>
      <c r="Z6788" s="38"/>
    </row>
    <row r="6789" spans="12:26" x14ac:dyDescent="0.25">
      <c r="L6789" s="38"/>
      <c r="Z6789" s="38"/>
    </row>
    <row r="6790" spans="12:26" x14ac:dyDescent="0.25">
      <c r="L6790" s="38"/>
      <c r="Z6790" s="38"/>
    </row>
    <row r="6791" spans="12:26" x14ac:dyDescent="0.25">
      <c r="L6791" s="38"/>
      <c r="Z6791" s="38"/>
    </row>
    <row r="6792" spans="12:26" x14ac:dyDescent="0.25">
      <c r="L6792" s="38"/>
      <c r="Z6792" s="38"/>
    </row>
    <row r="6793" spans="12:26" x14ac:dyDescent="0.25">
      <c r="L6793" s="38"/>
      <c r="Z6793" s="38"/>
    </row>
    <row r="6794" spans="12:26" x14ac:dyDescent="0.25">
      <c r="L6794" s="38"/>
      <c r="Z6794" s="38"/>
    </row>
    <row r="6795" spans="12:26" x14ac:dyDescent="0.25">
      <c r="L6795" s="38"/>
      <c r="Z6795" s="38"/>
    </row>
    <row r="6796" spans="12:26" x14ac:dyDescent="0.25">
      <c r="L6796" s="38"/>
      <c r="Z6796" s="38"/>
    </row>
    <row r="6797" spans="12:26" x14ac:dyDescent="0.25">
      <c r="L6797" s="38"/>
      <c r="Z6797" s="38"/>
    </row>
    <row r="6798" spans="12:26" x14ac:dyDescent="0.25">
      <c r="L6798" s="38"/>
      <c r="Z6798" s="38"/>
    </row>
    <row r="6799" spans="12:26" x14ac:dyDescent="0.25">
      <c r="L6799" s="38"/>
      <c r="Z6799" s="38"/>
    </row>
    <row r="6800" spans="12:26" x14ac:dyDescent="0.25">
      <c r="L6800" s="38"/>
      <c r="Z6800" s="38"/>
    </row>
    <row r="6801" spans="12:26" x14ac:dyDescent="0.25">
      <c r="L6801" s="38"/>
      <c r="Z6801" s="38"/>
    </row>
    <row r="6802" spans="12:26" x14ac:dyDescent="0.25">
      <c r="L6802" s="38"/>
      <c r="Z6802" s="38"/>
    </row>
    <row r="6803" spans="12:26" x14ac:dyDescent="0.25">
      <c r="L6803" s="38"/>
      <c r="Z6803" s="38"/>
    </row>
    <row r="6804" spans="12:26" x14ac:dyDescent="0.25">
      <c r="L6804" s="38"/>
      <c r="Z6804" s="38"/>
    </row>
    <row r="6805" spans="12:26" x14ac:dyDescent="0.25">
      <c r="L6805" s="38"/>
      <c r="Z6805" s="38"/>
    </row>
    <row r="6806" spans="12:26" x14ac:dyDescent="0.25">
      <c r="L6806" s="38"/>
      <c r="Z6806" s="38"/>
    </row>
    <row r="6807" spans="12:26" x14ac:dyDescent="0.25">
      <c r="L6807" s="38"/>
      <c r="Z6807" s="38"/>
    </row>
    <row r="6808" spans="12:26" x14ac:dyDescent="0.25">
      <c r="L6808" s="38"/>
      <c r="Z6808" s="38"/>
    </row>
    <row r="6809" spans="12:26" x14ac:dyDescent="0.25">
      <c r="L6809" s="38"/>
      <c r="Z6809" s="38"/>
    </row>
    <row r="6810" spans="12:26" x14ac:dyDescent="0.25">
      <c r="L6810" s="38"/>
      <c r="Z6810" s="38"/>
    </row>
    <row r="6811" spans="12:26" x14ac:dyDescent="0.25">
      <c r="L6811" s="38"/>
      <c r="Z6811" s="38"/>
    </row>
    <row r="6812" spans="12:26" x14ac:dyDescent="0.25">
      <c r="L6812" s="38"/>
      <c r="Z6812" s="38"/>
    </row>
    <row r="6813" spans="12:26" x14ac:dyDescent="0.25">
      <c r="L6813" s="38"/>
      <c r="Z6813" s="38"/>
    </row>
    <row r="6814" spans="12:26" x14ac:dyDescent="0.25">
      <c r="L6814" s="38"/>
      <c r="Z6814" s="38"/>
    </row>
    <row r="6815" spans="12:26" x14ac:dyDescent="0.25">
      <c r="L6815" s="38"/>
      <c r="Z6815" s="38"/>
    </row>
    <row r="6816" spans="12:26" x14ac:dyDescent="0.25">
      <c r="L6816" s="38"/>
      <c r="Z6816" s="38"/>
    </row>
    <row r="6817" spans="12:26" x14ac:dyDescent="0.25">
      <c r="L6817" s="38"/>
      <c r="Z6817" s="38"/>
    </row>
    <row r="6818" spans="12:26" x14ac:dyDescent="0.25">
      <c r="L6818" s="38"/>
      <c r="Z6818" s="38"/>
    </row>
    <row r="6819" spans="12:26" x14ac:dyDescent="0.25">
      <c r="L6819" s="38"/>
      <c r="Z6819" s="38"/>
    </row>
    <row r="6820" spans="12:26" x14ac:dyDescent="0.25">
      <c r="L6820" s="38"/>
      <c r="Z6820" s="38"/>
    </row>
    <row r="6821" spans="12:26" x14ac:dyDescent="0.25">
      <c r="L6821" s="38"/>
      <c r="Z6821" s="38"/>
    </row>
    <row r="6822" spans="12:26" x14ac:dyDescent="0.25">
      <c r="L6822" s="38"/>
      <c r="Z6822" s="38"/>
    </row>
    <row r="6823" spans="12:26" x14ac:dyDescent="0.25">
      <c r="L6823" s="38"/>
      <c r="Z6823" s="38"/>
    </row>
    <row r="6824" spans="12:26" x14ac:dyDescent="0.25">
      <c r="L6824" s="38"/>
      <c r="Z6824" s="38"/>
    </row>
    <row r="6825" spans="12:26" x14ac:dyDescent="0.25">
      <c r="L6825" s="38"/>
      <c r="Z6825" s="38"/>
    </row>
    <row r="6826" spans="12:26" x14ac:dyDescent="0.25">
      <c r="L6826" s="38"/>
      <c r="Z6826" s="38"/>
    </row>
    <row r="6827" spans="12:26" x14ac:dyDescent="0.25">
      <c r="L6827" s="38"/>
      <c r="Z6827" s="38"/>
    </row>
    <row r="6828" spans="12:26" x14ac:dyDescent="0.25">
      <c r="L6828" s="38"/>
      <c r="Z6828" s="38"/>
    </row>
    <row r="6829" spans="12:26" x14ac:dyDescent="0.25">
      <c r="L6829" s="38"/>
      <c r="Z6829" s="38"/>
    </row>
    <row r="6830" spans="12:26" x14ac:dyDescent="0.25">
      <c r="L6830" s="38"/>
      <c r="Z6830" s="38"/>
    </row>
    <row r="6831" spans="12:26" x14ac:dyDescent="0.25">
      <c r="L6831" s="38"/>
      <c r="Z6831" s="38"/>
    </row>
    <row r="6832" spans="12:26" x14ac:dyDescent="0.25">
      <c r="L6832" s="38"/>
      <c r="Z6832" s="38"/>
    </row>
    <row r="6833" spans="12:26" x14ac:dyDescent="0.25">
      <c r="L6833" s="38"/>
      <c r="Z6833" s="38"/>
    </row>
    <row r="6834" spans="12:26" x14ac:dyDescent="0.25">
      <c r="L6834" s="38"/>
      <c r="Z6834" s="38"/>
    </row>
    <row r="6835" spans="12:26" x14ac:dyDescent="0.25">
      <c r="L6835" s="38"/>
      <c r="Z6835" s="38"/>
    </row>
    <row r="6836" spans="12:26" x14ac:dyDescent="0.25">
      <c r="L6836" s="38"/>
      <c r="Z6836" s="38"/>
    </row>
    <row r="6837" spans="12:26" x14ac:dyDescent="0.25">
      <c r="L6837" s="38"/>
      <c r="Z6837" s="38"/>
    </row>
    <row r="6838" spans="12:26" x14ac:dyDescent="0.25">
      <c r="L6838" s="38"/>
      <c r="Z6838" s="38"/>
    </row>
    <row r="6839" spans="12:26" x14ac:dyDescent="0.25">
      <c r="L6839" s="38"/>
      <c r="Z6839" s="38"/>
    </row>
    <row r="6840" spans="12:26" x14ac:dyDescent="0.25">
      <c r="L6840" s="38"/>
      <c r="Z6840" s="38"/>
    </row>
    <row r="6841" spans="12:26" x14ac:dyDescent="0.25">
      <c r="L6841" s="38"/>
      <c r="Z6841" s="38"/>
    </row>
    <row r="6842" spans="12:26" x14ac:dyDescent="0.25">
      <c r="L6842" s="38"/>
      <c r="Z6842" s="38"/>
    </row>
    <row r="6843" spans="12:26" x14ac:dyDescent="0.25">
      <c r="L6843" s="38"/>
      <c r="Z6843" s="38"/>
    </row>
    <row r="6844" spans="12:26" x14ac:dyDescent="0.25">
      <c r="L6844" s="38"/>
      <c r="Z6844" s="38"/>
    </row>
    <row r="6845" spans="12:26" x14ac:dyDescent="0.25">
      <c r="L6845" s="38"/>
      <c r="Z6845" s="38"/>
    </row>
    <row r="6846" spans="12:26" x14ac:dyDescent="0.25">
      <c r="L6846" s="38"/>
      <c r="Z6846" s="38"/>
    </row>
    <row r="6847" spans="12:26" x14ac:dyDescent="0.25">
      <c r="L6847" s="38"/>
      <c r="Z6847" s="38"/>
    </row>
    <row r="6848" spans="12:26" x14ac:dyDescent="0.25">
      <c r="L6848" s="38"/>
      <c r="Z6848" s="38"/>
    </row>
    <row r="6849" spans="12:26" x14ac:dyDescent="0.25">
      <c r="L6849" s="38"/>
      <c r="Z6849" s="38"/>
    </row>
    <row r="6850" spans="12:26" x14ac:dyDescent="0.25">
      <c r="L6850" s="38"/>
      <c r="Z6850" s="38"/>
    </row>
    <row r="6851" spans="12:26" x14ac:dyDescent="0.25">
      <c r="L6851" s="38"/>
      <c r="Z6851" s="38"/>
    </row>
    <row r="6852" spans="12:26" x14ac:dyDescent="0.25">
      <c r="L6852" s="38"/>
      <c r="Z6852" s="38"/>
    </row>
    <row r="6853" spans="12:26" x14ac:dyDescent="0.25">
      <c r="L6853" s="38"/>
      <c r="Z6853" s="38"/>
    </row>
    <row r="6854" spans="12:26" x14ac:dyDescent="0.25">
      <c r="L6854" s="38"/>
      <c r="Z6854" s="38"/>
    </row>
    <row r="6855" spans="12:26" x14ac:dyDescent="0.25">
      <c r="L6855" s="38"/>
      <c r="Z6855" s="38"/>
    </row>
    <row r="6856" spans="12:26" x14ac:dyDescent="0.25">
      <c r="L6856" s="38"/>
      <c r="Z6856" s="38"/>
    </row>
    <row r="6857" spans="12:26" x14ac:dyDescent="0.25">
      <c r="L6857" s="38"/>
      <c r="Z6857" s="38"/>
    </row>
    <row r="6858" spans="12:26" x14ac:dyDescent="0.25">
      <c r="L6858" s="38"/>
      <c r="Z6858" s="38"/>
    </row>
    <row r="6859" spans="12:26" x14ac:dyDescent="0.25">
      <c r="L6859" s="38"/>
      <c r="Z6859" s="38"/>
    </row>
    <row r="6860" spans="12:26" x14ac:dyDescent="0.25">
      <c r="L6860" s="38"/>
      <c r="Z6860" s="38"/>
    </row>
    <row r="6861" spans="12:26" x14ac:dyDescent="0.25">
      <c r="L6861" s="38"/>
      <c r="Z6861" s="38"/>
    </row>
    <row r="6862" spans="12:26" x14ac:dyDescent="0.25">
      <c r="L6862" s="38"/>
      <c r="Z6862" s="38"/>
    </row>
    <row r="6863" spans="12:26" x14ac:dyDescent="0.25">
      <c r="L6863" s="38"/>
      <c r="Z6863" s="38"/>
    </row>
    <row r="6864" spans="12:26" x14ac:dyDescent="0.25">
      <c r="L6864" s="38"/>
      <c r="Z6864" s="38"/>
    </row>
    <row r="6865" spans="12:26" x14ac:dyDescent="0.25">
      <c r="L6865" s="38"/>
      <c r="Z6865" s="38"/>
    </row>
    <row r="6866" spans="12:26" x14ac:dyDescent="0.25">
      <c r="L6866" s="38"/>
      <c r="Z6866" s="38"/>
    </row>
    <row r="6867" spans="12:26" x14ac:dyDescent="0.25">
      <c r="L6867" s="38"/>
      <c r="Z6867" s="38"/>
    </row>
    <row r="6868" spans="12:26" x14ac:dyDescent="0.25">
      <c r="L6868" s="38"/>
      <c r="Z6868" s="38"/>
    </row>
    <row r="6869" spans="12:26" x14ac:dyDescent="0.25">
      <c r="L6869" s="38"/>
      <c r="Z6869" s="38"/>
    </row>
    <row r="6870" spans="12:26" x14ac:dyDescent="0.25">
      <c r="L6870" s="38"/>
      <c r="Z6870" s="38"/>
    </row>
    <row r="6871" spans="12:26" x14ac:dyDescent="0.25">
      <c r="L6871" s="38"/>
      <c r="Z6871" s="38"/>
    </row>
    <row r="6872" spans="12:26" x14ac:dyDescent="0.25">
      <c r="L6872" s="38"/>
      <c r="Z6872" s="38"/>
    </row>
    <row r="6873" spans="12:26" x14ac:dyDescent="0.25">
      <c r="L6873" s="38"/>
      <c r="Z6873" s="38"/>
    </row>
    <row r="6874" spans="12:26" x14ac:dyDescent="0.25">
      <c r="L6874" s="38"/>
      <c r="Z6874" s="38"/>
    </row>
    <row r="6875" spans="12:26" x14ac:dyDescent="0.25">
      <c r="L6875" s="38"/>
      <c r="Z6875" s="38"/>
    </row>
    <row r="6876" spans="12:26" x14ac:dyDescent="0.25">
      <c r="L6876" s="38"/>
      <c r="Z6876" s="38"/>
    </row>
    <row r="6877" spans="12:26" x14ac:dyDescent="0.25">
      <c r="L6877" s="38"/>
      <c r="Z6877" s="38"/>
    </row>
    <row r="6878" spans="12:26" x14ac:dyDescent="0.25">
      <c r="L6878" s="38"/>
      <c r="Z6878" s="38"/>
    </row>
    <row r="6879" spans="12:26" x14ac:dyDescent="0.25">
      <c r="L6879" s="38"/>
      <c r="Z6879" s="38"/>
    </row>
    <row r="6880" spans="12:26" x14ac:dyDescent="0.25">
      <c r="L6880" s="38"/>
      <c r="Z6880" s="38"/>
    </row>
    <row r="6881" spans="12:26" x14ac:dyDescent="0.25">
      <c r="L6881" s="38"/>
      <c r="Z6881" s="38"/>
    </row>
    <row r="6882" spans="12:26" x14ac:dyDescent="0.25">
      <c r="L6882" s="38"/>
      <c r="Z6882" s="38"/>
    </row>
    <row r="6883" spans="12:26" x14ac:dyDescent="0.25">
      <c r="L6883" s="38"/>
      <c r="Z6883" s="38"/>
    </row>
    <row r="6884" spans="12:26" x14ac:dyDescent="0.25">
      <c r="L6884" s="38"/>
      <c r="Z6884" s="38"/>
    </row>
    <row r="6885" spans="12:26" x14ac:dyDescent="0.25">
      <c r="L6885" s="38"/>
      <c r="Z6885" s="38"/>
    </row>
    <row r="6886" spans="12:26" x14ac:dyDescent="0.25">
      <c r="L6886" s="38"/>
      <c r="Z6886" s="38"/>
    </row>
    <row r="6887" spans="12:26" x14ac:dyDescent="0.25">
      <c r="L6887" s="38"/>
      <c r="Z6887" s="38"/>
    </row>
    <row r="6888" spans="12:26" x14ac:dyDescent="0.25">
      <c r="L6888" s="38"/>
      <c r="Z6888" s="38"/>
    </row>
    <row r="6889" spans="12:26" x14ac:dyDescent="0.25">
      <c r="L6889" s="38"/>
      <c r="Z6889" s="38"/>
    </row>
    <row r="6890" spans="12:26" x14ac:dyDescent="0.25">
      <c r="L6890" s="38"/>
      <c r="Z6890" s="38"/>
    </row>
    <row r="6891" spans="12:26" x14ac:dyDescent="0.25">
      <c r="L6891" s="38"/>
      <c r="Z6891" s="38"/>
    </row>
    <row r="6892" spans="12:26" x14ac:dyDescent="0.25">
      <c r="L6892" s="38"/>
      <c r="Z6892" s="38"/>
    </row>
    <row r="6893" spans="12:26" x14ac:dyDescent="0.25">
      <c r="L6893" s="38"/>
      <c r="Z6893" s="38"/>
    </row>
    <row r="6894" spans="12:26" x14ac:dyDescent="0.25">
      <c r="L6894" s="38"/>
      <c r="Z6894" s="38"/>
    </row>
    <row r="6895" spans="12:26" x14ac:dyDescent="0.25">
      <c r="L6895" s="38"/>
      <c r="Z6895" s="38"/>
    </row>
    <row r="6896" spans="12:26" x14ac:dyDescent="0.25">
      <c r="L6896" s="38"/>
      <c r="Z6896" s="38"/>
    </row>
    <row r="6897" spans="12:26" x14ac:dyDescent="0.25">
      <c r="L6897" s="38"/>
      <c r="Z6897" s="38"/>
    </row>
    <row r="6898" spans="12:26" x14ac:dyDescent="0.25">
      <c r="L6898" s="38"/>
      <c r="Z6898" s="38"/>
    </row>
    <row r="6899" spans="12:26" x14ac:dyDescent="0.25">
      <c r="L6899" s="38"/>
      <c r="Z6899" s="38"/>
    </row>
    <row r="6900" spans="12:26" x14ac:dyDescent="0.25">
      <c r="L6900" s="38"/>
      <c r="Z6900" s="38"/>
    </row>
    <row r="6901" spans="12:26" x14ac:dyDescent="0.25">
      <c r="L6901" s="38"/>
      <c r="Z6901" s="38"/>
    </row>
    <row r="6902" spans="12:26" x14ac:dyDescent="0.25">
      <c r="L6902" s="38"/>
      <c r="Z6902" s="38"/>
    </row>
    <row r="6903" spans="12:26" x14ac:dyDescent="0.25">
      <c r="L6903" s="38"/>
      <c r="Z6903" s="38"/>
    </row>
    <row r="6904" spans="12:26" x14ac:dyDescent="0.25">
      <c r="L6904" s="38"/>
      <c r="Z6904" s="38"/>
    </row>
    <row r="6905" spans="12:26" x14ac:dyDescent="0.25">
      <c r="L6905" s="38"/>
      <c r="Z6905" s="38"/>
    </row>
    <row r="6906" spans="12:26" x14ac:dyDescent="0.25">
      <c r="L6906" s="38"/>
      <c r="Z6906" s="38"/>
    </row>
    <row r="6907" spans="12:26" x14ac:dyDescent="0.25">
      <c r="L6907" s="38"/>
      <c r="Z6907" s="38"/>
    </row>
    <row r="6908" spans="12:26" x14ac:dyDescent="0.25">
      <c r="L6908" s="38"/>
      <c r="Z6908" s="38"/>
    </row>
    <row r="6909" spans="12:26" x14ac:dyDescent="0.25">
      <c r="L6909" s="38"/>
      <c r="Z6909" s="38"/>
    </row>
    <row r="6910" spans="12:26" x14ac:dyDescent="0.25">
      <c r="L6910" s="38"/>
      <c r="Z6910" s="38"/>
    </row>
    <row r="6911" spans="12:26" x14ac:dyDescent="0.25">
      <c r="L6911" s="38"/>
      <c r="Z6911" s="38"/>
    </row>
    <row r="6912" spans="12:26" x14ac:dyDescent="0.25">
      <c r="L6912" s="38"/>
      <c r="Z6912" s="38"/>
    </row>
    <row r="6913" spans="12:26" x14ac:dyDescent="0.25">
      <c r="L6913" s="38"/>
      <c r="Z6913" s="38"/>
    </row>
    <row r="6914" spans="12:26" x14ac:dyDescent="0.25">
      <c r="L6914" s="38"/>
      <c r="Z6914" s="38"/>
    </row>
    <row r="6915" spans="12:26" x14ac:dyDescent="0.25">
      <c r="L6915" s="38"/>
      <c r="Z6915" s="38"/>
    </row>
    <row r="6916" spans="12:26" x14ac:dyDescent="0.25">
      <c r="L6916" s="38"/>
      <c r="Z6916" s="38"/>
    </row>
    <row r="6917" spans="12:26" x14ac:dyDescent="0.25">
      <c r="L6917" s="38"/>
      <c r="Z6917" s="38"/>
    </row>
    <row r="6918" spans="12:26" x14ac:dyDescent="0.25">
      <c r="L6918" s="38"/>
      <c r="Z6918" s="38"/>
    </row>
    <row r="6919" spans="12:26" x14ac:dyDescent="0.25">
      <c r="L6919" s="38"/>
      <c r="Z6919" s="38"/>
    </row>
    <row r="6920" spans="12:26" x14ac:dyDescent="0.25">
      <c r="L6920" s="38"/>
      <c r="Z6920" s="38"/>
    </row>
    <row r="6921" spans="12:26" x14ac:dyDescent="0.25">
      <c r="L6921" s="38"/>
      <c r="Z6921" s="38"/>
    </row>
    <row r="6922" spans="12:26" x14ac:dyDescent="0.25">
      <c r="L6922" s="38"/>
      <c r="Z6922" s="38"/>
    </row>
    <row r="6923" spans="12:26" x14ac:dyDescent="0.25">
      <c r="L6923" s="38"/>
      <c r="Z6923" s="38"/>
    </row>
    <row r="6924" spans="12:26" x14ac:dyDescent="0.25">
      <c r="L6924" s="38"/>
      <c r="Z6924" s="38"/>
    </row>
    <row r="6925" spans="12:26" x14ac:dyDescent="0.25">
      <c r="L6925" s="38"/>
      <c r="Z6925" s="38"/>
    </row>
    <row r="6926" spans="12:26" x14ac:dyDescent="0.25">
      <c r="L6926" s="38"/>
      <c r="Z6926" s="38"/>
    </row>
    <row r="6927" spans="12:26" x14ac:dyDescent="0.25">
      <c r="L6927" s="38"/>
      <c r="Z6927" s="38"/>
    </row>
    <row r="6928" spans="12:26" x14ac:dyDescent="0.25">
      <c r="L6928" s="38"/>
      <c r="Z6928" s="38"/>
    </row>
    <row r="6929" spans="12:26" x14ac:dyDescent="0.25">
      <c r="L6929" s="38"/>
      <c r="Z6929" s="38"/>
    </row>
    <row r="6930" spans="12:26" x14ac:dyDescent="0.25">
      <c r="L6930" s="38"/>
      <c r="Z6930" s="38"/>
    </row>
    <row r="6931" spans="12:26" x14ac:dyDescent="0.25">
      <c r="L6931" s="38"/>
      <c r="Z6931" s="38"/>
    </row>
    <row r="6932" spans="12:26" x14ac:dyDescent="0.25">
      <c r="L6932" s="38"/>
      <c r="Z6932" s="38"/>
    </row>
    <row r="6933" spans="12:26" x14ac:dyDescent="0.25">
      <c r="L6933" s="38"/>
      <c r="Z6933" s="38"/>
    </row>
    <row r="6934" spans="12:26" x14ac:dyDescent="0.25">
      <c r="L6934" s="38"/>
      <c r="Z6934" s="38"/>
    </row>
    <row r="6935" spans="12:26" x14ac:dyDescent="0.25">
      <c r="L6935" s="38"/>
      <c r="Z6935" s="38"/>
    </row>
    <row r="6936" spans="12:26" x14ac:dyDescent="0.25">
      <c r="L6936" s="38"/>
      <c r="Z6936" s="38"/>
    </row>
    <row r="6937" spans="12:26" x14ac:dyDescent="0.25">
      <c r="L6937" s="38"/>
      <c r="Z6937" s="38"/>
    </row>
    <row r="6938" spans="12:26" x14ac:dyDescent="0.25">
      <c r="L6938" s="38"/>
      <c r="Z6938" s="38"/>
    </row>
    <row r="6939" spans="12:26" x14ac:dyDescent="0.25">
      <c r="L6939" s="38"/>
      <c r="Z6939" s="38"/>
    </row>
    <row r="6940" spans="12:26" x14ac:dyDescent="0.25">
      <c r="L6940" s="38"/>
      <c r="Z6940" s="38"/>
    </row>
    <row r="6941" spans="12:26" x14ac:dyDescent="0.25">
      <c r="L6941" s="38"/>
      <c r="Z6941" s="38"/>
    </row>
    <row r="6942" spans="12:26" x14ac:dyDescent="0.25">
      <c r="L6942" s="38"/>
      <c r="Z6942" s="38"/>
    </row>
    <row r="6943" spans="12:26" x14ac:dyDescent="0.25">
      <c r="L6943" s="38"/>
      <c r="Z6943" s="38"/>
    </row>
    <row r="6944" spans="12:26" x14ac:dyDescent="0.25">
      <c r="L6944" s="38"/>
      <c r="Z6944" s="38"/>
    </row>
    <row r="6945" spans="12:26" x14ac:dyDescent="0.25">
      <c r="L6945" s="38"/>
      <c r="Z6945" s="38"/>
    </row>
    <row r="6946" spans="12:26" x14ac:dyDescent="0.25">
      <c r="L6946" s="38"/>
      <c r="Z6946" s="38"/>
    </row>
    <row r="6947" spans="12:26" x14ac:dyDescent="0.25">
      <c r="L6947" s="38"/>
      <c r="Z6947" s="38"/>
    </row>
    <row r="6948" spans="12:26" x14ac:dyDescent="0.25">
      <c r="L6948" s="38"/>
      <c r="Z6948" s="38"/>
    </row>
    <row r="6949" spans="12:26" x14ac:dyDescent="0.25">
      <c r="L6949" s="38"/>
      <c r="Z6949" s="38"/>
    </row>
    <row r="6950" spans="12:26" x14ac:dyDescent="0.25">
      <c r="L6950" s="38"/>
      <c r="Z6950" s="38"/>
    </row>
    <row r="6951" spans="12:26" x14ac:dyDescent="0.25">
      <c r="L6951" s="38"/>
      <c r="Z6951" s="38"/>
    </row>
    <row r="6952" spans="12:26" x14ac:dyDescent="0.25">
      <c r="L6952" s="38"/>
      <c r="Z6952" s="38"/>
    </row>
    <row r="6953" spans="12:26" x14ac:dyDescent="0.25">
      <c r="L6953" s="38"/>
      <c r="Z6953" s="38"/>
    </row>
  </sheetData>
  <autoFilter ref="A1:AG6369" xr:uid="{0820E8AD-321E-410E-AD5F-F497C39CADAE}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8550C-BA2E-4BE5-A702-37A57F687976}">
  <sheetPr codeName="Sheet5">
    <tabColor rgb="FF00B050"/>
  </sheetPr>
  <dimension ref="A1:GB75"/>
  <sheetViews>
    <sheetView zoomScale="50" zoomScaleNormal="50" workbookViewId="0">
      <selection activeCell="F71" sqref="F71"/>
    </sheetView>
  </sheetViews>
  <sheetFormatPr defaultRowHeight="15" x14ac:dyDescent="0.25"/>
  <cols>
    <col min="4" max="4" width="17.140625" bestFit="1" customWidth="1"/>
    <col min="5" max="5" width="32.42578125" customWidth="1"/>
    <col min="6" max="6" width="21.5703125" bestFit="1" customWidth="1"/>
    <col min="8" max="8" width="19" bestFit="1" customWidth="1"/>
    <col min="9" max="9" width="9.85546875" bestFit="1" customWidth="1"/>
    <col min="10" max="10" width="12.140625" bestFit="1" customWidth="1"/>
    <col min="11" max="11" width="12.5703125" bestFit="1" customWidth="1"/>
    <col min="13" max="13" width="8.85546875" bestFit="1" customWidth="1"/>
    <col min="22" max="22" width="54.140625" customWidth="1"/>
    <col min="23" max="23" width="14.85546875" bestFit="1" customWidth="1"/>
    <col min="25" max="25" width="8.85546875" bestFit="1" customWidth="1"/>
    <col min="30" max="31" width="8.85546875" bestFit="1" customWidth="1"/>
    <col min="32" max="32" width="17.5703125" bestFit="1" customWidth="1"/>
    <col min="33" max="33" width="20.28515625" bestFit="1" customWidth="1"/>
    <col min="35" max="35" width="27.28515625" customWidth="1"/>
    <col min="37" max="37" width="13.140625" customWidth="1"/>
    <col min="38" max="38" width="13.42578125" customWidth="1"/>
    <col min="39" max="40" width="8.85546875" bestFit="1" customWidth="1"/>
    <col min="43" max="43" width="17.85546875" bestFit="1" customWidth="1"/>
    <col min="44" max="44" width="19.5703125" bestFit="1" customWidth="1"/>
    <col min="47" max="47" width="8.85546875" bestFit="1" customWidth="1"/>
    <col min="49" max="49" width="33" bestFit="1" customWidth="1"/>
    <col min="53" max="53" width="8.85546875" bestFit="1" customWidth="1"/>
    <col min="54" max="54" width="14.5703125" bestFit="1" customWidth="1"/>
    <col min="57" max="57" width="18.42578125" bestFit="1" customWidth="1"/>
    <col min="58" max="58" width="11.140625" bestFit="1" customWidth="1"/>
    <col min="60" max="60" width="10.5703125" bestFit="1" customWidth="1"/>
    <col min="61" max="62" width="11.28515625" bestFit="1" customWidth="1"/>
    <col min="64" max="64" width="14.5703125" bestFit="1" customWidth="1"/>
    <col min="91" max="91" width="8.85546875" bestFit="1" customWidth="1"/>
    <col min="92" max="92" width="22.7109375" bestFit="1" customWidth="1"/>
    <col min="96" max="99" width="8.85546875" bestFit="1" customWidth="1"/>
    <col min="107" max="107" width="8.85546875" bestFit="1" customWidth="1"/>
    <col min="108" max="108" width="15.42578125" customWidth="1"/>
    <col min="111" max="112" width="8.85546875" bestFit="1" customWidth="1"/>
    <col min="118" max="118" width="8.85546875" bestFit="1" customWidth="1"/>
    <col min="126" max="128" width="8.85546875" bestFit="1" customWidth="1"/>
    <col min="135" max="135" width="18" bestFit="1" customWidth="1"/>
    <col min="136" max="136" width="9.140625" customWidth="1"/>
    <col min="137" max="137" width="255.7109375" bestFit="1" customWidth="1"/>
    <col min="138" max="138" width="8.85546875" bestFit="1" customWidth="1"/>
    <col min="139" max="139" width="15.28515625" bestFit="1" customWidth="1"/>
    <col min="140" max="140" width="8.85546875" bestFit="1" customWidth="1"/>
    <col min="141" max="141" width="77.28515625" bestFit="1" customWidth="1"/>
    <col min="147" max="147" width="8.85546875" bestFit="1" customWidth="1"/>
    <col min="150" max="155" width="8.85546875" bestFit="1" customWidth="1"/>
    <col min="158" max="158" width="8.85546875" bestFit="1" customWidth="1"/>
    <col min="161" max="163" width="8.85546875" bestFit="1" customWidth="1"/>
    <col min="165" max="165" width="8.85546875" bestFit="1" customWidth="1"/>
    <col min="169" max="169" width="8.85546875" bestFit="1" customWidth="1"/>
    <col min="171" max="171" width="8.85546875" bestFit="1" customWidth="1"/>
    <col min="173" max="173" width="8.85546875" bestFit="1" customWidth="1"/>
    <col min="175" max="175" width="20.5703125" bestFit="1" customWidth="1"/>
    <col min="176" max="176" width="22.85546875" bestFit="1" customWidth="1"/>
    <col min="177" max="177" width="22.5703125" bestFit="1" customWidth="1"/>
    <col min="179" max="179" width="8.85546875" bestFit="1" customWidth="1"/>
    <col min="180" max="180" width="26.5703125" customWidth="1"/>
    <col min="181" max="181" width="23.42578125" customWidth="1"/>
    <col min="182" max="182" width="17.7109375" customWidth="1"/>
    <col min="183" max="183" width="12.28515625" bestFit="1" customWidth="1"/>
    <col min="184" max="184" width="11" customWidth="1"/>
  </cols>
  <sheetData>
    <row r="1" spans="1:184" ht="15.6" customHeight="1" x14ac:dyDescent="0.25">
      <c r="A1" t="s">
        <v>117</v>
      </c>
      <c r="B1" t="s">
        <v>118</v>
      </c>
      <c r="C1" t="s">
        <v>119</v>
      </c>
      <c r="D1" t="s">
        <v>120</v>
      </c>
      <c r="E1" t="s">
        <v>938</v>
      </c>
      <c r="F1" t="s">
        <v>939</v>
      </c>
      <c r="G1" t="s">
        <v>940</v>
      </c>
      <c r="H1" t="s">
        <v>941</v>
      </c>
      <c r="I1" t="s">
        <v>39</v>
      </c>
      <c r="J1" t="s">
        <v>36</v>
      </c>
      <c r="K1" t="s">
        <v>942</v>
      </c>
      <c r="L1" t="s">
        <v>943</v>
      </c>
      <c r="M1" t="s">
        <v>944</v>
      </c>
      <c r="N1" t="s">
        <v>945</v>
      </c>
      <c r="O1" t="s">
        <v>946</v>
      </c>
      <c r="P1" t="s">
        <v>947</v>
      </c>
      <c r="Q1" t="s">
        <v>948</v>
      </c>
      <c r="R1" t="s">
        <v>949</v>
      </c>
      <c r="S1" t="s">
        <v>950</v>
      </c>
      <c r="T1" t="s">
        <v>951</v>
      </c>
      <c r="U1" t="s">
        <v>952</v>
      </c>
      <c r="V1" t="s">
        <v>953</v>
      </c>
      <c r="W1" t="s">
        <v>954</v>
      </c>
      <c r="X1" t="s">
        <v>955</v>
      </c>
      <c r="Y1" t="s">
        <v>956</v>
      </c>
      <c r="Z1" t="s">
        <v>957</v>
      </c>
      <c r="AA1" t="s">
        <v>958</v>
      </c>
      <c r="AB1" t="s">
        <v>959</v>
      </c>
      <c r="AC1" t="s">
        <v>960</v>
      </c>
      <c r="AD1" t="s">
        <v>961</v>
      </c>
      <c r="AE1" t="s">
        <v>962</v>
      </c>
      <c r="AF1" t="s">
        <v>963</v>
      </c>
      <c r="AG1" t="s">
        <v>964</v>
      </c>
      <c r="AH1" t="s">
        <v>965</v>
      </c>
      <c r="AI1" t="s">
        <v>121</v>
      </c>
      <c r="AJ1" t="s">
        <v>124</v>
      </c>
      <c r="AK1" t="s">
        <v>125</v>
      </c>
      <c r="AL1" t="s">
        <v>126</v>
      </c>
      <c r="AM1" t="s">
        <v>127</v>
      </c>
      <c r="AN1" t="s">
        <v>128</v>
      </c>
      <c r="AO1" t="s">
        <v>129</v>
      </c>
      <c r="AP1" t="s">
        <v>130</v>
      </c>
      <c r="AQ1" t="s">
        <v>131</v>
      </c>
      <c r="AR1" t="s">
        <v>966</v>
      </c>
      <c r="AS1" t="s">
        <v>967</v>
      </c>
      <c r="AT1" t="s">
        <v>968</v>
      </c>
      <c r="AU1" t="s">
        <v>969</v>
      </c>
      <c r="AV1" t="s">
        <v>970</v>
      </c>
      <c r="AW1" t="s">
        <v>132</v>
      </c>
      <c r="AX1" t="s">
        <v>971</v>
      </c>
      <c r="AY1" t="s">
        <v>972</v>
      </c>
      <c r="AZ1" t="s">
        <v>973</v>
      </c>
      <c r="BA1" t="s">
        <v>974</v>
      </c>
      <c r="BB1" t="s">
        <v>975</v>
      </c>
      <c r="BC1" t="s">
        <v>976</v>
      </c>
      <c r="BD1" t="s">
        <v>977</v>
      </c>
      <c r="BE1" t="s">
        <v>978</v>
      </c>
      <c r="BF1" t="s">
        <v>979</v>
      </c>
      <c r="BG1" t="s">
        <v>980</v>
      </c>
      <c r="BH1" t="s">
        <v>981</v>
      </c>
      <c r="BI1" t="s">
        <v>982</v>
      </c>
      <c r="BJ1" t="s">
        <v>983</v>
      </c>
      <c r="BK1" t="s">
        <v>984</v>
      </c>
      <c r="BL1" t="s">
        <v>985</v>
      </c>
      <c r="BM1" t="s">
        <v>986</v>
      </c>
      <c r="BN1" t="s">
        <v>987</v>
      </c>
      <c r="BO1" t="s">
        <v>988</v>
      </c>
      <c r="BP1" t="s">
        <v>989</v>
      </c>
      <c r="BQ1" t="s">
        <v>990</v>
      </c>
      <c r="BR1" t="s">
        <v>991</v>
      </c>
      <c r="BS1" t="s">
        <v>992</v>
      </c>
      <c r="BT1" t="s">
        <v>993</v>
      </c>
      <c r="BU1" t="s">
        <v>994</v>
      </c>
      <c r="BV1" t="s">
        <v>995</v>
      </c>
      <c r="BW1" t="s">
        <v>996</v>
      </c>
      <c r="BX1" t="s">
        <v>997</v>
      </c>
      <c r="BY1" t="s">
        <v>998</v>
      </c>
      <c r="BZ1" t="s">
        <v>999</v>
      </c>
      <c r="CA1" t="s">
        <v>1000</v>
      </c>
      <c r="CB1" t="s">
        <v>1001</v>
      </c>
      <c r="CC1" t="s">
        <v>1002</v>
      </c>
      <c r="CD1" t="s">
        <v>416</v>
      </c>
      <c r="CE1" t="s">
        <v>1003</v>
      </c>
      <c r="CF1" t="s">
        <v>1004</v>
      </c>
      <c r="CG1" t="s">
        <v>1005</v>
      </c>
      <c r="CH1" t="s">
        <v>1006</v>
      </c>
      <c r="CI1" t="s">
        <v>1007</v>
      </c>
      <c r="CJ1" t="s">
        <v>1008</v>
      </c>
      <c r="CK1" t="s">
        <v>1009</v>
      </c>
      <c r="CL1" t="s">
        <v>1010</v>
      </c>
      <c r="CM1" t="s">
        <v>1011</v>
      </c>
      <c r="CN1" t="s">
        <v>1012</v>
      </c>
      <c r="CO1" t="s">
        <v>1013</v>
      </c>
      <c r="CP1" t="s">
        <v>1014</v>
      </c>
      <c r="CQ1" t="s">
        <v>1015</v>
      </c>
      <c r="CR1" t="s">
        <v>1016</v>
      </c>
      <c r="CS1" t="s">
        <v>1017</v>
      </c>
      <c r="CT1" t="s">
        <v>135</v>
      </c>
      <c r="CU1" t="s">
        <v>136</v>
      </c>
      <c r="CV1" t="s">
        <v>1018</v>
      </c>
      <c r="CW1" t="s">
        <v>1019</v>
      </c>
      <c r="CX1" t="s">
        <v>137</v>
      </c>
      <c r="CY1" t="s">
        <v>1020</v>
      </c>
      <c r="CZ1" t="s">
        <v>1021</v>
      </c>
      <c r="DA1" t="s">
        <v>1022</v>
      </c>
      <c r="DB1" t="s">
        <v>1023</v>
      </c>
      <c r="DC1" t="s">
        <v>1024</v>
      </c>
      <c r="DD1" t="s">
        <v>138</v>
      </c>
      <c r="DE1" t="s">
        <v>1025</v>
      </c>
      <c r="DF1" t="s">
        <v>1026</v>
      </c>
      <c r="DG1" t="s">
        <v>1027</v>
      </c>
      <c r="DH1" t="s">
        <v>1028</v>
      </c>
      <c r="DI1" t="s">
        <v>877</v>
      </c>
      <c r="DJ1" t="s">
        <v>139</v>
      </c>
      <c r="DK1" t="s">
        <v>1029</v>
      </c>
      <c r="DL1" t="s">
        <v>140</v>
      </c>
      <c r="DM1" t="s">
        <v>1030</v>
      </c>
      <c r="DN1" t="s">
        <v>1031</v>
      </c>
      <c r="DO1" t="s">
        <v>1032</v>
      </c>
      <c r="DP1" t="s">
        <v>1033</v>
      </c>
      <c r="DQ1" t="s">
        <v>1034</v>
      </c>
      <c r="DR1" t="s">
        <v>1035</v>
      </c>
      <c r="DS1" t="s">
        <v>412</v>
      </c>
      <c r="DT1" t="s">
        <v>1036</v>
      </c>
      <c r="DU1" t="s">
        <v>1037</v>
      </c>
      <c r="DV1" t="s">
        <v>1038</v>
      </c>
      <c r="DW1" t="s">
        <v>1039</v>
      </c>
      <c r="DX1" t="s">
        <v>1040</v>
      </c>
      <c r="DY1" t="s">
        <v>1041</v>
      </c>
      <c r="DZ1" t="s">
        <v>1042</v>
      </c>
      <c r="EA1" t="s">
        <v>1043</v>
      </c>
      <c r="EB1" t="s">
        <v>1044</v>
      </c>
      <c r="EC1" t="s">
        <v>1045</v>
      </c>
      <c r="ED1" t="s">
        <v>1046</v>
      </c>
      <c r="EE1" t="s">
        <v>1047</v>
      </c>
      <c r="EF1" t="s">
        <v>1048</v>
      </c>
      <c r="EG1" t="s">
        <v>1049</v>
      </c>
      <c r="EH1" t="s">
        <v>1050</v>
      </c>
      <c r="EI1" t="s">
        <v>1051</v>
      </c>
      <c r="EJ1" t="s">
        <v>1052</v>
      </c>
      <c r="EK1" t="s">
        <v>1053</v>
      </c>
      <c r="EL1" t="s">
        <v>1054</v>
      </c>
      <c r="EM1" t="s">
        <v>1055</v>
      </c>
      <c r="EN1" t="s">
        <v>1056</v>
      </c>
      <c r="EO1" t="s">
        <v>1057</v>
      </c>
      <c r="EP1" t="s">
        <v>1058</v>
      </c>
      <c r="EQ1" t="s">
        <v>1059</v>
      </c>
      <c r="ER1" t="s">
        <v>1060</v>
      </c>
      <c r="ES1" t="s">
        <v>1061</v>
      </c>
      <c r="ET1" t="s">
        <v>1062</v>
      </c>
      <c r="EU1" t="s">
        <v>1063</v>
      </c>
      <c r="EV1" t="s">
        <v>1064</v>
      </c>
      <c r="EW1" t="s">
        <v>1065</v>
      </c>
      <c r="EX1" t="s">
        <v>1066</v>
      </c>
      <c r="EY1" t="s">
        <v>1067</v>
      </c>
      <c r="EZ1" t="s">
        <v>1068</v>
      </c>
      <c r="FA1" t="s">
        <v>1069</v>
      </c>
      <c r="FB1" t="s">
        <v>1070</v>
      </c>
      <c r="FC1" t="s">
        <v>1071</v>
      </c>
      <c r="FD1" t="s">
        <v>1072</v>
      </c>
      <c r="FE1" t="s">
        <v>1073</v>
      </c>
      <c r="FF1" t="s">
        <v>1074</v>
      </c>
      <c r="FG1" t="s">
        <v>1075</v>
      </c>
      <c r="FH1" t="s">
        <v>1076</v>
      </c>
      <c r="FI1" t="s">
        <v>1077</v>
      </c>
      <c r="FJ1" t="s">
        <v>1078</v>
      </c>
      <c r="FK1" t="s">
        <v>1079</v>
      </c>
      <c r="FL1" t="s">
        <v>1080</v>
      </c>
      <c r="FM1" t="s">
        <v>1081</v>
      </c>
      <c r="FN1" t="s">
        <v>1082</v>
      </c>
      <c r="FO1" t="s">
        <v>1083</v>
      </c>
      <c r="FP1" t="s">
        <v>1084</v>
      </c>
      <c r="FQ1" t="s">
        <v>1085</v>
      </c>
      <c r="FR1" t="s">
        <v>1086</v>
      </c>
      <c r="FS1" t="s">
        <v>1087</v>
      </c>
      <c r="FT1" t="s">
        <v>1088</v>
      </c>
      <c r="FU1" t="s">
        <v>1089</v>
      </c>
      <c r="FV1" t="s">
        <v>1090</v>
      </c>
      <c r="FW1" t="s">
        <v>1091</v>
      </c>
      <c r="FX1" t="s">
        <v>1092</v>
      </c>
      <c r="FY1" t="s">
        <v>1093</v>
      </c>
      <c r="FZ1" t="s">
        <v>1094</v>
      </c>
      <c r="GA1" t="s">
        <v>1095</v>
      </c>
      <c r="GB1" t="s">
        <v>1096</v>
      </c>
    </row>
    <row r="2" spans="1:184" x14ac:dyDescent="0.25">
      <c r="A2" t="s">
        <v>167</v>
      </c>
      <c r="B2" t="s">
        <v>168</v>
      </c>
      <c r="C2" t="s">
        <v>179</v>
      </c>
      <c r="D2" t="s">
        <v>170</v>
      </c>
      <c r="E2" t="s">
        <v>1097</v>
      </c>
      <c r="F2" t="s">
        <v>499</v>
      </c>
      <c r="I2">
        <v>0</v>
      </c>
      <c r="J2">
        <v>0</v>
      </c>
      <c r="M2">
        <v>0</v>
      </c>
      <c r="V2" t="s">
        <v>1098</v>
      </c>
      <c r="Y2">
        <v>0</v>
      </c>
      <c r="AD2">
        <v>150718</v>
      </c>
      <c r="AE2">
        <v>169785</v>
      </c>
      <c r="AF2" s="38">
        <v>46164</v>
      </c>
      <c r="AI2" t="s">
        <v>247</v>
      </c>
      <c r="AJ2" t="s">
        <v>179</v>
      </c>
      <c r="AK2" t="s">
        <v>248</v>
      </c>
      <c r="AL2" s="38">
        <v>46140</v>
      </c>
      <c r="AM2">
        <v>-1.8</v>
      </c>
      <c r="AN2">
        <v>-60</v>
      </c>
      <c r="AO2" t="s">
        <v>173</v>
      </c>
      <c r="AP2" t="s">
        <v>174</v>
      </c>
      <c r="AQ2" t="s">
        <v>189</v>
      </c>
      <c r="AU2">
        <v>505</v>
      </c>
      <c r="AV2" t="s">
        <v>1099</v>
      </c>
      <c r="AW2" t="s">
        <v>219</v>
      </c>
      <c r="AX2" t="s">
        <v>1100</v>
      </c>
      <c r="BA2">
        <v>0</v>
      </c>
      <c r="BL2">
        <v>0</v>
      </c>
      <c r="CM2">
        <v>0</v>
      </c>
      <c r="CN2" t="s">
        <v>1113</v>
      </c>
      <c r="CR2">
        <v>0</v>
      </c>
      <c r="CS2">
        <v>0</v>
      </c>
      <c r="CT2">
        <v>216.5</v>
      </c>
      <c r="CU2">
        <v>216.5</v>
      </c>
      <c r="CV2" t="s">
        <v>1101</v>
      </c>
      <c r="CX2" t="s">
        <v>249</v>
      </c>
      <c r="CZ2" t="s">
        <v>428</v>
      </c>
      <c r="DC2">
        <v>30</v>
      </c>
      <c r="DD2" t="s">
        <v>186</v>
      </c>
      <c r="DE2" t="s">
        <v>1102</v>
      </c>
      <c r="DF2" t="s">
        <v>447</v>
      </c>
      <c r="DG2">
        <v>100</v>
      </c>
      <c r="DH2">
        <v>850</v>
      </c>
      <c r="DN2">
        <v>4</v>
      </c>
      <c r="DV2">
        <v>0</v>
      </c>
      <c r="DW2">
        <v>0</v>
      </c>
      <c r="DX2">
        <v>0</v>
      </c>
      <c r="EA2" t="s">
        <v>1114</v>
      </c>
      <c r="EC2" t="s">
        <v>1115</v>
      </c>
      <c r="EE2" t="s">
        <v>1105</v>
      </c>
      <c r="EF2">
        <v>0</v>
      </c>
      <c r="EG2" t="s">
        <v>1116</v>
      </c>
      <c r="EI2">
        <v>5010</v>
      </c>
      <c r="EJ2">
        <v>1</v>
      </c>
      <c r="EK2" t="s">
        <v>1106</v>
      </c>
      <c r="EQ2">
        <v>0</v>
      </c>
      <c r="ET2">
        <v>0</v>
      </c>
      <c r="EU2">
        <v>45</v>
      </c>
      <c r="EV2">
        <v>0</v>
      </c>
      <c r="EW2">
        <v>0</v>
      </c>
      <c r="EX2">
        <v>0</v>
      </c>
      <c r="EY2">
        <v>0</v>
      </c>
      <c r="FE2">
        <v>0</v>
      </c>
      <c r="FF2">
        <v>0</v>
      </c>
      <c r="FG2">
        <v>0</v>
      </c>
      <c r="FI2">
        <v>0</v>
      </c>
      <c r="FM2">
        <v>0</v>
      </c>
      <c r="FO2">
        <v>0</v>
      </c>
      <c r="FQ2">
        <v>0</v>
      </c>
      <c r="FS2">
        <v>0</v>
      </c>
      <c r="FU2" s="38">
        <v>46203</v>
      </c>
      <c r="FY2">
        <v>0</v>
      </c>
      <c r="FZ2">
        <v>0</v>
      </c>
    </row>
    <row r="3" spans="1:184" x14ac:dyDescent="0.25">
      <c r="A3" t="s">
        <v>167</v>
      </c>
      <c r="B3" t="s">
        <v>168</v>
      </c>
      <c r="C3" t="s">
        <v>179</v>
      </c>
      <c r="D3" t="s">
        <v>170</v>
      </c>
      <c r="E3" t="s">
        <v>1097</v>
      </c>
      <c r="F3" t="s">
        <v>499</v>
      </c>
      <c r="I3">
        <v>0</v>
      </c>
      <c r="J3">
        <v>0</v>
      </c>
      <c r="M3">
        <v>0</v>
      </c>
      <c r="V3" t="s">
        <v>1098</v>
      </c>
      <c r="Y3">
        <v>0</v>
      </c>
      <c r="AD3">
        <v>150708</v>
      </c>
      <c r="AE3">
        <v>169775</v>
      </c>
      <c r="AF3" s="38">
        <v>46164</v>
      </c>
      <c r="AG3" s="38">
        <v>46175</v>
      </c>
      <c r="AH3" t="s">
        <v>1124</v>
      </c>
      <c r="AI3" t="s">
        <v>291</v>
      </c>
      <c r="AJ3" t="s">
        <v>179</v>
      </c>
      <c r="AK3" t="s">
        <v>292</v>
      </c>
      <c r="AL3" s="38">
        <v>46160</v>
      </c>
      <c r="AM3">
        <v>-0.96</v>
      </c>
      <c r="AN3">
        <v>-32</v>
      </c>
      <c r="AO3" t="s">
        <v>286</v>
      </c>
      <c r="AP3" t="s">
        <v>293</v>
      </c>
      <c r="AQ3" t="s">
        <v>294</v>
      </c>
      <c r="AR3" t="s">
        <v>1117</v>
      </c>
      <c r="AS3" t="s">
        <v>1118</v>
      </c>
      <c r="AU3">
        <v>464.84</v>
      </c>
      <c r="AV3" t="s">
        <v>1099</v>
      </c>
      <c r="AW3" t="s">
        <v>219</v>
      </c>
      <c r="AX3" t="s">
        <v>1100</v>
      </c>
      <c r="BA3">
        <v>104631</v>
      </c>
      <c r="BB3" t="s">
        <v>1107</v>
      </c>
      <c r="BC3" t="s">
        <v>1108</v>
      </c>
      <c r="BD3" t="s">
        <v>1109</v>
      </c>
      <c r="BE3" t="s">
        <v>1110</v>
      </c>
      <c r="BF3" t="s">
        <v>174</v>
      </c>
      <c r="BG3" t="s">
        <v>293</v>
      </c>
      <c r="BH3" t="s">
        <v>1279</v>
      </c>
      <c r="BI3" s="38">
        <v>46203</v>
      </c>
      <c r="BJ3" s="38">
        <v>46224</v>
      </c>
      <c r="BL3">
        <v>0.01</v>
      </c>
      <c r="BM3" t="s">
        <v>1112</v>
      </c>
      <c r="BN3" t="s">
        <v>1119</v>
      </c>
      <c r="CM3">
        <v>0</v>
      </c>
      <c r="CN3" t="s">
        <v>1120</v>
      </c>
      <c r="CR3">
        <v>0</v>
      </c>
      <c r="CS3">
        <v>0</v>
      </c>
      <c r="CT3">
        <v>197.94</v>
      </c>
      <c r="CU3">
        <v>186.10239999999999</v>
      </c>
      <c r="CV3" t="s">
        <v>1101</v>
      </c>
      <c r="CX3" t="s">
        <v>295</v>
      </c>
      <c r="CZ3" t="s">
        <v>428</v>
      </c>
      <c r="DC3">
        <v>30</v>
      </c>
      <c r="DD3" t="s">
        <v>186</v>
      </c>
      <c r="DE3" t="s">
        <v>1102</v>
      </c>
      <c r="DF3" t="s">
        <v>447</v>
      </c>
      <c r="DG3">
        <v>100</v>
      </c>
      <c r="DH3">
        <v>850</v>
      </c>
      <c r="DL3" t="s">
        <v>207</v>
      </c>
      <c r="DN3">
        <v>4</v>
      </c>
      <c r="DV3">
        <v>0</v>
      </c>
      <c r="DW3">
        <v>0</v>
      </c>
      <c r="DX3">
        <v>0</v>
      </c>
      <c r="EA3" t="s">
        <v>1121</v>
      </c>
      <c r="EC3" t="s">
        <v>1122</v>
      </c>
      <c r="EE3" t="s">
        <v>1105</v>
      </c>
      <c r="EF3">
        <v>2380.9699999999998</v>
      </c>
      <c r="EG3" t="s">
        <v>1123</v>
      </c>
      <c r="EI3">
        <v>4910</v>
      </c>
      <c r="EJ3">
        <v>1</v>
      </c>
      <c r="EK3" t="s">
        <v>1132</v>
      </c>
      <c r="EQ3">
        <v>0</v>
      </c>
      <c r="ET3">
        <v>0</v>
      </c>
      <c r="EU3">
        <v>476.69</v>
      </c>
      <c r="EV3">
        <v>0</v>
      </c>
      <c r="EW3">
        <v>0</v>
      </c>
      <c r="EX3">
        <v>0</v>
      </c>
      <c r="EY3">
        <v>0</v>
      </c>
      <c r="FD3" t="s">
        <v>293</v>
      </c>
      <c r="FE3">
        <v>0</v>
      </c>
      <c r="FF3">
        <v>0</v>
      </c>
      <c r="FG3">
        <v>0</v>
      </c>
      <c r="FI3">
        <v>0</v>
      </c>
      <c r="FM3">
        <v>0</v>
      </c>
      <c r="FO3">
        <v>0</v>
      </c>
      <c r="FQ3">
        <v>0</v>
      </c>
      <c r="FS3">
        <v>0</v>
      </c>
      <c r="FT3" s="38">
        <v>46203</v>
      </c>
      <c r="FU3" s="38">
        <v>46203</v>
      </c>
      <c r="FY3">
        <v>0</v>
      </c>
      <c r="FZ3">
        <v>0</v>
      </c>
    </row>
    <row r="4" spans="1:184" x14ac:dyDescent="0.25">
      <c r="A4" t="s">
        <v>167</v>
      </c>
      <c r="B4" t="s">
        <v>168</v>
      </c>
      <c r="C4" t="s">
        <v>179</v>
      </c>
      <c r="D4" t="s">
        <v>170</v>
      </c>
      <c r="E4" t="s">
        <v>1097</v>
      </c>
      <c r="F4" t="s">
        <v>499</v>
      </c>
      <c r="I4">
        <v>0</v>
      </c>
      <c r="J4">
        <v>0</v>
      </c>
      <c r="M4">
        <v>0</v>
      </c>
      <c r="V4" t="s">
        <v>1098</v>
      </c>
      <c r="Y4">
        <v>0</v>
      </c>
      <c r="AD4">
        <v>150709</v>
      </c>
      <c r="AE4">
        <v>169776</v>
      </c>
      <c r="AF4" s="38">
        <v>46164</v>
      </c>
      <c r="AG4" s="38">
        <v>46175</v>
      </c>
      <c r="AH4" t="s">
        <v>1124</v>
      </c>
      <c r="AI4" t="s">
        <v>296</v>
      </c>
      <c r="AJ4" t="s">
        <v>179</v>
      </c>
      <c r="AK4" t="s">
        <v>292</v>
      </c>
      <c r="AL4" s="38">
        <v>46160</v>
      </c>
      <c r="AM4">
        <v>-0.96</v>
      </c>
      <c r="AN4">
        <v>-32</v>
      </c>
      <c r="AO4" t="s">
        <v>286</v>
      </c>
      <c r="AP4" t="s">
        <v>293</v>
      </c>
      <c r="AQ4" t="s">
        <v>294</v>
      </c>
      <c r="AR4" t="s">
        <v>1117</v>
      </c>
      <c r="AS4" t="s">
        <v>1118</v>
      </c>
      <c r="AU4">
        <v>464.84</v>
      </c>
      <c r="AV4" t="s">
        <v>1099</v>
      </c>
      <c r="AW4" t="s">
        <v>219</v>
      </c>
      <c r="AX4" t="s">
        <v>1100</v>
      </c>
      <c r="BA4">
        <v>0</v>
      </c>
      <c r="BL4">
        <v>0</v>
      </c>
      <c r="CM4">
        <v>0</v>
      </c>
      <c r="CN4" t="s">
        <v>1120</v>
      </c>
      <c r="CR4">
        <v>0</v>
      </c>
      <c r="CS4">
        <v>0</v>
      </c>
      <c r="CT4">
        <v>197.94</v>
      </c>
      <c r="CU4">
        <v>186.10239999999999</v>
      </c>
      <c r="CV4" t="s">
        <v>1101</v>
      </c>
      <c r="CX4" t="s">
        <v>297</v>
      </c>
      <c r="CZ4" t="s">
        <v>428</v>
      </c>
      <c r="DC4">
        <v>30</v>
      </c>
      <c r="DD4" t="s">
        <v>186</v>
      </c>
      <c r="DE4" t="s">
        <v>1102</v>
      </c>
      <c r="DF4" t="s">
        <v>447</v>
      </c>
      <c r="DG4">
        <v>100</v>
      </c>
      <c r="DH4">
        <v>850</v>
      </c>
      <c r="DL4" t="s">
        <v>207</v>
      </c>
      <c r="DN4">
        <v>4</v>
      </c>
      <c r="DV4">
        <v>0</v>
      </c>
      <c r="DW4">
        <v>0</v>
      </c>
      <c r="DX4">
        <v>0</v>
      </c>
      <c r="EA4" t="s">
        <v>1121</v>
      </c>
      <c r="EC4" t="s">
        <v>1122</v>
      </c>
      <c r="EE4" t="s">
        <v>1105</v>
      </c>
      <c r="EF4">
        <v>2380.9699999999998</v>
      </c>
      <c r="EG4" t="s">
        <v>1123</v>
      </c>
      <c r="EI4">
        <v>4910</v>
      </c>
      <c r="EJ4">
        <v>1</v>
      </c>
      <c r="EK4" t="s">
        <v>1132</v>
      </c>
      <c r="EQ4">
        <v>0</v>
      </c>
      <c r="ET4">
        <v>0</v>
      </c>
      <c r="EU4">
        <v>476.69</v>
      </c>
      <c r="EV4">
        <v>0</v>
      </c>
      <c r="EW4">
        <v>0</v>
      </c>
      <c r="EX4">
        <v>0</v>
      </c>
      <c r="EY4">
        <v>0</v>
      </c>
      <c r="FE4">
        <v>0</v>
      </c>
      <c r="FF4">
        <v>0</v>
      </c>
      <c r="FG4">
        <v>0</v>
      </c>
      <c r="FI4">
        <v>0</v>
      </c>
      <c r="FM4">
        <v>0</v>
      </c>
      <c r="FO4">
        <v>0</v>
      </c>
      <c r="FQ4">
        <v>0</v>
      </c>
      <c r="FS4">
        <v>0</v>
      </c>
      <c r="FU4" s="38">
        <v>46203</v>
      </c>
      <c r="FY4">
        <v>0</v>
      </c>
      <c r="FZ4">
        <v>0</v>
      </c>
    </row>
    <row r="5" spans="1:184" x14ac:dyDescent="0.25">
      <c r="A5" t="s">
        <v>167</v>
      </c>
      <c r="B5" t="s">
        <v>168</v>
      </c>
      <c r="C5" t="s">
        <v>179</v>
      </c>
      <c r="D5" t="s">
        <v>170</v>
      </c>
      <c r="E5" t="s">
        <v>1097</v>
      </c>
      <c r="F5" t="s">
        <v>499</v>
      </c>
      <c r="I5">
        <v>0</v>
      </c>
      <c r="J5">
        <v>0</v>
      </c>
      <c r="M5">
        <v>0</v>
      </c>
      <c r="V5" t="s">
        <v>1098</v>
      </c>
      <c r="Y5">
        <v>0</v>
      </c>
      <c r="AD5">
        <v>150959</v>
      </c>
      <c r="AE5">
        <v>170056</v>
      </c>
      <c r="AF5" s="38">
        <v>46141</v>
      </c>
      <c r="AG5" s="38">
        <v>46182</v>
      </c>
      <c r="AH5" t="s">
        <v>1124</v>
      </c>
      <c r="AI5" t="s">
        <v>191</v>
      </c>
      <c r="AJ5" t="s">
        <v>179</v>
      </c>
      <c r="AK5" t="s">
        <v>188</v>
      </c>
      <c r="AL5" s="38">
        <v>45971</v>
      </c>
      <c r="AM5">
        <v>-19.2</v>
      </c>
      <c r="AN5">
        <v>-320</v>
      </c>
      <c r="AO5" t="s">
        <v>173</v>
      </c>
      <c r="AP5" t="s">
        <v>174</v>
      </c>
      <c r="AQ5" t="s">
        <v>189</v>
      </c>
      <c r="AR5">
        <v>2000052537</v>
      </c>
      <c r="AU5">
        <v>438</v>
      </c>
      <c r="AV5" t="s">
        <v>1099</v>
      </c>
      <c r="AW5" t="s">
        <v>219</v>
      </c>
      <c r="AX5" t="s">
        <v>1100</v>
      </c>
      <c r="AY5" t="s">
        <v>465</v>
      </c>
      <c r="BA5">
        <v>104828</v>
      </c>
      <c r="BB5" t="s">
        <v>1125</v>
      </c>
      <c r="BC5" t="s">
        <v>1126</v>
      </c>
      <c r="BD5" t="s">
        <v>1127</v>
      </c>
      <c r="BE5" t="s">
        <v>1110</v>
      </c>
      <c r="BF5" t="s">
        <v>174</v>
      </c>
      <c r="BG5" t="s">
        <v>1128</v>
      </c>
      <c r="BH5" t="s">
        <v>1280</v>
      </c>
      <c r="BI5" s="38">
        <v>46200</v>
      </c>
      <c r="BL5">
        <v>0.01</v>
      </c>
      <c r="BM5" t="s">
        <v>1112</v>
      </c>
      <c r="BN5" t="s">
        <v>1281</v>
      </c>
      <c r="CM5">
        <v>0</v>
      </c>
      <c r="CN5" t="s">
        <v>188</v>
      </c>
      <c r="CR5">
        <v>0</v>
      </c>
      <c r="CS5">
        <v>0</v>
      </c>
      <c r="CT5">
        <v>175</v>
      </c>
      <c r="CU5">
        <v>161.00290000000001</v>
      </c>
      <c r="CV5" t="s">
        <v>1101</v>
      </c>
      <c r="CX5" t="s">
        <v>190</v>
      </c>
      <c r="CZ5" t="s">
        <v>428</v>
      </c>
      <c r="DC5">
        <v>60</v>
      </c>
      <c r="DD5" t="s">
        <v>186</v>
      </c>
      <c r="DE5" t="s">
        <v>1102</v>
      </c>
      <c r="DF5" t="s">
        <v>447</v>
      </c>
      <c r="DG5">
        <v>100</v>
      </c>
      <c r="DH5">
        <v>850</v>
      </c>
      <c r="DJ5" t="s">
        <v>206</v>
      </c>
      <c r="DL5" t="s">
        <v>323</v>
      </c>
      <c r="DN5">
        <v>1</v>
      </c>
      <c r="DV5">
        <v>0</v>
      </c>
      <c r="DW5">
        <v>0</v>
      </c>
      <c r="DX5">
        <v>0</v>
      </c>
      <c r="EA5" t="s">
        <v>1129</v>
      </c>
      <c r="EC5" t="s">
        <v>1130</v>
      </c>
      <c r="EE5" t="s">
        <v>1134</v>
      </c>
      <c r="EF5">
        <v>0</v>
      </c>
      <c r="EI5">
        <v>4910</v>
      </c>
      <c r="EJ5">
        <v>1</v>
      </c>
      <c r="EK5" t="s">
        <v>1132</v>
      </c>
      <c r="EQ5">
        <v>0</v>
      </c>
      <c r="ER5" t="s">
        <v>1133</v>
      </c>
      <c r="ET5">
        <v>0</v>
      </c>
      <c r="EU5">
        <v>157</v>
      </c>
      <c r="EV5">
        <v>0</v>
      </c>
      <c r="EW5">
        <v>0</v>
      </c>
      <c r="EX5">
        <v>0</v>
      </c>
      <c r="EY5">
        <v>0</v>
      </c>
      <c r="FD5" t="s">
        <v>1128</v>
      </c>
      <c r="FE5">
        <v>0</v>
      </c>
      <c r="FF5">
        <v>0</v>
      </c>
      <c r="FG5">
        <v>0</v>
      </c>
      <c r="FI5">
        <v>0</v>
      </c>
      <c r="FM5">
        <v>0</v>
      </c>
      <c r="FO5">
        <v>0</v>
      </c>
      <c r="FQ5">
        <v>0</v>
      </c>
      <c r="FS5">
        <v>0</v>
      </c>
      <c r="FT5" s="38">
        <v>46200</v>
      </c>
      <c r="FU5" s="38">
        <v>46203</v>
      </c>
      <c r="FY5">
        <v>0</v>
      </c>
      <c r="FZ5">
        <v>0</v>
      </c>
    </row>
    <row r="6" spans="1:184" x14ac:dyDescent="0.25">
      <c r="A6" t="s">
        <v>167</v>
      </c>
      <c r="B6" t="s">
        <v>168</v>
      </c>
      <c r="C6" t="s">
        <v>179</v>
      </c>
      <c r="D6" t="s">
        <v>170</v>
      </c>
      <c r="E6" t="s">
        <v>1097</v>
      </c>
      <c r="F6" t="s">
        <v>499</v>
      </c>
      <c r="I6">
        <v>0</v>
      </c>
      <c r="J6">
        <v>0</v>
      </c>
      <c r="M6">
        <v>0</v>
      </c>
      <c r="V6" t="s">
        <v>1098</v>
      </c>
      <c r="Y6">
        <v>0</v>
      </c>
      <c r="AD6">
        <v>150959</v>
      </c>
      <c r="AE6">
        <v>170056</v>
      </c>
      <c r="AF6" s="38">
        <v>46141</v>
      </c>
      <c r="AG6" s="38">
        <v>46182</v>
      </c>
      <c r="AH6" t="s">
        <v>1124</v>
      </c>
      <c r="AI6" t="s">
        <v>191</v>
      </c>
      <c r="AJ6" t="s">
        <v>179</v>
      </c>
      <c r="AK6" t="s">
        <v>188</v>
      </c>
      <c r="AL6" s="38">
        <v>45971</v>
      </c>
      <c r="AM6">
        <v>-19.2</v>
      </c>
      <c r="AN6">
        <v>-320</v>
      </c>
      <c r="AO6" t="s">
        <v>173</v>
      </c>
      <c r="AP6" t="s">
        <v>174</v>
      </c>
      <c r="AQ6" t="s">
        <v>189</v>
      </c>
      <c r="AR6">
        <v>2000052537</v>
      </c>
      <c r="AU6">
        <v>438</v>
      </c>
      <c r="AV6" t="s">
        <v>1099</v>
      </c>
      <c r="AW6" t="s">
        <v>219</v>
      </c>
      <c r="AX6" t="s">
        <v>1100</v>
      </c>
      <c r="AY6" t="s">
        <v>465</v>
      </c>
      <c r="BA6">
        <v>104829</v>
      </c>
      <c r="BB6" t="s">
        <v>1125</v>
      </c>
      <c r="BC6" t="s">
        <v>1126</v>
      </c>
      <c r="BD6" t="s">
        <v>1127</v>
      </c>
      <c r="BE6" t="s">
        <v>1110</v>
      </c>
      <c r="BF6" t="s">
        <v>174</v>
      </c>
      <c r="BG6" t="s">
        <v>1128</v>
      </c>
      <c r="BH6" t="s">
        <v>1282</v>
      </c>
      <c r="BI6" s="38">
        <v>46200</v>
      </c>
      <c r="BL6">
        <v>0.01</v>
      </c>
      <c r="BM6" t="s">
        <v>1112</v>
      </c>
      <c r="BN6" t="s">
        <v>1281</v>
      </c>
      <c r="CM6">
        <v>0</v>
      </c>
      <c r="CN6" t="s">
        <v>188</v>
      </c>
      <c r="CR6">
        <v>0</v>
      </c>
      <c r="CS6">
        <v>0</v>
      </c>
      <c r="CT6">
        <v>175</v>
      </c>
      <c r="CU6">
        <v>161.00290000000001</v>
      </c>
      <c r="CV6" t="s">
        <v>1101</v>
      </c>
      <c r="CX6" t="s">
        <v>190</v>
      </c>
      <c r="CZ6" t="s">
        <v>428</v>
      </c>
      <c r="DC6">
        <v>60</v>
      </c>
      <c r="DD6" t="s">
        <v>186</v>
      </c>
      <c r="DE6" t="s">
        <v>1102</v>
      </c>
      <c r="DF6" t="s">
        <v>447</v>
      </c>
      <c r="DG6">
        <v>100</v>
      </c>
      <c r="DH6">
        <v>850</v>
      </c>
      <c r="DJ6" t="s">
        <v>206</v>
      </c>
      <c r="DL6" t="s">
        <v>323</v>
      </c>
      <c r="DN6">
        <v>1</v>
      </c>
      <c r="DV6">
        <v>0</v>
      </c>
      <c r="DW6">
        <v>0</v>
      </c>
      <c r="DX6">
        <v>0</v>
      </c>
      <c r="EA6" t="s">
        <v>1129</v>
      </c>
      <c r="EC6" t="s">
        <v>1130</v>
      </c>
      <c r="EE6" t="s">
        <v>1134</v>
      </c>
      <c r="EF6">
        <v>0</v>
      </c>
      <c r="EI6">
        <v>4910</v>
      </c>
      <c r="EJ6">
        <v>1</v>
      </c>
      <c r="EK6" t="s">
        <v>1132</v>
      </c>
      <c r="EQ6">
        <v>0</v>
      </c>
      <c r="ER6" t="s">
        <v>1133</v>
      </c>
      <c r="ET6">
        <v>0</v>
      </c>
      <c r="EU6">
        <v>157</v>
      </c>
      <c r="EV6">
        <v>0</v>
      </c>
      <c r="EW6">
        <v>0</v>
      </c>
      <c r="EX6">
        <v>0</v>
      </c>
      <c r="EY6">
        <v>0</v>
      </c>
      <c r="FD6" t="s">
        <v>1128</v>
      </c>
      <c r="FE6">
        <v>0</v>
      </c>
      <c r="FF6">
        <v>0</v>
      </c>
      <c r="FG6">
        <v>0</v>
      </c>
      <c r="FI6">
        <v>0</v>
      </c>
      <c r="FM6">
        <v>0</v>
      </c>
      <c r="FO6">
        <v>0</v>
      </c>
      <c r="FQ6">
        <v>0</v>
      </c>
      <c r="FS6">
        <v>0</v>
      </c>
      <c r="FT6" s="38">
        <v>46200</v>
      </c>
      <c r="FU6" s="38">
        <v>46203</v>
      </c>
      <c r="FY6">
        <v>0</v>
      </c>
      <c r="FZ6">
        <v>0</v>
      </c>
    </row>
    <row r="7" spans="1:184" x14ac:dyDescent="0.25">
      <c r="A7" t="s">
        <v>167</v>
      </c>
      <c r="B7" t="s">
        <v>168</v>
      </c>
      <c r="C7" t="s">
        <v>179</v>
      </c>
      <c r="D7" t="s">
        <v>170</v>
      </c>
      <c r="E7" t="s">
        <v>1097</v>
      </c>
      <c r="F7" t="s">
        <v>499</v>
      </c>
      <c r="I7">
        <v>0</v>
      </c>
      <c r="J7">
        <v>0</v>
      </c>
      <c r="M7">
        <v>0</v>
      </c>
      <c r="V7" t="s">
        <v>1098</v>
      </c>
      <c r="W7" s="38">
        <v>46167</v>
      </c>
      <c r="Y7">
        <v>0</v>
      </c>
      <c r="AD7">
        <v>150970</v>
      </c>
      <c r="AE7">
        <v>170067</v>
      </c>
      <c r="AF7" s="38">
        <v>46176</v>
      </c>
      <c r="AI7" t="s">
        <v>221</v>
      </c>
      <c r="AJ7" t="s">
        <v>179</v>
      </c>
      <c r="AK7" t="s">
        <v>222</v>
      </c>
      <c r="AL7" s="38">
        <v>46140</v>
      </c>
      <c r="AM7">
        <v>-38.4</v>
      </c>
      <c r="AN7">
        <v>-1280</v>
      </c>
      <c r="AO7" t="s">
        <v>173</v>
      </c>
      <c r="AP7" t="s">
        <v>174</v>
      </c>
      <c r="AQ7" t="s">
        <v>189</v>
      </c>
      <c r="AU7">
        <v>6981.97</v>
      </c>
      <c r="AV7" t="s">
        <v>1135</v>
      </c>
      <c r="AW7" t="s">
        <v>223</v>
      </c>
      <c r="AX7" t="s">
        <v>1100</v>
      </c>
      <c r="BA7">
        <v>104225</v>
      </c>
      <c r="BE7" t="s">
        <v>1110</v>
      </c>
      <c r="BF7" t="s">
        <v>174</v>
      </c>
      <c r="BG7" t="s">
        <v>1142</v>
      </c>
      <c r="BL7">
        <v>0.01</v>
      </c>
      <c r="BM7" t="s">
        <v>1112</v>
      </c>
      <c r="CM7">
        <v>0</v>
      </c>
      <c r="CN7" t="s">
        <v>1143</v>
      </c>
      <c r="CR7">
        <v>0</v>
      </c>
      <c r="CS7">
        <v>0</v>
      </c>
      <c r="CT7">
        <v>56</v>
      </c>
      <c r="CU7">
        <v>50.5047</v>
      </c>
      <c r="CV7" t="s">
        <v>1101</v>
      </c>
      <c r="CX7" t="s">
        <v>220</v>
      </c>
      <c r="CZ7" t="s">
        <v>428</v>
      </c>
      <c r="DC7">
        <v>30</v>
      </c>
      <c r="DD7" t="s">
        <v>186</v>
      </c>
      <c r="DE7" t="s">
        <v>1102</v>
      </c>
      <c r="DF7" t="s">
        <v>447</v>
      </c>
      <c r="DG7">
        <v>100</v>
      </c>
      <c r="DH7">
        <v>850</v>
      </c>
      <c r="DN7">
        <v>1</v>
      </c>
      <c r="DV7">
        <v>0</v>
      </c>
      <c r="DW7">
        <v>0</v>
      </c>
      <c r="DX7">
        <v>0</v>
      </c>
      <c r="EA7" t="s">
        <v>1144</v>
      </c>
      <c r="EC7" t="s">
        <v>1145</v>
      </c>
      <c r="EE7" t="s">
        <v>1105</v>
      </c>
      <c r="EF7">
        <v>0</v>
      </c>
      <c r="EI7">
        <v>4910</v>
      </c>
      <c r="EJ7">
        <v>1</v>
      </c>
      <c r="EK7" t="s">
        <v>1132</v>
      </c>
      <c r="EQ7">
        <v>0</v>
      </c>
      <c r="ER7" t="s">
        <v>1133</v>
      </c>
      <c r="ET7">
        <v>0</v>
      </c>
      <c r="EU7">
        <v>50.5</v>
      </c>
      <c r="EV7">
        <v>0</v>
      </c>
      <c r="EW7">
        <v>0</v>
      </c>
      <c r="EX7">
        <v>0</v>
      </c>
      <c r="EY7">
        <v>0</v>
      </c>
      <c r="FA7" t="s">
        <v>1146</v>
      </c>
      <c r="FD7" t="s">
        <v>1142</v>
      </c>
      <c r="FE7">
        <v>0</v>
      </c>
      <c r="FF7">
        <v>0</v>
      </c>
      <c r="FG7">
        <v>0</v>
      </c>
      <c r="FI7">
        <v>0</v>
      </c>
      <c r="FM7">
        <v>0</v>
      </c>
      <c r="FO7">
        <v>0</v>
      </c>
      <c r="FQ7">
        <v>0</v>
      </c>
      <c r="FS7">
        <v>0</v>
      </c>
      <c r="FU7" s="38">
        <v>45991</v>
      </c>
      <c r="FX7" t="s">
        <v>1147</v>
      </c>
      <c r="FY7">
        <v>0</v>
      </c>
      <c r="FZ7">
        <v>0</v>
      </c>
    </row>
    <row r="8" spans="1:184" x14ac:dyDescent="0.25">
      <c r="A8" t="s">
        <v>167</v>
      </c>
      <c r="B8" t="s">
        <v>168</v>
      </c>
      <c r="C8" t="s">
        <v>179</v>
      </c>
      <c r="D8" t="s">
        <v>170</v>
      </c>
      <c r="E8" t="s">
        <v>1097</v>
      </c>
      <c r="F8" t="s">
        <v>499</v>
      </c>
      <c r="I8">
        <v>0</v>
      </c>
      <c r="J8">
        <v>0</v>
      </c>
      <c r="M8">
        <v>0</v>
      </c>
      <c r="V8" t="s">
        <v>1098</v>
      </c>
      <c r="W8" s="38">
        <v>46157</v>
      </c>
      <c r="Y8">
        <v>0</v>
      </c>
      <c r="AD8">
        <v>151173</v>
      </c>
      <c r="AE8">
        <v>170281</v>
      </c>
      <c r="AF8" s="38">
        <v>46183</v>
      </c>
      <c r="AI8" t="s">
        <v>235</v>
      </c>
      <c r="AJ8" t="s">
        <v>179</v>
      </c>
      <c r="AK8" t="s">
        <v>181</v>
      </c>
      <c r="AL8" s="38">
        <v>46148</v>
      </c>
      <c r="AM8">
        <v>-19.2</v>
      </c>
      <c r="AN8">
        <v>-320</v>
      </c>
      <c r="AO8" t="s">
        <v>182</v>
      </c>
      <c r="AP8" t="s">
        <v>183</v>
      </c>
      <c r="AQ8" t="s">
        <v>184</v>
      </c>
      <c r="AU8">
        <v>0</v>
      </c>
      <c r="AV8" t="s">
        <v>1099</v>
      </c>
      <c r="AW8" t="s">
        <v>219</v>
      </c>
      <c r="AX8" t="s">
        <v>1100</v>
      </c>
      <c r="BA8">
        <v>104013</v>
      </c>
      <c r="BB8" t="s">
        <v>1136</v>
      </c>
      <c r="BC8" t="s">
        <v>1108</v>
      </c>
      <c r="BD8" t="s">
        <v>1109</v>
      </c>
      <c r="BE8" t="s">
        <v>1110</v>
      </c>
      <c r="BF8" t="s">
        <v>174</v>
      </c>
      <c r="BG8" t="s">
        <v>183</v>
      </c>
      <c r="BH8" t="s">
        <v>1302</v>
      </c>
      <c r="BI8" s="38">
        <v>46203</v>
      </c>
      <c r="BJ8" s="38">
        <v>46224</v>
      </c>
      <c r="BL8">
        <v>0.01</v>
      </c>
      <c r="BM8" t="s">
        <v>1112</v>
      </c>
      <c r="CM8">
        <v>0</v>
      </c>
      <c r="CN8" t="s">
        <v>1137</v>
      </c>
      <c r="CR8">
        <v>0</v>
      </c>
      <c r="CS8">
        <v>0</v>
      </c>
      <c r="CT8">
        <v>57</v>
      </c>
      <c r="CU8">
        <v>50.002200000000002</v>
      </c>
      <c r="CV8" t="s">
        <v>1101</v>
      </c>
      <c r="CX8" t="s">
        <v>185</v>
      </c>
      <c r="CZ8" t="s">
        <v>428</v>
      </c>
      <c r="DC8">
        <v>60</v>
      </c>
      <c r="DD8" t="s">
        <v>186</v>
      </c>
      <c r="DE8" t="s">
        <v>1102</v>
      </c>
      <c r="DF8" t="s">
        <v>447</v>
      </c>
      <c r="DG8">
        <v>100</v>
      </c>
      <c r="DH8">
        <v>850</v>
      </c>
      <c r="DN8">
        <v>1</v>
      </c>
      <c r="DP8" t="s">
        <v>1148</v>
      </c>
      <c r="DV8">
        <v>0</v>
      </c>
      <c r="DW8">
        <v>0</v>
      </c>
      <c r="DX8">
        <v>0</v>
      </c>
      <c r="EA8" t="s">
        <v>1138</v>
      </c>
      <c r="EC8" t="s">
        <v>1139</v>
      </c>
      <c r="EE8" t="s">
        <v>1105</v>
      </c>
      <c r="EF8">
        <v>99.18</v>
      </c>
      <c r="EI8">
        <v>5010</v>
      </c>
      <c r="EJ8">
        <v>1</v>
      </c>
      <c r="EK8" t="s">
        <v>1106</v>
      </c>
      <c r="EQ8">
        <v>0</v>
      </c>
      <c r="ER8" t="s">
        <v>1133</v>
      </c>
      <c r="ET8">
        <v>0</v>
      </c>
      <c r="EU8">
        <v>52</v>
      </c>
      <c r="EV8">
        <v>0</v>
      </c>
      <c r="EW8">
        <v>0</v>
      </c>
      <c r="EX8">
        <v>0</v>
      </c>
      <c r="EY8">
        <v>0</v>
      </c>
      <c r="FA8" t="s">
        <v>1155</v>
      </c>
      <c r="FD8" t="s">
        <v>183</v>
      </c>
      <c r="FE8">
        <v>0</v>
      </c>
      <c r="FF8">
        <v>0</v>
      </c>
      <c r="FG8">
        <v>0</v>
      </c>
      <c r="FI8">
        <v>0</v>
      </c>
      <c r="FM8">
        <v>0</v>
      </c>
      <c r="FO8">
        <v>0</v>
      </c>
      <c r="FP8" t="s">
        <v>1140</v>
      </c>
      <c r="FQ8">
        <v>6.15</v>
      </c>
      <c r="FS8">
        <v>0</v>
      </c>
      <c r="FT8" s="38">
        <v>46203</v>
      </c>
      <c r="FU8" s="38">
        <v>46203</v>
      </c>
      <c r="FX8" t="s">
        <v>1149</v>
      </c>
      <c r="FY8">
        <v>0</v>
      </c>
      <c r="FZ8">
        <v>0</v>
      </c>
    </row>
    <row r="9" spans="1:184" x14ac:dyDescent="0.25">
      <c r="A9" t="s">
        <v>167</v>
      </c>
      <c r="B9" t="s">
        <v>168</v>
      </c>
      <c r="C9" t="s">
        <v>179</v>
      </c>
      <c r="D9" t="s">
        <v>170</v>
      </c>
      <c r="E9" t="s">
        <v>1097</v>
      </c>
      <c r="F9" t="s">
        <v>499</v>
      </c>
      <c r="I9">
        <v>0</v>
      </c>
      <c r="J9">
        <v>0</v>
      </c>
      <c r="M9">
        <v>0</v>
      </c>
      <c r="V9" t="s">
        <v>1098</v>
      </c>
      <c r="W9" s="38">
        <v>46157</v>
      </c>
      <c r="Y9">
        <v>0</v>
      </c>
      <c r="AD9">
        <v>150616</v>
      </c>
      <c r="AE9">
        <v>169674</v>
      </c>
      <c r="AF9" s="38">
        <v>46162</v>
      </c>
      <c r="AG9" s="38">
        <v>46171</v>
      </c>
      <c r="AH9" t="s">
        <v>1124</v>
      </c>
      <c r="AI9" t="s">
        <v>226</v>
      </c>
      <c r="AJ9" t="s">
        <v>179</v>
      </c>
      <c r="AK9" t="s">
        <v>227</v>
      </c>
      <c r="AL9" s="38">
        <v>46150</v>
      </c>
      <c r="AM9">
        <v>-19.2</v>
      </c>
      <c r="AN9">
        <v>-320</v>
      </c>
      <c r="AO9" t="s">
        <v>173</v>
      </c>
      <c r="AP9" t="s">
        <v>174</v>
      </c>
      <c r="AQ9" t="s">
        <v>205</v>
      </c>
      <c r="AR9" t="s">
        <v>1150</v>
      </c>
      <c r="AU9">
        <v>316.2</v>
      </c>
      <c r="AV9" t="s">
        <v>1099</v>
      </c>
      <c r="AW9" t="s">
        <v>219</v>
      </c>
      <c r="AX9" t="s">
        <v>1100</v>
      </c>
      <c r="BA9">
        <v>104002</v>
      </c>
      <c r="BB9" t="s">
        <v>1107</v>
      </c>
      <c r="BC9" t="s">
        <v>1108</v>
      </c>
      <c r="BD9" t="s">
        <v>1109</v>
      </c>
      <c r="BE9" t="s">
        <v>1110</v>
      </c>
      <c r="BF9" t="s">
        <v>174</v>
      </c>
      <c r="BG9" t="s">
        <v>1111</v>
      </c>
      <c r="BH9" t="s">
        <v>1151</v>
      </c>
      <c r="BI9" s="38">
        <v>46203</v>
      </c>
      <c r="BJ9" s="38">
        <v>46234</v>
      </c>
      <c r="BL9">
        <v>0.01</v>
      </c>
      <c r="BM9" t="s">
        <v>1112</v>
      </c>
      <c r="BN9" t="s">
        <v>1281</v>
      </c>
      <c r="CM9">
        <v>0</v>
      </c>
      <c r="CN9" t="s">
        <v>1152</v>
      </c>
      <c r="CR9">
        <v>0</v>
      </c>
      <c r="CS9">
        <v>0</v>
      </c>
      <c r="CT9">
        <v>60</v>
      </c>
      <c r="CU9">
        <v>55.195500000000003</v>
      </c>
      <c r="CV9" t="s">
        <v>1101</v>
      </c>
      <c r="CX9" t="s">
        <v>48</v>
      </c>
      <c r="CZ9" t="s">
        <v>428</v>
      </c>
      <c r="DC9">
        <v>60</v>
      </c>
      <c r="DD9" t="s">
        <v>186</v>
      </c>
      <c r="DE9" t="s">
        <v>1102</v>
      </c>
      <c r="DF9" t="s">
        <v>447</v>
      </c>
      <c r="DG9">
        <v>100</v>
      </c>
      <c r="DH9">
        <v>850</v>
      </c>
      <c r="DJ9" t="s">
        <v>228</v>
      </c>
      <c r="DN9">
        <v>1</v>
      </c>
      <c r="DV9">
        <v>0</v>
      </c>
      <c r="DW9">
        <v>0</v>
      </c>
      <c r="DX9">
        <v>0</v>
      </c>
      <c r="EA9" t="s">
        <v>1153</v>
      </c>
      <c r="EC9" t="s">
        <v>1104</v>
      </c>
      <c r="EE9" t="s">
        <v>1105</v>
      </c>
      <c r="EF9">
        <v>0</v>
      </c>
      <c r="EG9" t="s">
        <v>1154</v>
      </c>
      <c r="EI9">
        <v>4910</v>
      </c>
      <c r="EJ9">
        <v>1</v>
      </c>
      <c r="EK9" t="s">
        <v>1132</v>
      </c>
      <c r="EQ9">
        <v>0</v>
      </c>
      <c r="ER9" t="s">
        <v>1133</v>
      </c>
      <c r="ET9">
        <v>0</v>
      </c>
      <c r="EU9">
        <v>49.8</v>
      </c>
      <c r="EV9">
        <v>0</v>
      </c>
      <c r="EW9">
        <v>0</v>
      </c>
      <c r="EX9">
        <v>0</v>
      </c>
      <c r="EY9">
        <v>0</v>
      </c>
      <c r="FA9" t="s">
        <v>1155</v>
      </c>
      <c r="FD9" t="s">
        <v>1111</v>
      </c>
      <c r="FE9">
        <v>0</v>
      </c>
      <c r="FF9">
        <v>0</v>
      </c>
      <c r="FG9">
        <v>0</v>
      </c>
      <c r="FI9">
        <v>0</v>
      </c>
      <c r="FM9">
        <v>0</v>
      </c>
      <c r="FO9">
        <v>0</v>
      </c>
      <c r="FQ9">
        <v>0</v>
      </c>
      <c r="FS9">
        <v>0</v>
      </c>
      <c r="FT9" s="38">
        <v>46203</v>
      </c>
      <c r="FU9" s="38">
        <v>46203</v>
      </c>
      <c r="FX9" t="s">
        <v>1156</v>
      </c>
      <c r="FY9">
        <v>0</v>
      </c>
      <c r="FZ9">
        <v>0</v>
      </c>
    </row>
    <row r="10" spans="1:184" x14ac:dyDescent="0.25">
      <c r="A10" t="s">
        <v>167</v>
      </c>
      <c r="B10" t="s">
        <v>168</v>
      </c>
      <c r="C10" t="s">
        <v>179</v>
      </c>
      <c r="D10" t="s">
        <v>170</v>
      </c>
      <c r="E10" t="s">
        <v>1097</v>
      </c>
      <c r="F10" t="s">
        <v>499</v>
      </c>
      <c r="I10">
        <v>0</v>
      </c>
      <c r="J10">
        <v>0</v>
      </c>
      <c r="M10">
        <v>0</v>
      </c>
      <c r="V10" t="s">
        <v>1098</v>
      </c>
      <c r="W10" s="38">
        <v>46157</v>
      </c>
      <c r="Y10">
        <v>0</v>
      </c>
      <c r="AD10">
        <v>150617</v>
      </c>
      <c r="AE10">
        <v>169675</v>
      </c>
      <c r="AF10" s="38">
        <v>46162</v>
      </c>
      <c r="AG10" s="38">
        <v>46171</v>
      </c>
      <c r="AH10" t="s">
        <v>1124</v>
      </c>
      <c r="AI10" t="s">
        <v>229</v>
      </c>
      <c r="AJ10" t="s">
        <v>179</v>
      </c>
      <c r="AK10" t="s">
        <v>227</v>
      </c>
      <c r="AL10" s="38">
        <v>46150</v>
      </c>
      <c r="AM10">
        <v>-19.2</v>
      </c>
      <c r="AN10">
        <v>-320</v>
      </c>
      <c r="AO10" t="s">
        <v>173</v>
      </c>
      <c r="AP10" t="s">
        <v>174</v>
      </c>
      <c r="AQ10" t="s">
        <v>205</v>
      </c>
      <c r="AR10" t="s">
        <v>1150</v>
      </c>
      <c r="AU10">
        <v>316.2</v>
      </c>
      <c r="AV10" t="s">
        <v>1099</v>
      </c>
      <c r="AW10" t="s">
        <v>219</v>
      </c>
      <c r="AX10" t="s">
        <v>1100</v>
      </c>
      <c r="BA10">
        <v>104003</v>
      </c>
      <c r="BB10" t="s">
        <v>1107</v>
      </c>
      <c r="BC10" t="s">
        <v>1108</v>
      </c>
      <c r="BD10" t="s">
        <v>1109</v>
      </c>
      <c r="BE10" t="s">
        <v>1110</v>
      </c>
      <c r="BF10" t="s">
        <v>174</v>
      </c>
      <c r="BG10" t="s">
        <v>1111</v>
      </c>
      <c r="BH10" t="s">
        <v>1157</v>
      </c>
      <c r="BI10" s="38">
        <v>46203</v>
      </c>
      <c r="BJ10" s="38">
        <v>46234</v>
      </c>
      <c r="BL10">
        <v>0.01</v>
      </c>
      <c r="BM10" t="s">
        <v>1112</v>
      </c>
      <c r="BN10" t="s">
        <v>1281</v>
      </c>
      <c r="CM10">
        <v>0</v>
      </c>
      <c r="CN10" t="s">
        <v>1152</v>
      </c>
      <c r="CR10">
        <v>0</v>
      </c>
      <c r="CS10">
        <v>0</v>
      </c>
      <c r="CT10">
        <v>60</v>
      </c>
      <c r="CU10">
        <v>55.195500000000003</v>
      </c>
      <c r="CV10" t="s">
        <v>1101</v>
      </c>
      <c r="CX10" t="s">
        <v>48</v>
      </c>
      <c r="CZ10" t="s">
        <v>428</v>
      </c>
      <c r="DC10">
        <v>60</v>
      </c>
      <c r="DD10" t="s">
        <v>186</v>
      </c>
      <c r="DE10" t="s">
        <v>1102</v>
      </c>
      <c r="DF10" t="s">
        <v>447</v>
      </c>
      <c r="DG10">
        <v>100</v>
      </c>
      <c r="DH10">
        <v>850</v>
      </c>
      <c r="DJ10" t="s">
        <v>228</v>
      </c>
      <c r="DN10">
        <v>1</v>
      </c>
      <c r="DV10">
        <v>0</v>
      </c>
      <c r="DW10">
        <v>0</v>
      </c>
      <c r="DX10">
        <v>0</v>
      </c>
      <c r="EA10" t="s">
        <v>1153</v>
      </c>
      <c r="EC10" t="s">
        <v>1104</v>
      </c>
      <c r="EE10" t="s">
        <v>1105</v>
      </c>
      <c r="EF10">
        <v>0</v>
      </c>
      <c r="EG10" t="s">
        <v>1154</v>
      </c>
      <c r="EI10">
        <v>4910</v>
      </c>
      <c r="EJ10">
        <v>1</v>
      </c>
      <c r="EK10" t="s">
        <v>1132</v>
      </c>
      <c r="EQ10">
        <v>0</v>
      </c>
      <c r="ER10" t="s">
        <v>1133</v>
      </c>
      <c r="ET10">
        <v>0</v>
      </c>
      <c r="EU10">
        <v>49.8</v>
      </c>
      <c r="EV10">
        <v>0</v>
      </c>
      <c r="EW10">
        <v>0</v>
      </c>
      <c r="EX10">
        <v>0</v>
      </c>
      <c r="EY10">
        <v>0</v>
      </c>
      <c r="FA10" t="s">
        <v>1155</v>
      </c>
      <c r="FD10" t="s">
        <v>1111</v>
      </c>
      <c r="FE10">
        <v>0</v>
      </c>
      <c r="FF10">
        <v>0</v>
      </c>
      <c r="FG10">
        <v>0</v>
      </c>
      <c r="FI10">
        <v>0</v>
      </c>
      <c r="FM10">
        <v>0</v>
      </c>
      <c r="FO10">
        <v>0</v>
      </c>
      <c r="FQ10">
        <v>0</v>
      </c>
      <c r="FS10">
        <v>0</v>
      </c>
      <c r="FT10" s="38">
        <v>46203</v>
      </c>
      <c r="FU10" s="38">
        <v>46203</v>
      </c>
      <c r="FX10" t="s">
        <v>1158</v>
      </c>
      <c r="FY10">
        <v>0</v>
      </c>
      <c r="FZ10">
        <v>0</v>
      </c>
    </row>
    <row r="11" spans="1:184" x14ac:dyDescent="0.25">
      <c r="A11" t="s">
        <v>167</v>
      </c>
      <c r="B11" t="s">
        <v>168</v>
      </c>
      <c r="C11" t="s">
        <v>179</v>
      </c>
      <c r="D11" t="s">
        <v>170</v>
      </c>
      <c r="E11" t="s">
        <v>1097</v>
      </c>
      <c r="F11" t="s">
        <v>499</v>
      </c>
      <c r="I11">
        <v>0</v>
      </c>
      <c r="J11">
        <v>0</v>
      </c>
      <c r="M11">
        <v>0</v>
      </c>
      <c r="V11" t="s">
        <v>1098</v>
      </c>
      <c r="W11" s="38">
        <v>46160</v>
      </c>
      <c r="Y11">
        <v>0</v>
      </c>
      <c r="AD11">
        <v>150726</v>
      </c>
      <c r="AE11">
        <v>169793</v>
      </c>
      <c r="AF11" s="38">
        <v>46167</v>
      </c>
      <c r="AG11" s="38">
        <v>46177</v>
      </c>
      <c r="AH11" t="s">
        <v>1124</v>
      </c>
      <c r="AI11" t="s">
        <v>284</v>
      </c>
      <c r="AJ11" t="s">
        <v>179</v>
      </c>
      <c r="AK11" t="s">
        <v>285</v>
      </c>
      <c r="AL11" s="38">
        <v>46157</v>
      </c>
      <c r="AM11">
        <v>-19.2</v>
      </c>
      <c r="AN11">
        <v>-320</v>
      </c>
      <c r="AO11" t="s">
        <v>286</v>
      </c>
      <c r="AP11" t="s">
        <v>183</v>
      </c>
      <c r="AQ11" t="s">
        <v>277</v>
      </c>
      <c r="AU11">
        <v>8308.0400000000009</v>
      </c>
      <c r="AV11" t="s">
        <v>1135</v>
      </c>
      <c r="AW11" t="s">
        <v>231</v>
      </c>
      <c r="AX11" t="s">
        <v>1100</v>
      </c>
      <c r="BA11">
        <v>104035</v>
      </c>
      <c r="BB11" t="s">
        <v>1136</v>
      </c>
      <c r="BC11" t="s">
        <v>1108</v>
      </c>
      <c r="BD11" t="s">
        <v>1159</v>
      </c>
      <c r="BE11" t="s">
        <v>1110</v>
      </c>
      <c r="BF11" t="s">
        <v>174</v>
      </c>
      <c r="BG11" t="s">
        <v>183</v>
      </c>
      <c r="BH11" t="s">
        <v>1160</v>
      </c>
      <c r="BI11" s="38">
        <v>46199</v>
      </c>
      <c r="BJ11" s="38">
        <v>46220</v>
      </c>
      <c r="BL11">
        <v>0.01</v>
      </c>
      <c r="BM11" t="s">
        <v>1112</v>
      </c>
      <c r="BN11" t="s">
        <v>1281</v>
      </c>
      <c r="CM11">
        <v>0</v>
      </c>
      <c r="CN11" t="s">
        <v>1161</v>
      </c>
      <c r="CR11">
        <v>0</v>
      </c>
      <c r="CS11">
        <v>0</v>
      </c>
      <c r="CT11">
        <v>125</v>
      </c>
      <c r="CU11">
        <v>88.179100000000005</v>
      </c>
      <c r="CV11" t="s">
        <v>1101</v>
      </c>
      <c r="CX11" t="s">
        <v>287</v>
      </c>
      <c r="CZ11" t="s">
        <v>428</v>
      </c>
      <c r="DC11">
        <v>60</v>
      </c>
      <c r="DD11" t="s">
        <v>186</v>
      </c>
      <c r="DE11" t="s">
        <v>1102</v>
      </c>
      <c r="DF11" t="s">
        <v>509</v>
      </c>
      <c r="DG11">
        <v>100</v>
      </c>
      <c r="DH11">
        <v>850</v>
      </c>
      <c r="DN11">
        <v>1</v>
      </c>
      <c r="DP11" t="s">
        <v>1162</v>
      </c>
      <c r="DV11">
        <v>0</v>
      </c>
      <c r="DW11">
        <v>0</v>
      </c>
      <c r="DX11">
        <v>0</v>
      </c>
      <c r="EA11" t="s">
        <v>1163</v>
      </c>
      <c r="EC11" t="s">
        <v>1139</v>
      </c>
      <c r="EE11" t="s">
        <v>1105</v>
      </c>
      <c r="EF11">
        <v>372.96</v>
      </c>
      <c r="EI11">
        <v>0</v>
      </c>
      <c r="EJ11">
        <v>0</v>
      </c>
      <c r="EK11" t="s">
        <v>1164</v>
      </c>
      <c r="EQ11">
        <v>0</v>
      </c>
      <c r="ER11" t="s">
        <v>1133</v>
      </c>
      <c r="ET11">
        <v>0</v>
      </c>
      <c r="EU11">
        <v>81.819999999999993</v>
      </c>
      <c r="EV11">
        <v>0</v>
      </c>
      <c r="EW11">
        <v>0</v>
      </c>
      <c r="EX11">
        <v>0</v>
      </c>
      <c r="EY11">
        <v>0</v>
      </c>
      <c r="FA11" t="s">
        <v>1155</v>
      </c>
      <c r="FD11" t="s">
        <v>183</v>
      </c>
      <c r="FE11">
        <v>0</v>
      </c>
      <c r="FF11">
        <v>0</v>
      </c>
      <c r="FG11">
        <v>0</v>
      </c>
      <c r="FI11">
        <v>0</v>
      </c>
      <c r="FM11">
        <v>0</v>
      </c>
      <c r="FO11">
        <v>0</v>
      </c>
      <c r="FP11" t="s">
        <v>1140</v>
      </c>
      <c r="FQ11">
        <v>34</v>
      </c>
      <c r="FS11">
        <v>0</v>
      </c>
      <c r="FT11" s="38">
        <v>46199</v>
      </c>
      <c r="FU11" s="38">
        <v>46234</v>
      </c>
      <c r="FX11" t="s">
        <v>1165</v>
      </c>
      <c r="FY11">
        <v>0</v>
      </c>
      <c r="FZ11">
        <v>0</v>
      </c>
    </row>
    <row r="12" spans="1:184" x14ac:dyDescent="0.25">
      <c r="A12" t="s">
        <v>167</v>
      </c>
      <c r="B12" t="s">
        <v>168</v>
      </c>
      <c r="C12" t="s">
        <v>179</v>
      </c>
      <c r="D12" t="s">
        <v>170</v>
      </c>
      <c r="E12" t="s">
        <v>1097</v>
      </c>
      <c r="F12" t="s">
        <v>499</v>
      </c>
      <c r="I12">
        <v>0</v>
      </c>
      <c r="J12">
        <v>0</v>
      </c>
      <c r="M12">
        <v>0</v>
      </c>
      <c r="V12" t="s">
        <v>1098</v>
      </c>
      <c r="Y12">
        <v>0</v>
      </c>
      <c r="AD12">
        <v>150662</v>
      </c>
      <c r="AE12">
        <v>169725</v>
      </c>
      <c r="AF12" s="38">
        <v>46164</v>
      </c>
      <c r="AG12" s="38">
        <v>46190</v>
      </c>
      <c r="AH12" t="s">
        <v>1124</v>
      </c>
      <c r="AI12" t="s">
        <v>280</v>
      </c>
      <c r="AJ12" t="s">
        <v>179</v>
      </c>
      <c r="AK12" t="s">
        <v>281</v>
      </c>
      <c r="AL12" s="38">
        <v>46157</v>
      </c>
      <c r="AM12">
        <v>-19.2</v>
      </c>
      <c r="AN12">
        <v>-320</v>
      </c>
      <c r="AO12" t="s">
        <v>182</v>
      </c>
      <c r="AP12" t="s">
        <v>282</v>
      </c>
      <c r="AQ12" t="s">
        <v>189</v>
      </c>
      <c r="AU12">
        <v>8.4</v>
      </c>
      <c r="AV12" t="s">
        <v>1166</v>
      </c>
      <c r="AW12" t="s">
        <v>219</v>
      </c>
      <c r="AX12" t="s">
        <v>1100</v>
      </c>
      <c r="BA12">
        <v>0</v>
      </c>
      <c r="BL12">
        <v>0</v>
      </c>
      <c r="CM12">
        <v>0</v>
      </c>
      <c r="CN12" t="s">
        <v>1137</v>
      </c>
      <c r="CR12">
        <v>0</v>
      </c>
      <c r="CS12">
        <v>0</v>
      </c>
      <c r="CT12">
        <v>102.67149999999999</v>
      </c>
      <c r="CU12">
        <v>99.687299999999993</v>
      </c>
      <c r="CV12" t="s">
        <v>1101</v>
      </c>
      <c r="CX12" t="s">
        <v>283</v>
      </c>
      <c r="CZ12" t="s">
        <v>428</v>
      </c>
      <c r="DC12">
        <v>60</v>
      </c>
      <c r="DD12" t="s">
        <v>186</v>
      </c>
      <c r="DE12" t="s">
        <v>1102</v>
      </c>
      <c r="DF12" t="s">
        <v>447</v>
      </c>
      <c r="DG12">
        <v>100</v>
      </c>
      <c r="DH12">
        <v>850</v>
      </c>
      <c r="DN12">
        <v>1</v>
      </c>
      <c r="DV12">
        <v>0</v>
      </c>
      <c r="DW12">
        <v>0</v>
      </c>
      <c r="DX12">
        <v>0</v>
      </c>
      <c r="EA12" t="s">
        <v>1167</v>
      </c>
      <c r="EC12" t="s">
        <v>1168</v>
      </c>
      <c r="EE12" t="s">
        <v>1105</v>
      </c>
      <c r="EF12">
        <v>937.44</v>
      </c>
      <c r="EG12" t="s">
        <v>1169</v>
      </c>
      <c r="EI12">
        <v>4910</v>
      </c>
      <c r="EJ12">
        <v>1</v>
      </c>
      <c r="EK12" t="s">
        <v>1132</v>
      </c>
      <c r="EQ12">
        <v>0</v>
      </c>
      <c r="ER12" t="s">
        <v>1133</v>
      </c>
      <c r="ET12">
        <v>0</v>
      </c>
      <c r="EU12">
        <v>47.98</v>
      </c>
      <c r="EV12">
        <v>0</v>
      </c>
      <c r="EW12">
        <v>0</v>
      </c>
      <c r="EX12">
        <v>0</v>
      </c>
      <c r="EY12">
        <v>0</v>
      </c>
      <c r="FE12">
        <v>0</v>
      </c>
      <c r="FF12">
        <v>0</v>
      </c>
      <c r="FG12">
        <v>0</v>
      </c>
      <c r="FI12">
        <v>0</v>
      </c>
      <c r="FM12">
        <v>0</v>
      </c>
      <c r="FO12">
        <v>0</v>
      </c>
      <c r="FQ12">
        <v>0</v>
      </c>
      <c r="FS12">
        <v>0</v>
      </c>
      <c r="FU12" s="38">
        <v>46203</v>
      </c>
      <c r="FY12">
        <v>0</v>
      </c>
      <c r="FZ12">
        <v>0</v>
      </c>
    </row>
    <row r="13" spans="1:184" x14ac:dyDescent="0.25">
      <c r="A13" t="s">
        <v>167</v>
      </c>
      <c r="B13" t="s">
        <v>168</v>
      </c>
      <c r="C13" t="s">
        <v>179</v>
      </c>
      <c r="D13" t="s">
        <v>170</v>
      </c>
      <c r="E13" t="s">
        <v>1097</v>
      </c>
      <c r="F13" t="s">
        <v>499</v>
      </c>
      <c r="I13">
        <v>0</v>
      </c>
      <c r="J13">
        <v>0</v>
      </c>
      <c r="M13">
        <v>0</v>
      </c>
      <c r="V13" t="s">
        <v>1098</v>
      </c>
      <c r="W13" s="38">
        <v>46163</v>
      </c>
      <c r="Y13">
        <v>0</v>
      </c>
      <c r="AD13">
        <v>150725</v>
      </c>
      <c r="AE13">
        <v>169792</v>
      </c>
      <c r="AF13" s="38">
        <v>46164</v>
      </c>
      <c r="AI13" t="s">
        <v>304</v>
      </c>
      <c r="AJ13" t="s">
        <v>179</v>
      </c>
      <c r="AK13" t="s">
        <v>305</v>
      </c>
      <c r="AL13" s="38">
        <v>46163</v>
      </c>
      <c r="AM13">
        <v>-19.2</v>
      </c>
      <c r="AN13">
        <v>-320</v>
      </c>
      <c r="AO13" t="s">
        <v>173</v>
      </c>
      <c r="AP13" t="s">
        <v>174</v>
      </c>
      <c r="AQ13" t="s">
        <v>306</v>
      </c>
      <c r="AR13" t="s">
        <v>1170</v>
      </c>
      <c r="AU13">
        <v>0</v>
      </c>
      <c r="AV13" t="s">
        <v>1099</v>
      </c>
      <c r="AW13" t="s">
        <v>219</v>
      </c>
      <c r="AX13" t="s">
        <v>1100</v>
      </c>
      <c r="BA13">
        <v>104158</v>
      </c>
      <c r="BB13" t="s">
        <v>1171</v>
      </c>
      <c r="BC13" t="s">
        <v>1172</v>
      </c>
      <c r="BD13" t="s">
        <v>1303</v>
      </c>
      <c r="BE13" t="s">
        <v>1110</v>
      </c>
      <c r="BF13" t="s">
        <v>174</v>
      </c>
      <c r="BG13" t="s">
        <v>1173</v>
      </c>
      <c r="BH13" t="s">
        <v>1174</v>
      </c>
      <c r="BI13" s="38">
        <v>46207</v>
      </c>
      <c r="BJ13" s="38">
        <v>46266</v>
      </c>
      <c r="BL13">
        <v>0.01</v>
      </c>
      <c r="BM13" t="s">
        <v>1112</v>
      </c>
      <c r="BN13" t="s">
        <v>1283</v>
      </c>
      <c r="CM13">
        <v>0</v>
      </c>
      <c r="CN13" t="s">
        <v>1113</v>
      </c>
      <c r="CR13">
        <v>0</v>
      </c>
      <c r="CS13">
        <v>0</v>
      </c>
      <c r="CT13">
        <v>95</v>
      </c>
      <c r="CU13">
        <v>95</v>
      </c>
      <c r="CV13" t="s">
        <v>1101</v>
      </c>
      <c r="CX13" t="s">
        <v>283</v>
      </c>
      <c r="CZ13" t="s">
        <v>428</v>
      </c>
      <c r="DC13">
        <v>60</v>
      </c>
      <c r="DD13" t="s">
        <v>232</v>
      </c>
      <c r="DE13" t="s">
        <v>1102</v>
      </c>
      <c r="DF13" t="s">
        <v>447</v>
      </c>
      <c r="DG13">
        <v>100</v>
      </c>
      <c r="DH13">
        <v>850</v>
      </c>
      <c r="DL13" t="s">
        <v>207</v>
      </c>
      <c r="DN13">
        <v>1</v>
      </c>
      <c r="DV13">
        <v>0</v>
      </c>
      <c r="DW13">
        <v>0</v>
      </c>
      <c r="DX13">
        <v>0</v>
      </c>
      <c r="EA13" t="s">
        <v>1175</v>
      </c>
      <c r="EC13" t="s">
        <v>1176</v>
      </c>
      <c r="EE13" t="s">
        <v>1105</v>
      </c>
      <c r="EF13">
        <v>0</v>
      </c>
      <c r="EI13">
        <v>5010</v>
      </c>
      <c r="EJ13">
        <v>1</v>
      </c>
      <c r="EK13" t="s">
        <v>1106</v>
      </c>
      <c r="EQ13">
        <v>0</v>
      </c>
      <c r="ER13" t="s">
        <v>1133</v>
      </c>
      <c r="ET13">
        <v>0</v>
      </c>
      <c r="EU13">
        <v>45</v>
      </c>
      <c r="EV13">
        <v>0</v>
      </c>
      <c r="EW13">
        <v>0</v>
      </c>
      <c r="EX13">
        <v>0</v>
      </c>
      <c r="EY13">
        <v>0</v>
      </c>
      <c r="FA13" t="s">
        <v>1155</v>
      </c>
      <c r="FD13" t="s">
        <v>1173</v>
      </c>
      <c r="FE13">
        <v>0</v>
      </c>
      <c r="FF13">
        <v>0</v>
      </c>
      <c r="FG13">
        <v>0</v>
      </c>
      <c r="FI13">
        <v>0</v>
      </c>
      <c r="FM13">
        <v>0</v>
      </c>
      <c r="FO13">
        <v>0</v>
      </c>
      <c r="FQ13">
        <v>0</v>
      </c>
      <c r="FS13">
        <v>0</v>
      </c>
      <c r="FT13" s="38">
        <v>46207</v>
      </c>
      <c r="FU13" s="38">
        <v>46207</v>
      </c>
      <c r="FX13" t="s">
        <v>1177</v>
      </c>
      <c r="FY13">
        <v>0</v>
      </c>
      <c r="FZ13">
        <v>0</v>
      </c>
    </row>
    <row r="14" spans="1:184" x14ac:dyDescent="0.25">
      <c r="A14" t="s">
        <v>167</v>
      </c>
      <c r="B14" t="s">
        <v>168</v>
      </c>
      <c r="C14" t="s">
        <v>179</v>
      </c>
      <c r="D14" t="s">
        <v>170</v>
      </c>
      <c r="E14" t="s">
        <v>1097</v>
      </c>
      <c r="F14" t="s">
        <v>499</v>
      </c>
      <c r="I14">
        <v>0</v>
      </c>
      <c r="J14">
        <v>0</v>
      </c>
      <c r="M14">
        <v>0</v>
      </c>
      <c r="V14" t="s">
        <v>1098</v>
      </c>
      <c r="W14" s="38">
        <v>46183</v>
      </c>
      <c r="Y14">
        <v>0</v>
      </c>
      <c r="AD14">
        <v>0</v>
      </c>
      <c r="AE14">
        <v>0</v>
      </c>
      <c r="AI14" t="s">
        <v>317</v>
      </c>
      <c r="AJ14" t="s">
        <v>179</v>
      </c>
      <c r="AK14" t="s">
        <v>237</v>
      </c>
      <c r="AL14" s="38">
        <v>46178</v>
      </c>
      <c r="AM14">
        <v>-19.2</v>
      </c>
      <c r="AN14">
        <v>-320</v>
      </c>
      <c r="AO14" t="s">
        <v>319</v>
      </c>
      <c r="AP14" t="s">
        <v>320</v>
      </c>
      <c r="AQ14" t="s">
        <v>311</v>
      </c>
      <c r="AR14" t="s">
        <v>1178</v>
      </c>
      <c r="AU14">
        <v>0</v>
      </c>
      <c r="AV14" t="s">
        <v>1099</v>
      </c>
      <c r="AW14" t="s">
        <v>278</v>
      </c>
      <c r="AX14" t="s">
        <v>1179</v>
      </c>
      <c r="BA14">
        <v>104674</v>
      </c>
      <c r="BB14" t="s">
        <v>1136</v>
      </c>
      <c r="BE14" t="s">
        <v>1110</v>
      </c>
      <c r="BF14" t="s">
        <v>174</v>
      </c>
      <c r="BG14" t="s">
        <v>183</v>
      </c>
      <c r="BL14">
        <v>0.01</v>
      </c>
      <c r="BM14" t="s">
        <v>1112</v>
      </c>
      <c r="CM14">
        <v>0</v>
      </c>
      <c r="CN14" t="s">
        <v>1180</v>
      </c>
      <c r="CR14">
        <v>0</v>
      </c>
      <c r="CS14">
        <v>0</v>
      </c>
      <c r="CT14">
        <v>102.4</v>
      </c>
      <c r="CU14">
        <v>94.131799999999998</v>
      </c>
      <c r="CV14" t="s">
        <v>1101</v>
      </c>
      <c r="CX14" t="s">
        <v>283</v>
      </c>
      <c r="CZ14" t="s">
        <v>428</v>
      </c>
      <c r="DC14">
        <v>60</v>
      </c>
      <c r="DD14" t="s">
        <v>232</v>
      </c>
      <c r="DE14" t="s">
        <v>1102</v>
      </c>
      <c r="DF14" t="s">
        <v>447</v>
      </c>
      <c r="DG14">
        <v>100</v>
      </c>
      <c r="DH14">
        <v>850</v>
      </c>
      <c r="DN14">
        <v>1</v>
      </c>
      <c r="DV14">
        <v>0</v>
      </c>
      <c r="DW14">
        <v>0</v>
      </c>
      <c r="DX14">
        <v>0</v>
      </c>
      <c r="EA14" t="s">
        <v>1163</v>
      </c>
      <c r="EC14" t="s">
        <v>1139</v>
      </c>
      <c r="EE14" t="s">
        <v>1105</v>
      </c>
      <c r="EF14">
        <v>372.96</v>
      </c>
      <c r="EI14">
        <v>0</v>
      </c>
      <c r="EJ14">
        <v>0</v>
      </c>
      <c r="EK14" t="s">
        <v>1164</v>
      </c>
      <c r="EQ14">
        <v>0</v>
      </c>
      <c r="ER14" t="s">
        <v>1133</v>
      </c>
      <c r="ET14">
        <v>0</v>
      </c>
      <c r="EU14">
        <v>53.27</v>
      </c>
      <c r="EV14">
        <v>0</v>
      </c>
      <c r="EW14">
        <v>0</v>
      </c>
      <c r="EX14">
        <v>0</v>
      </c>
      <c r="EY14">
        <v>0</v>
      </c>
      <c r="FA14" t="s">
        <v>1146</v>
      </c>
      <c r="FD14" t="s">
        <v>183</v>
      </c>
      <c r="FE14">
        <v>0</v>
      </c>
      <c r="FF14">
        <v>0</v>
      </c>
      <c r="FG14">
        <v>0</v>
      </c>
      <c r="FI14">
        <v>0</v>
      </c>
      <c r="FM14">
        <v>0</v>
      </c>
      <c r="FO14">
        <v>0</v>
      </c>
      <c r="FP14" t="s">
        <v>1304</v>
      </c>
      <c r="FQ14">
        <v>0</v>
      </c>
      <c r="FS14">
        <v>0</v>
      </c>
      <c r="FU14" s="38">
        <v>46387</v>
      </c>
      <c r="FX14" t="s">
        <v>1181</v>
      </c>
      <c r="FY14">
        <v>0</v>
      </c>
      <c r="FZ14">
        <v>0</v>
      </c>
    </row>
    <row r="15" spans="1:184" x14ac:dyDescent="0.25">
      <c r="A15" t="s">
        <v>167</v>
      </c>
      <c r="B15" t="s">
        <v>168</v>
      </c>
      <c r="C15" t="s">
        <v>179</v>
      </c>
      <c r="D15" t="s">
        <v>170</v>
      </c>
      <c r="E15" t="s">
        <v>1097</v>
      </c>
      <c r="F15" t="s">
        <v>499</v>
      </c>
      <c r="I15">
        <v>0</v>
      </c>
      <c r="J15">
        <v>0</v>
      </c>
      <c r="M15">
        <v>0</v>
      </c>
      <c r="V15" t="s">
        <v>1098</v>
      </c>
      <c r="Y15">
        <v>0</v>
      </c>
      <c r="AD15">
        <v>0</v>
      </c>
      <c r="AE15">
        <v>0</v>
      </c>
      <c r="AI15" t="s">
        <v>324</v>
      </c>
      <c r="AJ15" t="s">
        <v>179</v>
      </c>
      <c r="AK15" t="s">
        <v>172</v>
      </c>
      <c r="AL15" s="38">
        <v>46183</v>
      </c>
      <c r="AM15">
        <v>-18.899999999999999</v>
      </c>
      <c r="AN15">
        <v>-315</v>
      </c>
      <c r="AO15" t="s">
        <v>173</v>
      </c>
      <c r="AP15" t="s">
        <v>174</v>
      </c>
      <c r="AQ15" t="s">
        <v>175</v>
      </c>
      <c r="AR15" t="s">
        <v>1182</v>
      </c>
      <c r="AU15">
        <v>340</v>
      </c>
      <c r="AV15" t="s">
        <v>1099</v>
      </c>
      <c r="AW15" t="s">
        <v>219</v>
      </c>
      <c r="AX15" t="s">
        <v>1100</v>
      </c>
      <c r="BA15">
        <v>0</v>
      </c>
      <c r="BL15">
        <v>0</v>
      </c>
      <c r="CM15">
        <v>0</v>
      </c>
      <c r="CN15" t="s">
        <v>1113</v>
      </c>
      <c r="CR15">
        <v>0</v>
      </c>
      <c r="CS15">
        <v>0</v>
      </c>
      <c r="CT15">
        <v>95</v>
      </c>
      <c r="CU15">
        <v>95</v>
      </c>
      <c r="CV15" t="s">
        <v>1101</v>
      </c>
      <c r="CX15" t="s">
        <v>283</v>
      </c>
      <c r="CZ15" t="s">
        <v>428</v>
      </c>
      <c r="DC15">
        <v>60</v>
      </c>
      <c r="DD15" t="s">
        <v>186</v>
      </c>
      <c r="DE15" t="s">
        <v>1102</v>
      </c>
      <c r="DF15" t="s">
        <v>447</v>
      </c>
      <c r="DG15">
        <v>100</v>
      </c>
      <c r="DH15">
        <v>850</v>
      </c>
      <c r="DL15" t="s">
        <v>207</v>
      </c>
      <c r="DN15">
        <v>4</v>
      </c>
      <c r="DV15">
        <v>0</v>
      </c>
      <c r="DW15">
        <v>0</v>
      </c>
      <c r="DX15">
        <v>0</v>
      </c>
      <c r="EA15" t="s">
        <v>1183</v>
      </c>
      <c r="EC15" t="s">
        <v>1184</v>
      </c>
      <c r="EE15" t="s">
        <v>1105</v>
      </c>
      <c r="EF15">
        <v>0</v>
      </c>
      <c r="EI15">
        <v>5010</v>
      </c>
      <c r="EJ15">
        <v>1</v>
      </c>
      <c r="EK15" t="s">
        <v>1106</v>
      </c>
      <c r="EQ15">
        <v>0</v>
      </c>
      <c r="ER15" t="s">
        <v>1133</v>
      </c>
      <c r="ET15">
        <v>0</v>
      </c>
      <c r="EU15">
        <v>340</v>
      </c>
      <c r="EV15">
        <v>0</v>
      </c>
      <c r="EW15">
        <v>0</v>
      </c>
      <c r="EX15">
        <v>0</v>
      </c>
      <c r="EY15">
        <v>0</v>
      </c>
      <c r="FE15">
        <v>0</v>
      </c>
      <c r="FF15">
        <v>0</v>
      </c>
      <c r="FG15">
        <v>0</v>
      </c>
      <c r="FI15">
        <v>0</v>
      </c>
      <c r="FM15">
        <v>0</v>
      </c>
      <c r="FO15">
        <v>0</v>
      </c>
      <c r="FQ15">
        <v>0</v>
      </c>
      <c r="FS15">
        <v>0</v>
      </c>
      <c r="FU15" s="38">
        <v>46203</v>
      </c>
      <c r="FY15">
        <v>0</v>
      </c>
      <c r="FZ15">
        <v>0</v>
      </c>
    </row>
    <row r="16" spans="1:184" x14ac:dyDescent="0.25">
      <c r="A16" t="s">
        <v>167</v>
      </c>
      <c r="B16" t="s">
        <v>168</v>
      </c>
      <c r="C16" t="s">
        <v>179</v>
      </c>
      <c r="D16" t="s">
        <v>170</v>
      </c>
      <c r="E16" t="s">
        <v>1097</v>
      </c>
      <c r="F16" t="s">
        <v>499</v>
      </c>
      <c r="I16">
        <v>0</v>
      </c>
      <c r="J16">
        <v>0</v>
      </c>
      <c r="M16">
        <v>0</v>
      </c>
      <c r="V16" t="s">
        <v>1098</v>
      </c>
      <c r="Y16">
        <v>0</v>
      </c>
      <c r="AD16">
        <v>0</v>
      </c>
      <c r="AE16">
        <v>0</v>
      </c>
      <c r="AI16" t="s">
        <v>327</v>
      </c>
      <c r="AJ16" t="s">
        <v>179</v>
      </c>
      <c r="AK16" t="s">
        <v>285</v>
      </c>
      <c r="AL16" s="38">
        <v>46188</v>
      </c>
      <c r="AM16">
        <v>-19.2</v>
      </c>
      <c r="AN16">
        <v>-320</v>
      </c>
      <c r="AO16" t="s">
        <v>286</v>
      </c>
      <c r="AP16" t="s">
        <v>328</v>
      </c>
      <c r="AQ16" t="s">
        <v>329</v>
      </c>
      <c r="AU16">
        <v>0</v>
      </c>
      <c r="AV16" t="s">
        <v>1099</v>
      </c>
      <c r="AW16" t="s">
        <v>278</v>
      </c>
      <c r="AX16" t="s">
        <v>1179</v>
      </c>
      <c r="BA16">
        <v>0</v>
      </c>
      <c r="BL16">
        <v>0</v>
      </c>
      <c r="CM16">
        <v>0</v>
      </c>
      <c r="CN16" t="s">
        <v>1161</v>
      </c>
      <c r="CR16">
        <v>0</v>
      </c>
      <c r="CS16">
        <v>0</v>
      </c>
      <c r="CT16">
        <v>127</v>
      </c>
      <c r="CU16">
        <v>92.183199999999999</v>
      </c>
      <c r="CV16" t="s">
        <v>1101</v>
      </c>
      <c r="CX16" t="s">
        <v>330</v>
      </c>
      <c r="CZ16" t="s">
        <v>428</v>
      </c>
      <c r="DC16">
        <v>60</v>
      </c>
      <c r="DD16" t="s">
        <v>232</v>
      </c>
      <c r="DE16" t="s">
        <v>1102</v>
      </c>
      <c r="DF16" t="s">
        <v>447</v>
      </c>
      <c r="DG16">
        <v>100</v>
      </c>
      <c r="DH16">
        <v>850</v>
      </c>
      <c r="DJ16" t="s">
        <v>206</v>
      </c>
      <c r="DN16">
        <v>1</v>
      </c>
      <c r="DV16">
        <v>0</v>
      </c>
      <c r="DW16">
        <v>0</v>
      </c>
      <c r="DX16">
        <v>0</v>
      </c>
      <c r="EA16" t="s">
        <v>1163</v>
      </c>
      <c r="EC16" t="s">
        <v>1139</v>
      </c>
      <c r="EE16" t="s">
        <v>1105</v>
      </c>
      <c r="EF16">
        <v>372.96</v>
      </c>
      <c r="EI16">
        <v>0</v>
      </c>
      <c r="EJ16">
        <v>0</v>
      </c>
      <c r="EK16" t="s">
        <v>1164</v>
      </c>
      <c r="EQ16">
        <v>0</v>
      </c>
      <c r="ER16" t="s">
        <v>1133</v>
      </c>
      <c r="ET16">
        <v>0</v>
      </c>
      <c r="EU16">
        <v>174.82</v>
      </c>
      <c r="EV16">
        <v>0</v>
      </c>
      <c r="EW16">
        <v>0</v>
      </c>
      <c r="EX16">
        <v>0</v>
      </c>
      <c r="EY16">
        <v>0</v>
      </c>
      <c r="FE16">
        <v>0</v>
      </c>
      <c r="FF16">
        <v>0</v>
      </c>
      <c r="FG16">
        <v>0</v>
      </c>
      <c r="FI16">
        <v>0</v>
      </c>
      <c r="FM16">
        <v>0</v>
      </c>
      <c r="FO16">
        <v>0</v>
      </c>
      <c r="FP16" t="s">
        <v>1140</v>
      </c>
      <c r="FQ16">
        <v>32</v>
      </c>
      <c r="FS16">
        <v>0</v>
      </c>
      <c r="FU16" s="38">
        <v>46265</v>
      </c>
      <c r="FY16">
        <v>0</v>
      </c>
      <c r="FZ16">
        <v>0</v>
      </c>
    </row>
    <row r="17" spans="1:182" x14ac:dyDescent="0.25">
      <c r="A17" t="s">
        <v>167</v>
      </c>
      <c r="B17" t="s">
        <v>168</v>
      </c>
      <c r="C17" t="s">
        <v>179</v>
      </c>
      <c r="D17" t="s">
        <v>170</v>
      </c>
      <c r="E17" t="s">
        <v>1097</v>
      </c>
      <c r="F17" t="s">
        <v>499</v>
      </c>
      <c r="I17">
        <v>0</v>
      </c>
      <c r="J17">
        <v>0</v>
      </c>
      <c r="M17">
        <v>0</v>
      </c>
      <c r="V17" t="s">
        <v>1098</v>
      </c>
      <c r="Y17">
        <v>0</v>
      </c>
      <c r="AD17">
        <v>0</v>
      </c>
      <c r="AE17">
        <v>0</v>
      </c>
      <c r="AI17" t="s">
        <v>497</v>
      </c>
      <c r="AJ17" t="s">
        <v>179</v>
      </c>
      <c r="AK17" t="s">
        <v>305</v>
      </c>
      <c r="AL17" s="38">
        <v>45590</v>
      </c>
      <c r="AM17">
        <v>-1.2</v>
      </c>
      <c r="AN17">
        <v>-1200</v>
      </c>
      <c r="AO17" t="s">
        <v>1284</v>
      </c>
      <c r="AP17" t="s">
        <v>238</v>
      </c>
      <c r="AQ17" t="s">
        <v>1285</v>
      </c>
      <c r="AR17" t="s">
        <v>1286</v>
      </c>
      <c r="AU17">
        <v>285.64</v>
      </c>
      <c r="AV17" t="s">
        <v>1099</v>
      </c>
      <c r="AW17" t="s">
        <v>1287</v>
      </c>
      <c r="AX17" t="s">
        <v>1100</v>
      </c>
      <c r="BA17">
        <v>0</v>
      </c>
      <c r="BL17">
        <v>0</v>
      </c>
      <c r="CM17">
        <v>0</v>
      </c>
      <c r="CN17" t="s">
        <v>1113</v>
      </c>
      <c r="CR17">
        <v>0</v>
      </c>
      <c r="CS17">
        <v>0</v>
      </c>
      <c r="CT17">
        <v>34.29</v>
      </c>
      <c r="CU17">
        <v>21.293500000000002</v>
      </c>
      <c r="CV17" t="s">
        <v>1101</v>
      </c>
      <c r="CX17" t="s">
        <v>1288</v>
      </c>
      <c r="CZ17" t="s">
        <v>428</v>
      </c>
      <c r="DC17" t="s">
        <v>1237</v>
      </c>
      <c r="DD17" t="s">
        <v>1289</v>
      </c>
      <c r="DE17" t="s">
        <v>1102</v>
      </c>
      <c r="DF17" t="s">
        <v>437</v>
      </c>
      <c r="DG17">
        <v>100</v>
      </c>
      <c r="DH17">
        <v>850</v>
      </c>
      <c r="DL17" t="s">
        <v>512</v>
      </c>
      <c r="DN17">
        <v>1</v>
      </c>
      <c r="DP17" t="s">
        <v>1290</v>
      </c>
      <c r="DV17">
        <v>0</v>
      </c>
      <c r="DW17">
        <v>0</v>
      </c>
      <c r="DX17">
        <v>0</v>
      </c>
      <c r="EA17" t="s">
        <v>1291</v>
      </c>
      <c r="EC17" t="s">
        <v>1176</v>
      </c>
      <c r="EE17" t="s">
        <v>1134</v>
      </c>
      <c r="EF17">
        <v>0</v>
      </c>
      <c r="EI17">
        <v>6800</v>
      </c>
      <c r="EJ17">
        <v>2</v>
      </c>
      <c r="EK17" t="s">
        <v>1292</v>
      </c>
      <c r="EQ17">
        <v>0</v>
      </c>
      <c r="ET17">
        <v>0</v>
      </c>
      <c r="EU17">
        <v>43</v>
      </c>
      <c r="EV17">
        <v>0</v>
      </c>
      <c r="EW17">
        <v>-24</v>
      </c>
      <c r="EX17">
        <v>0</v>
      </c>
      <c r="EY17">
        <v>0</v>
      </c>
      <c r="FE17">
        <v>0</v>
      </c>
      <c r="FF17">
        <v>0</v>
      </c>
      <c r="FG17">
        <v>0</v>
      </c>
      <c r="FI17">
        <v>0</v>
      </c>
      <c r="FM17">
        <v>0</v>
      </c>
      <c r="FO17">
        <v>0</v>
      </c>
      <c r="FQ17">
        <v>0</v>
      </c>
      <c r="FS17">
        <v>0</v>
      </c>
      <c r="FU17" s="38">
        <v>45747</v>
      </c>
      <c r="FY17">
        <v>0</v>
      </c>
      <c r="FZ17">
        <v>0</v>
      </c>
    </row>
    <row r="18" spans="1:182" x14ac:dyDescent="0.25">
      <c r="A18" t="s">
        <v>167</v>
      </c>
      <c r="B18" t="s">
        <v>168</v>
      </c>
      <c r="C18" t="s">
        <v>179</v>
      </c>
      <c r="D18" t="s">
        <v>170</v>
      </c>
      <c r="E18" t="s">
        <v>1097</v>
      </c>
      <c r="F18" t="s">
        <v>499</v>
      </c>
      <c r="I18">
        <v>0</v>
      </c>
      <c r="J18">
        <v>0</v>
      </c>
      <c r="M18">
        <v>0</v>
      </c>
      <c r="V18" t="s">
        <v>1098</v>
      </c>
      <c r="Y18">
        <v>0</v>
      </c>
      <c r="AD18">
        <v>150968</v>
      </c>
      <c r="AE18">
        <v>170065</v>
      </c>
      <c r="AF18" s="38">
        <v>46175</v>
      </c>
      <c r="AG18" s="38">
        <v>46185</v>
      </c>
      <c r="AH18" t="s">
        <v>1124</v>
      </c>
      <c r="AI18" t="s">
        <v>322</v>
      </c>
      <c r="AJ18" t="s">
        <v>179</v>
      </c>
      <c r="AK18" t="s">
        <v>188</v>
      </c>
      <c r="AL18" s="38">
        <v>45971</v>
      </c>
      <c r="AM18">
        <v>-172.8</v>
      </c>
      <c r="AN18">
        <v>-2880</v>
      </c>
      <c r="AO18" t="s">
        <v>173</v>
      </c>
      <c r="AP18" t="s">
        <v>174</v>
      </c>
      <c r="AQ18" t="s">
        <v>189</v>
      </c>
      <c r="AR18">
        <v>2000052536</v>
      </c>
      <c r="AU18">
        <v>0</v>
      </c>
      <c r="AV18" t="s">
        <v>1099</v>
      </c>
      <c r="AW18" t="s">
        <v>231</v>
      </c>
      <c r="AX18" t="s">
        <v>1100</v>
      </c>
      <c r="AY18" t="s">
        <v>471</v>
      </c>
      <c r="BA18">
        <v>0</v>
      </c>
      <c r="BL18">
        <v>0</v>
      </c>
      <c r="CM18">
        <v>0</v>
      </c>
      <c r="CN18" t="s">
        <v>188</v>
      </c>
      <c r="CR18">
        <v>0</v>
      </c>
      <c r="CS18">
        <v>0</v>
      </c>
      <c r="CT18">
        <v>175</v>
      </c>
      <c r="CU18">
        <v>161.00290000000001</v>
      </c>
      <c r="CV18" t="s">
        <v>1185</v>
      </c>
      <c r="CX18" t="s">
        <v>194</v>
      </c>
      <c r="CZ18" t="s">
        <v>428</v>
      </c>
      <c r="DC18">
        <v>60</v>
      </c>
      <c r="DD18" t="s">
        <v>232</v>
      </c>
      <c r="DE18" t="s">
        <v>1102</v>
      </c>
      <c r="DF18" t="s">
        <v>447</v>
      </c>
      <c r="DG18">
        <v>100</v>
      </c>
      <c r="DH18">
        <v>850</v>
      </c>
      <c r="DJ18" t="s">
        <v>206</v>
      </c>
      <c r="DL18" t="s">
        <v>323</v>
      </c>
      <c r="DN18">
        <v>1</v>
      </c>
      <c r="DV18">
        <v>0</v>
      </c>
      <c r="DW18">
        <v>0</v>
      </c>
      <c r="DX18">
        <v>0</v>
      </c>
      <c r="EA18" t="s">
        <v>1129</v>
      </c>
      <c r="EC18" t="s">
        <v>1130</v>
      </c>
      <c r="EE18" t="s">
        <v>1134</v>
      </c>
      <c r="EF18">
        <v>0</v>
      </c>
      <c r="EI18">
        <v>0</v>
      </c>
      <c r="EJ18">
        <v>0</v>
      </c>
      <c r="EK18" t="s">
        <v>1164</v>
      </c>
      <c r="EQ18">
        <v>0</v>
      </c>
      <c r="ER18" t="s">
        <v>1133</v>
      </c>
      <c r="ET18">
        <v>0</v>
      </c>
      <c r="EU18">
        <v>157</v>
      </c>
      <c r="EV18">
        <v>0</v>
      </c>
      <c r="EW18">
        <v>0</v>
      </c>
      <c r="EX18">
        <v>0</v>
      </c>
      <c r="EY18">
        <v>0</v>
      </c>
      <c r="FE18">
        <v>0</v>
      </c>
      <c r="FF18">
        <v>0</v>
      </c>
      <c r="FG18">
        <v>0</v>
      </c>
      <c r="FI18">
        <v>0</v>
      </c>
      <c r="FM18">
        <v>0</v>
      </c>
      <c r="FO18">
        <v>0</v>
      </c>
      <c r="FQ18">
        <v>0</v>
      </c>
      <c r="FS18">
        <v>0</v>
      </c>
      <c r="FU18" s="38">
        <v>46234</v>
      </c>
      <c r="FY18">
        <v>0</v>
      </c>
      <c r="FZ18">
        <v>0</v>
      </c>
    </row>
    <row r="19" spans="1:182" x14ac:dyDescent="0.25">
      <c r="A19" t="s">
        <v>167</v>
      </c>
      <c r="B19" t="s">
        <v>168</v>
      </c>
      <c r="C19" t="s">
        <v>179</v>
      </c>
      <c r="D19" t="s">
        <v>170</v>
      </c>
      <c r="E19" t="s">
        <v>1097</v>
      </c>
      <c r="F19" t="s">
        <v>499</v>
      </c>
      <c r="I19">
        <v>0</v>
      </c>
      <c r="J19">
        <v>0</v>
      </c>
      <c r="M19">
        <v>0</v>
      </c>
      <c r="V19" t="s">
        <v>1098</v>
      </c>
      <c r="Y19">
        <v>0</v>
      </c>
      <c r="AD19">
        <v>0</v>
      </c>
      <c r="AE19">
        <v>0</v>
      </c>
      <c r="AI19" t="s">
        <v>192</v>
      </c>
      <c r="AJ19" t="s">
        <v>179</v>
      </c>
      <c r="AK19" t="s">
        <v>188</v>
      </c>
      <c r="AL19" s="38">
        <v>45971</v>
      </c>
      <c r="AM19">
        <v>-134.4</v>
      </c>
      <c r="AN19">
        <v>-2240</v>
      </c>
      <c r="AO19" t="s">
        <v>173</v>
      </c>
      <c r="AP19" t="s">
        <v>174</v>
      </c>
      <c r="AQ19" t="s">
        <v>189</v>
      </c>
      <c r="AR19">
        <v>2000052537</v>
      </c>
      <c r="AU19">
        <v>0</v>
      </c>
      <c r="AV19" t="s">
        <v>1099</v>
      </c>
      <c r="AW19" t="s">
        <v>231</v>
      </c>
      <c r="AX19" t="s">
        <v>1100</v>
      </c>
      <c r="AY19" t="s">
        <v>465</v>
      </c>
      <c r="BA19">
        <v>0</v>
      </c>
      <c r="BL19">
        <v>0</v>
      </c>
      <c r="CM19">
        <v>0</v>
      </c>
      <c r="CN19" t="s">
        <v>188</v>
      </c>
      <c r="CR19">
        <v>0</v>
      </c>
      <c r="CS19">
        <v>0</v>
      </c>
      <c r="CT19">
        <v>175</v>
      </c>
      <c r="CU19">
        <v>161.00290000000001</v>
      </c>
      <c r="CV19" t="s">
        <v>1185</v>
      </c>
      <c r="CX19" t="s">
        <v>190</v>
      </c>
      <c r="CZ19" t="s">
        <v>428</v>
      </c>
      <c r="DC19">
        <v>60</v>
      </c>
      <c r="DD19" t="s">
        <v>232</v>
      </c>
      <c r="DE19" t="s">
        <v>1102</v>
      </c>
      <c r="DF19" t="s">
        <v>447</v>
      </c>
      <c r="DG19">
        <v>100</v>
      </c>
      <c r="DH19">
        <v>850</v>
      </c>
      <c r="DJ19" t="s">
        <v>206</v>
      </c>
      <c r="DL19" t="s">
        <v>323</v>
      </c>
      <c r="DN19">
        <v>1</v>
      </c>
      <c r="DV19">
        <v>0</v>
      </c>
      <c r="DW19">
        <v>0</v>
      </c>
      <c r="DX19">
        <v>0</v>
      </c>
      <c r="EA19" t="s">
        <v>1129</v>
      </c>
      <c r="EC19" t="s">
        <v>1130</v>
      </c>
      <c r="EE19" t="s">
        <v>1134</v>
      </c>
      <c r="EF19">
        <v>0</v>
      </c>
      <c r="EI19">
        <v>0</v>
      </c>
      <c r="EJ19">
        <v>0</v>
      </c>
      <c r="EK19" t="s">
        <v>1164</v>
      </c>
      <c r="EQ19">
        <v>0</v>
      </c>
      <c r="ER19" t="s">
        <v>1133</v>
      </c>
      <c r="ET19">
        <v>0</v>
      </c>
      <c r="EU19">
        <v>157</v>
      </c>
      <c r="EV19">
        <v>0</v>
      </c>
      <c r="EW19">
        <v>0</v>
      </c>
      <c r="EX19">
        <v>0</v>
      </c>
      <c r="EY19">
        <v>0</v>
      </c>
      <c r="FE19">
        <v>0</v>
      </c>
      <c r="FF19">
        <v>0</v>
      </c>
      <c r="FG19">
        <v>0</v>
      </c>
      <c r="FI19">
        <v>0</v>
      </c>
      <c r="FM19">
        <v>0</v>
      </c>
      <c r="FO19">
        <v>0</v>
      </c>
      <c r="FQ19">
        <v>0</v>
      </c>
      <c r="FS19">
        <v>0</v>
      </c>
      <c r="FU19" s="38">
        <v>46234</v>
      </c>
      <c r="FY19">
        <v>0</v>
      </c>
      <c r="FZ19">
        <v>0</v>
      </c>
    </row>
    <row r="20" spans="1:182" x14ac:dyDescent="0.25">
      <c r="A20" t="s">
        <v>167</v>
      </c>
      <c r="B20" t="s">
        <v>168</v>
      </c>
      <c r="C20" t="s">
        <v>179</v>
      </c>
      <c r="D20" t="s">
        <v>170</v>
      </c>
      <c r="E20" t="s">
        <v>1097</v>
      </c>
      <c r="F20" t="s">
        <v>499</v>
      </c>
      <c r="I20">
        <v>0</v>
      </c>
      <c r="J20">
        <v>0</v>
      </c>
      <c r="M20">
        <v>0</v>
      </c>
      <c r="V20" t="s">
        <v>1098</v>
      </c>
      <c r="Y20">
        <v>0</v>
      </c>
      <c r="AD20">
        <v>151077</v>
      </c>
      <c r="AE20">
        <v>170176</v>
      </c>
      <c r="AF20" s="38">
        <v>46181</v>
      </c>
      <c r="AI20" t="s">
        <v>230</v>
      </c>
      <c r="AJ20" t="s">
        <v>179</v>
      </c>
      <c r="AK20" t="s">
        <v>227</v>
      </c>
      <c r="AL20" s="38">
        <v>46150</v>
      </c>
      <c r="AM20">
        <v>-19.2</v>
      </c>
      <c r="AN20">
        <v>-320</v>
      </c>
      <c r="AO20" t="s">
        <v>173</v>
      </c>
      <c r="AP20" t="s">
        <v>174</v>
      </c>
      <c r="AQ20" t="s">
        <v>205</v>
      </c>
      <c r="AR20" t="s">
        <v>1150</v>
      </c>
      <c r="AU20">
        <v>0</v>
      </c>
      <c r="AV20" t="s">
        <v>1099</v>
      </c>
      <c r="AW20" t="s">
        <v>231</v>
      </c>
      <c r="AX20" t="s">
        <v>1100</v>
      </c>
      <c r="BA20">
        <v>0</v>
      </c>
      <c r="BL20">
        <v>0</v>
      </c>
      <c r="CM20">
        <v>0</v>
      </c>
      <c r="CN20" t="s">
        <v>1152</v>
      </c>
      <c r="CR20">
        <v>0</v>
      </c>
      <c r="CS20">
        <v>0</v>
      </c>
      <c r="CT20">
        <v>70</v>
      </c>
      <c r="CU20">
        <v>65.200900000000004</v>
      </c>
      <c r="CV20" t="s">
        <v>1185</v>
      </c>
      <c r="CX20" t="s">
        <v>48</v>
      </c>
      <c r="CZ20" t="s">
        <v>428</v>
      </c>
      <c r="DC20">
        <v>60</v>
      </c>
      <c r="DD20" t="s">
        <v>232</v>
      </c>
      <c r="DE20" t="s">
        <v>1102</v>
      </c>
      <c r="DF20" t="s">
        <v>447</v>
      </c>
      <c r="DG20">
        <v>100</v>
      </c>
      <c r="DH20">
        <v>850</v>
      </c>
      <c r="DJ20" t="s">
        <v>228</v>
      </c>
      <c r="DN20">
        <v>1</v>
      </c>
      <c r="DV20">
        <v>0</v>
      </c>
      <c r="DW20">
        <v>0</v>
      </c>
      <c r="DX20">
        <v>0</v>
      </c>
      <c r="EA20" t="s">
        <v>1153</v>
      </c>
      <c r="EC20" t="s">
        <v>1104</v>
      </c>
      <c r="EE20" t="s">
        <v>1105</v>
      </c>
      <c r="EF20">
        <v>0</v>
      </c>
      <c r="EG20" t="s">
        <v>1154</v>
      </c>
      <c r="EI20">
        <v>0</v>
      </c>
      <c r="EJ20">
        <v>0</v>
      </c>
      <c r="EK20" t="s">
        <v>1164</v>
      </c>
      <c r="EQ20">
        <v>0</v>
      </c>
      <c r="ER20" t="s">
        <v>1133</v>
      </c>
      <c r="ET20">
        <v>0</v>
      </c>
      <c r="EU20">
        <v>49.8</v>
      </c>
      <c r="EV20">
        <v>0</v>
      </c>
      <c r="EW20">
        <v>0</v>
      </c>
      <c r="EX20">
        <v>0</v>
      </c>
      <c r="EY20">
        <v>0</v>
      </c>
      <c r="FE20">
        <v>0</v>
      </c>
      <c r="FF20">
        <v>0</v>
      </c>
      <c r="FG20">
        <v>0</v>
      </c>
      <c r="FI20">
        <v>0</v>
      </c>
      <c r="FM20">
        <v>0</v>
      </c>
      <c r="FO20">
        <v>0</v>
      </c>
      <c r="FQ20">
        <v>0</v>
      </c>
      <c r="FS20">
        <v>0</v>
      </c>
      <c r="FU20" s="38">
        <v>46234</v>
      </c>
      <c r="FY20">
        <v>0</v>
      </c>
      <c r="FZ20">
        <v>0</v>
      </c>
    </row>
    <row r="21" spans="1:182" x14ac:dyDescent="0.25">
      <c r="A21" t="s">
        <v>167</v>
      </c>
      <c r="B21" t="s">
        <v>168</v>
      </c>
      <c r="C21" t="s">
        <v>179</v>
      </c>
      <c r="D21" t="s">
        <v>170</v>
      </c>
      <c r="E21" t="s">
        <v>1097</v>
      </c>
      <c r="F21" t="s">
        <v>499</v>
      </c>
      <c r="I21">
        <v>0</v>
      </c>
      <c r="J21">
        <v>0</v>
      </c>
      <c r="M21">
        <v>0</v>
      </c>
      <c r="V21" t="s">
        <v>1098</v>
      </c>
      <c r="Y21">
        <v>0</v>
      </c>
      <c r="AD21">
        <v>0</v>
      </c>
      <c r="AE21">
        <v>0</v>
      </c>
      <c r="AI21" t="s">
        <v>193</v>
      </c>
      <c r="AJ21" t="s">
        <v>179</v>
      </c>
      <c r="AK21" t="s">
        <v>188</v>
      </c>
      <c r="AL21" s="38">
        <v>45971</v>
      </c>
      <c r="AM21">
        <v>-134.4</v>
      </c>
      <c r="AN21">
        <v>-2240</v>
      </c>
      <c r="AO21" t="s">
        <v>173</v>
      </c>
      <c r="AP21" t="s">
        <v>174</v>
      </c>
      <c r="AQ21" t="s">
        <v>189</v>
      </c>
      <c r="AR21">
        <v>2000052536</v>
      </c>
      <c r="AU21">
        <v>0</v>
      </c>
      <c r="AV21" t="s">
        <v>1099</v>
      </c>
      <c r="AW21" t="s">
        <v>278</v>
      </c>
      <c r="AX21" t="s">
        <v>1100</v>
      </c>
      <c r="AY21" t="s">
        <v>471</v>
      </c>
      <c r="BA21">
        <v>0</v>
      </c>
      <c r="BL21">
        <v>0</v>
      </c>
      <c r="CM21">
        <v>0</v>
      </c>
      <c r="CN21" t="s">
        <v>188</v>
      </c>
      <c r="CR21">
        <v>0</v>
      </c>
      <c r="CS21">
        <v>0</v>
      </c>
      <c r="CT21">
        <v>175</v>
      </c>
      <c r="CU21">
        <v>161.00290000000001</v>
      </c>
      <c r="CV21" t="s">
        <v>1186</v>
      </c>
      <c r="CX21" t="s">
        <v>194</v>
      </c>
      <c r="CZ21" t="s">
        <v>428</v>
      </c>
      <c r="DC21">
        <v>60</v>
      </c>
      <c r="DD21" t="s">
        <v>232</v>
      </c>
      <c r="DE21" t="s">
        <v>1102</v>
      </c>
      <c r="DF21" t="s">
        <v>447</v>
      </c>
      <c r="DG21">
        <v>100</v>
      </c>
      <c r="DH21">
        <v>850</v>
      </c>
      <c r="DJ21" t="s">
        <v>206</v>
      </c>
      <c r="DL21" t="s">
        <v>323</v>
      </c>
      <c r="DN21">
        <v>1</v>
      </c>
      <c r="DV21">
        <v>0</v>
      </c>
      <c r="DW21">
        <v>0</v>
      </c>
      <c r="DX21">
        <v>0</v>
      </c>
      <c r="EA21" t="s">
        <v>1129</v>
      </c>
      <c r="EC21" t="s">
        <v>1130</v>
      </c>
      <c r="EE21" t="s">
        <v>1134</v>
      </c>
      <c r="EF21">
        <v>0</v>
      </c>
      <c r="EI21">
        <v>0</v>
      </c>
      <c r="EJ21">
        <v>0</v>
      </c>
      <c r="EK21" t="s">
        <v>1164</v>
      </c>
      <c r="EQ21">
        <v>0</v>
      </c>
      <c r="ER21" t="s">
        <v>1133</v>
      </c>
      <c r="ET21">
        <v>0</v>
      </c>
      <c r="EU21">
        <v>157</v>
      </c>
      <c r="EV21">
        <v>0</v>
      </c>
      <c r="EW21">
        <v>0</v>
      </c>
      <c r="EX21">
        <v>0</v>
      </c>
      <c r="EY21">
        <v>0</v>
      </c>
      <c r="FE21">
        <v>0</v>
      </c>
      <c r="FF21">
        <v>0</v>
      </c>
      <c r="FG21">
        <v>0</v>
      </c>
      <c r="FI21">
        <v>0</v>
      </c>
      <c r="FM21">
        <v>0</v>
      </c>
      <c r="FO21">
        <v>0</v>
      </c>
      <c r="FQ21">
        <v>0</v>
      </c>
      <c r="FS21">
        <v>0</v>
      </c>
      <c r="FU21" s="38">
        <v>46265</v>
      </c>
      <c r="FY21">
        <v>0</v>
      </c>
      <c r="FZ21">
        <v>0</v>
      </c>
    </row>
    <row r="22" spans="1:182" x14ac:dyDescent="0.25">
      <c r="A22" t="s">
        <v>167</v>
      </c>
      <c r="B22" t="s">
        <v>168</v>
      </c>
      <c r="C22" t="s">
        <v>179</v>
      </c>
      <c r="D22" t="s">
        <v>170</v>
      </c>
      <c r="E22" t="s">
        <v>1097</v>
      </c>
      <c r="F22" t="s">
        <v>499</v>
      </c>
      <c r="I22">
        <v>0</v>
      </c>
      <c r="J22">
        <v>0</v>
      </c>
      <c r="M22">
        <v>0</v>
      </c>
      <c r="V22" t="s">
        <v>1098</v>
      </c>
      <c r="Y22">
        <v>0</v>
      </c>
      <c r="AD22">
        <v>0</v>
      </c>
      <c r="AE22">
        <v>0</v>
      </c>
      <c r="AI22" t="s">
        <v>201</v>
      </c>
      <c r="AJ22" t="s">
        <v>179</v>
      </c>
      <c r="AK22" t="s">
        <v>188</v>
      </c>
      <c r="AL22" s="38">
        <v>45971</v>
      </c>
      <c r="AM22">
        <v>-153.6</v>
      </c>
      <c r="AN22">
        <v>-2560</v>
      </c>
      <c r="AO22" t="s">
        <v>173</v>
      </c>
      <c r="AP22" t="s">
        <v>174</v>
      </c>
      <c r="AQ22" t="s">
        <v>189</v>
      </c>
      <c r="AR22">
        <v>2000052537</v>
      </c>
      <c r="AU22">
        <v>0</v>
      </c>
      <c r="AV22" t="s">
        <v>1099</v>
      </c>
      <c r="AW22" t="s">
        <v>278</v>
      </c>
      <c r="AX22" t="s">
        <v>1100</v>
      </c>
      <c r="AY22" t="s">
        <v>465</v>
      </c>
      <c r="BA22">
        <v>0</v>
      </c>
      <c r="BL22">
        <v>0</v>
      </c>
      <c r="CM22">
        <v>0</v>
      </c>
      <c r="CN22" t="s">
        <v>188</v>
      </c>
      <c r="CR22">
        <v>0</v>
      </c>
      <c r="CS22">
        <v>0</v>
      </c>
      <c r="CT22">
        <v>175</v>
      </c>
      <c r="CU22">
        <v>161.00290000000001</v>
      </c>
      <c r="CV22" t="s">
        <v>1186</v>
      </c>
      <c r="CX22" t="s">
        <v>190</v>
      </c>
      <c r="CZ22" t="s">
        <v>428</v>
      </c>
      <c r="DC22">
        <v>60</v>
      </c>
      <c r="DD22" t="s">
        <v>232</v>
      </c>
      <c r="DE22" t="s">
        <v>1102</v>
      </c>
      <c r="DF22" t="s">
        <v>447</v>
      </c>
      <c r="DG22">
        <v>100</v>
      </c>
      <c r="DH22">
        <v>850</v>
      </c>
      <c r="DJ22" t="s">
        <v>206</v>
      </c>
      <c r="DL22" t="s">
        <v>323</v>
      </c>
      <c r="DN22">
        <v>1</v>
      </c>
      <c r="DV22">
        <v>0</v>
      </c>
      <c r="DW22">
        <v>0</v>
      </c>
      <c r="DX22">
        <v>0</v>
      </c>
      <c r="EA22" t="s">
        <v>1129</v>
      </c>
      <c r="EC22" t="s">
        <v>1130</v>
      </c>
      <c r="EE22" t="s">
        <v>1134</v>
      </c>
      <c r="EF22">
        <v>0</v>
      </c>
      <c r="EI22">
        <v>0</v>
      </c>
      <c r="EJ22">
        <v>0</v>
      </c>
      <c r="EK22" t="s">
        <v>1164</v>
      </c>
      <c r="EQ22">
        <v>0</v>
      </c>
      <c r="ER22" t="s">
        <v>1133</v>
      </c>
      <c r="ET22">
        <v>0</v>
      </c>
      <c r="EU22">
        <v>157</v>
      </c>
      <c r="EV22">
        <v>0</v>
      </c>
      <c r="EW22">
        <v>0</v>
      </c>
      <c r="EX22">
        <v>0</v>
      </c>
      <c r="EY22">
        <v>0</v>
      </c>
      <c r="FE22">
        <v>0</v>
      </c>
      <c r="FF22">
        <v>0</v>
      </c>
      <c r="FG22">
        <v>0</v>
      </c>
      <c r="FI22">
        <v>0</v>
      </c>
      <c r="FM22">
        <v>0</v>
      </c>
      <c r="FO22">
        <v>0</v>
      </c>
      <c r="FQ22">
        <v>0</v>
      </c>
      <c r="FS22">
        <v>0</v>
      </c>
      <c r="FU22" s="38">
        <v>46265</v>
      </c>
      <c r="FY22">
        <v>0</v>
      </c>
      <c r="FZ22">
        <v>0</v>
      </c>
    </row>
    <row r="23" spans="1:182" x14ac:dyDescent="0.25">
      <c r="A23" t="s">
        <v>167</v>
      </c>
      <c r="B23" t="s">
        <v>168</v>
      </c>
      <c r="C23" t="s">
        <v>179</v>
      </c>
      <c r="D23" t="s">
        <v>170</v>
      </c>
      <c r="E23" t="s">
        <v>1097</v>
      </c>
      <c r="F23" t="s">
        <v>499</v>
      </c>
      <c r="I23">
        <v>0</v>
      </c>
      <c r="J23">
        <v>0</v>
      </c>
      <c r="M23">
        <v>0</v>
      </c>
      <c r="V23" t="s">
        <v>1098</v>
      </c>
      <c r="Y23">
        <v>0</v>
      </c>
      <c r="AD23">
        <v>0</v>
      </c>
      <c r="AE23">
        <v>0</v>
      </c>
      <c r="AI23" t="s">
        <v>244</v>
      </c>
      <c r="AJ23" t="s">
        <v>179</v>
      </c>
      <c r="AK23" t="s">
        <v>245</v>
      </c>
      <c r="AL23" s="38">
        <v>46067</v>
      </c>
      <c r="AM23">
        <v>-19.2</v>
      </c>
      <c r="AN23">
        <v>-320</v>
      </c>
      <c r="AO23" t="s">
        <v>173</v>
      </c>
      <c r="AP23" t="s">
        <v>174</v>
      </c>
      <c r="AQ23" t="s">
        <v>205</v>
      </c>
      <c r="AU23">
        <v>0</v>
      </c>
      <c r="AV23" t="s">
        <v>1099</v>
      </c>
      <c r="AW23" t="s">
        <v>278</v>
      </c>
      <c r="AX23" t="s">
        <v>1100</v>
      </c>
      <c r="BA23">
        <v>0</v>
      </c>
      <c r="BL23">
        <v>0</v>
      </c>
      <c r="CM23">
        <v>0</v>
      </c>
      <c r="CN23" t="s">
        <v>1137</v>
      </c>
      <c r="CR23">
        <v>0</v>
      </c>
      <c r="CS23">
        <v>0</v>
      </c>
      <c r="CT23">
        <v>65</v>
      </c>
      <c r="CU23">
        <v>64.296000000000006</v>
      </c>
      <c r="CV23" t="s">
        <v>1186</v>
      </c>
      <c r="CX23" t="s">
        <v>246</v>
      </c>
      <c r="CZ23" t="s">
        <v>428</v>
      </c>
      <c r="DC23">
        <v>60</v>
      </c>
      <c r="DD23" t="s">
        <v>232</v>
      </c>
      <c r="DE23" t="s">
        <v>1102</v>
      </c>
      <c r="DF23" t="s">
        <v>447</v>
      </c>
      <c r="DG23">
        <v>100</v>
      </c>
      <c r="DH23">
        <v>850</v>
      </c>
      <c r="DJ23" t="s">
        <v>228</v>
      </c>
      <c r="DN23">
        <v>1</v>
      </c>
      <c r="DV23">
        <v>0</v>
      </c>
      <c r="DW23">
        <v>0</v>
      </c>
      <c r="DX23">
        <v>0</v>
      </c>
      <c r="EA23" t="s">
        <v>1103</v>
      </c>
      <c r="EC23" t="s">
        <v>1104</v>
      </c>
      <c r="EE23" t="s">
        <v>1105</v>
      </c>
      <c r="EF23">
        <v>0</v>
      </c>
      <c r="EG23" t="s">
        <v>1187</v>
      </c>
      <c r="EI23">
        <v>0</v>
      </c>
      <c r="EJ23">
        <v>0</v>
      </c>
      <c r="EK23" t="s">
        <v>1164</v>
      </c>
      <c r="EQ23">
        <v>0</v>
      </c>
      <c r="ER23" t="s">
        <v>1133</v>
      </c>
      <c r="ET23">
        <v>0</v>
      </c>
      <c r="EU23">
        <v>45.7</v>
      </c>
      <c r="EV23">
        <v>0</v>
      </c>
      <c r="EW23">
        <v>0</v>
      </c>
      <c r="EX23">
        <v>0</v>
      </c>
      <c r="EY23">
        <v>0</v>
      </c>
      <c r="FE23">
        <v>0</v>
      </c>
      <c r="FF23">
        <v>0</v>
      </c>
      <c r="FG23">
        <v>0</v>
      </c>
      <c r="FI23">
        <v>0</v>
      </c>
      <c r="FM23">
        <v>0</v>
      </c>
      <c r="FO23">
        <v>0</v>
      </c>
      <c r="FQ23">
        <v>0</v>
      </c>
      <c r="FS23">
        <v>0</v>
      </c>
      <c r="FU23" s="38">
        <v>46265</v>
      </c>
      <c r="FY23">
        <v>0</v>
      </c>
      <c r="FZ23">
        <v>0</v>
      </c>
    </row>
    <row r="24" spans="1:182" x14ac:dyDescent="0.25">
      <c r="A24" t="s">
        <v>167</v>
      </c>
      <c r="B24" t="s">
        <v>168</v>
      </c>
      <c r="C24" t="s">
        <v>179</v>
      </c>
      <c r="D24" t="s">
        <v>170</v>
      </c>
      <c r="E24" t="s">
        <v>1097</v>
      </c>
      <c r="F24" t="s">
        <v>499</v>
      </c>
      <c r="I24">
        <v>0</v>
      </c>
      <c r="J24">
        <v>0</v>
      </c>
      <c r="M24">
        <v>0</v>
      </c>
      <c r="V24" t="s">
        <v>1098</v>
      </c>
      <c r="Y24">
        <v>0</v>
      </c>
      <c r="AD24">
        <v>0</v>
      </c>
      <c r="AE24">
        <v>0</v>
      </c>
      <c r="AI24" t="s">
        <v>313</v>
      </c>
      <c r="AJ24" t="s">
        <v>179</v>
      </c>
      <c r="AK24" t="s">
        <v>227</v>
      </c>
      <c r="AL24" s="38">
        <v>46178</v>
      </c>
      <c r="AM24">
        <v>-19.2</v>
      </c>
      <c r="AN24">
        <v>-320</v>
      </c>
      <c r="AO24" t="s">
        <v>173</v>
      </c>
      <c r="AP24" t="s">
        <v>174</v>
      </c>
      <c r="AQ24" t="s">
        <v>205</v>
      </c>
      <c r="AR24" t="s">
        <v>1188</v>
      </c>
      <c r="AU24">
        <v>0</v>
      </c>
      <c r="AV24" t="s">
        <v>1099</v>
      </c>
      <c r="AW24" t="s">
        <v>314</v>
      </c>
      <c r="AX24" t="s">
        <v>1100</v>
      </c>
      <c r="BA24">
        <v>0</v>
      </c>
      <c r="BL24">
        <v>0</v>
      </c>
      <c r="CM24">
        <v>0</v>
      </c>
      <c r="CN24" t="s">
        <v>1152</v>
      </c>
      <c r="CR24">
        <v>0</v>
      </c>
      <c r="CS24">
        <v>0</v>
      </c>
      <c r="CT24">
        <v>75</v>
      </c>
      <c r="CU24">
        <v>71.002899999999997</v>
      </c>
      <c r="CV24" t="s">
        <v>1189</v>
      </c>
      <c r="CX24" t="s">
        <v>48</v>
      </c>
      <c r="CZ24" t="s">
        <v>428</v>
      </c>
      <c r="DC24">
        <v>60</v>
      </c>
      <c r="DD24" t="s">
        <v>315</v>
      </c>
      <c r="DE24" t="s">
        <v>1102</v>
      </c>
      <c r="DF24" t="s">
        <v>509</v>
      </c>
      <c r="DG24">
        <v>100</v>
      </c>
      <c r="DH24">
        <v>850</v>
      </c>
      <c r="DJ24" t="s">
        <v>228</v>
      </c>
      <c r="DN24">
        <v>1</v>
      </c>
      <c r="DV24">
        <v>0</v>
      </c>
      <c r="DW24">
        <v>0</v>
      </c>
      <c r="DX24">
        <v>0</v>
      </c>
      <c r="EA24" t="s">
        <v>1153</v>
      </c>
      <c r="EC24" t="s">
        <v>1104</v>
      </c>
      <c r="EE24" t="s">
        <v>1105</v>
      </c>
      <c r="EF24">
        <v>0</v>
      </c>
      <c r="EI24">
        <v>0</v>
      </c>
      <c r="EJ24">
        <v>0</v>
      </c>
      <c r="EK24" t="s">
        <v>1164</v>
      </c>
      <c r="EQ24">
        <v>0</v>
      </c>
      <c r="ER24" t="s">
        <v>1133</v>
      </c>
      <c r="ET24">
        <v>0</v>
      </c>
      <c r="EU24">
        <v>49</v>
      </c>
      <c r="EV24">
        <v>0</v>
      </c>
      <c r="EW24">
        <v>0</v>
      </c>
      <c r="EX24">
        <v>0</v>
      </c>
      <c r="EY24">
        <v>0</v>
      </c>
      <c r="FE24">
        <v>0</v>
      </c>
      <c r="FF24">
        <v>0</v>
      </c>
      <c r="FG24">
        <v>0</v>
      </c>
      <c r="FI24">
        <v>0</v>
      </c>
      <c r="FM24">
        <v>0</v>
      </c>
      <c r="FO24">
        <v>0</v>
      </c>
      <c r="FQ24">
        <v>0</v>
      </c>
      <c r="FS24">
        <v>0</v>
      </c>
      <c r="FU24" s="38">
        <v>46295</v>
      </c>
      <c r="FY24">
        <v>0</v>
      </c>
      <c r="FZ24">
        <v>0</v>
      </c>
    </row>
    <row r="25" spans="1:182" x14ac:dyDescent="0.25">
      <c r="A25" t="s">
        <v>167</v>
      </c>
      <c r="B25" t="s">
        <v>168</v>
      </c>
      <c r="C25" t="s">
        <v>179</v>
      </c>
      <c r="D25" t="s">
        <v>170</v>
      </c>
      <c r="E25" t="s">
        <v>1097</v>
      </c>
      <c r="F25" t="s">
        <v>499</v>
      </c>
      <c r="I25">
        <v>0</v>
      </c>
      <c r="J25">
        <v>0</v>
      </c>
      <c r="M25">
        <v>0</v>
      </c>
      <c r="V25" t="s">
        <v>1098</v>
      </c>
      <c r="Y25">
        <v>0</v>
      </c>
      <c r="AD25">
        <v>0</v>
      </c>
      <c r="AE25">
        <v>0</v>
      </c>
      <c r="AI25" t="s">
        <v>316</v>
      </c>
      <c r="AJ25" t="s">
        <v>179</v>
      </c>
      <c r="AK25" t="s">
        <v>227</v>
      </c>
      <c r="AL25" s="38">
        <v>46178</v>
      </c>
      <c r="AM25">
        <v>-19.2</v>
      </c>
      <c r="AN25">
        <v>-320</v>
      </c>
      <c r="AO25" t="s">
        <v>173</v>
      </c>
      <c r="AP25" t="s">
        <v>174</v>
      </c>
      <c r="AQ25" t="s">
        <v>205</v>
      </c>
      <c r="AR25" t="s">
        <v>1188</v>
      </c>
      <c r="AU25">
        <v>0</v>
      </c>
      <c r="AV25" t="s">
        <v>1099</v>
      </c>
      <c r="AW25" t="s">
        <v>314</v>
      </c>
      <c r="AX25" t="s">
        <v>1100</v>
      </c>
      <c r="BA25">
        <v>0</v>
      </c>
      <c r="BL25">
        <v>0</v>
      </c>
      <c r="CM25">
        <v>0</v>
      </c>
      <c r="CN25" t="s">
        <v>1152</v>
      </c>
      <c r="CR25">
        <v>0</v>
      </c>
      <c r="CS25">
        <v>0</v>
      </c>
      <c r="CT25">
        <v>75</v>
      </c>
      <c r="CU25">
        <v>71.002899999999997</v>
      </c>
      <c r="CV25" t="s">
        <v>1189</v>
      </c>
      <c r="CX25" t="s">
        <v>48</v>
      </c>
      <c r="CZ25" t="s">
        <v>428</v>
      </c>
      <c r="DC25">
        <v>60</v>
      </c>
      <c r="DD25" t="s">
        <v>315</v>
      </c>
      <c r="DE25" t="s">
        <v>1102</v>
      </c>
      <c r="DF25" t="s">
        <v>509</v>
      </c>
      <c r="DG25">
        <v>100</v>
      </c>
      <c r="DH25">
        <v>850</v>
      </c>
      <c r="DJ25" t="s">
        <v>228</v>
      </c>
      <c r="DN25">
        <v>1</v>
      </c>
      <c r="DV25">
        <v>0</v>
      </c>
      <c r="DW25">
        <v>0</v>
      </c>
      <c r="DX25">
        <v>0</v>
      </c>
      <c r="EA25" t="s">
        <v>1153</v>
      </c>
      <c r="EC25" t="s">
        <v>1104</v>
      </c>
      <c r="EE25" t="s">
        <v>1105</v>
      </c>
      <c r="EF25">
        <v>0</v>
      </c>
      <c r="EI25">
        <v>0</v>
      </c>
      <c r="EJ25">
        <v>0</v>
      </c>
      <c r="EK25" t="s">
        <v>1164</v>
      </c>
      <c r="EQ25">
        <v>0</v>
      </c>
      <c r="ER25" t="s">
        <v>1133</v>
      </c>
      <c r="ET25">
        <v>0</v>
      </c>
      <c r="EU25">
        <v>49</v>
      </c>
      <c r="EV25">
        <v>0</v>
      </c>
      <c r="EW25">
        <v>0</v>
      </c>
      <c r="EX25">
        <v>0</v>
      </c>
      <c r="EY25">
        <v>0</v>
      </c>
      <c r="FE25">
        <v>0</v>
      </c>
      <c r="FF25">
        <v>0</v>
      </c>
      <c r="FG25">
        <v>0</v>
      </c>
      <c r="FI25">
        <v>0</v>
      </c>
      <c r="FM25">
        <v>0</v>
      </c>
      <c r="FO25">
        <v>0</v>
      </c>
      <c r="FQ25">
        <v>0</v>
      </c>
      <c r="FS25">
        <v>0</v>
      </c>
      <c r="FU25" s="38">
        <v>46295</v>
      </c>
      <c r="FY25">
        <v>0</v>
      </c>
      <c r="FZ25">
        <v>0</v>
      </c>
    </row>
    <row r="26" spans="1:182" x14ac:dyDescent="0.25">
      <c r="A26" t="s">
        <v>167</v>
      </c>
      <c r="B26" t="s">
        <v>168</v>
      </c>
      <c r="C26" t="s">
        <v>195</v>
      </c>
      <c r="D26" t="s">
        <v>170</v>
      </c>
      <c r="E26" t="s">
        <v>1097</v>
      </c>
      <c r="F26" t="s">
        <v>499</v>
      </c>
      <c r="I26">
        <v>0</v>
      </c>
      <c r="J26">
        <v>0</v>
      </c>
      <c r="M26">
        <v>0</v>
      </c>
      <c r="V26" t="s">
        <v>1098</v>
      </c>
      <c r="Y26">
        <v>0</v>
      </c>
      <c r="AD26">
        <v>0</v>
      </c>
      <c r="AE26">
        <v>0</v>
      </c>
      <c r="AI26" t="s">
        <v>252</v>
      </c>
      <c r="AJ26" t="s">
        <v>195</v>
      </c>
      <c r="AK26" t="s">
        <v>253</v>
      </c>
      <c r="AL26" s="38">
        <v>46140</v>
      </c>
      <c r="AM26">
        <v>-0.09</v>
      </c>
      <c r="AN26">
        <v>-3</v>
      </c>
      <c r="AO26" t="s">
        <v>173</v>
      </c>
      <c r="AP26" t="s">
        <v>174</v>
      </c>
      <c r="AQ26" t="s">
        <v>254</v>
      </c>
      <c r="AR26" t="s">
        <v>1190</v>
      </c>
      <c r="AU26">
        <v>14.5</v>
      </c>
      <c r="AV26" t="s">
        <v>1166</v>
      </c>
      <c r="AW26" t="s">
        <v>219</v>
      </c>
      <c r="AX26" t="s">
        <v>1179</v>
      </c>
      <c r="BA26">
        <v>0</v>
      </c>
      <c r="BL26">
        <v>0</v>
      </c>
      <c r="CM26">
        <v>0</v>
      </c>
      <c r="CN26" t="s">
        <v>1113</v>
      </c>
      <c r="CR26">
        <v>0</v>
      </c>
      <c r="CS26">
        <v>0</v>
      </c>
      <c r="CT26">
        <v>369.21570000000003</v>
      </c>
      <c r="CU26">
        <v>369.21570000000003</v>
      </c>
      <c r="CV26" t="s">
        <v>1101</v>
      </c>
      <c r="CX26" t="s">
        <v>255</v>
      </c>
      <c r="CZ26" t="s">
        <v>428</v>
      </c>
      <c r="DC26">
        <v>30</v>
      </c>
      <c r="DD26" t="s">
        <v>186</v>
      </c>
      <c r="DE26" t="s">
        <v>1102</v>
      </c>
      <c r="DF26" t="s">
        <v>507</v>
      </c>
      <c r="DG26">
        <v>100</v>
      </c>
      <c r="DH26">
        <v>850</v>
      </c>
      <c r="DL26" t="s">
        <v>207</v>
      </c>
      <c r="DN26">
        <v>4</v>
      </c>
      <c r="DV26">
        <v>0</v>
      </c>
      <c r="DW26">
        <v>0</v>
      </c>
      <c r="DX26">
        <v>0</v>
      </c>
      <c r="EA26" t="s">
        <v>1191</v>
      </c>
      <c r="EC26" t="s">
        <v>1192</v>
      </c>
      <c r="EE26" t="s">
        <v>1193</v>
      </c>
      <c r="EF26">
        <v>0</v>
      </c>
      <c r="EI26">
        <v>4910</v>
      </c>
      <c r="EJ26">
        <v>1</v>
      </c>
      <c r="EK26" t="s">
        <v>1132</v>
      </c>
      <c r="EQ26">
        <v>0</v>
      </c>
      <c r="ET26">
        <v>0</v>
      </c>
      <c r="EU26">
        <v>657.72</v>
      </c>
      <c r="EV26">
        <v>0</v>
      </c>
      <c r="EW26">
        <v>0</v>
      </c>
      <c r="EX26">
        <v>0</v>
      </c>
      <c r="EY26">
        <v>0</v>
      </c>
      <c r="FE26">
        <v>0</v>
      </c>
      <c r="FF26">
        <v>0</v>
      </c>
      <c r="FG26">
        <v>0</v>
      </c>
      <c r="FI26">
        <v>0</v>
      </c>
      <c r="FM26">
        <v>0</v>
      </c>
      <c r="FO26">
        <v>0</v>
      </c>
      <c r="FQ26">
        <v>0</v>
      </c>
      <c r="FS26">
        <v>0</v>
      </c>
      <c r="FU26" s="38">
        <v>46203</v>
      </c>
      <c r="FY26">
        <v>0</v>
      </c>
      <c r="FZ26">
        <v>0</v>
      </c>
    </row>
    <row r="27" spans="1:182" x14ac:dyDescent="0.25">
      <c r="A27" t="s">
        <v>167</v>
      </c>
      <c r="B27" t="s">
        <v>168</v>
      </c>
      <c r="C27" t="s">
        <v>195</v>
      </c>
      <c r="D27" t="s">
        <v>170</v>
      </c>
      <c r="E27" t="s">
        <v>1097</v>
      </c>
      <c r="F27" t="s">
        <v>499</v>
      </c>
      <c r="I27">
        <v>0</v>
      </c>
      <c r="J27">
        <v>0</v>
      </c>
      <c r="M27">
        <v>0</v>
      </c>
      <c r="V27" t="s">
        <v>1098</v>
      </c>
      <c r="Y27">
        <v>0</v>
      </c>
      <c r="AD27">
        <v>0</v>
      </c>
      <c r="AE27">
        <v>0</v>
      </c>
      <c r="AI27" t="s">
        <v>256</v>
      </c>
      <c r="AJ27" t="s">
        <v>195</v>
      </c>
      <c r="AK27" t="s">
        <v>253</v>
      </c>
      <c r="AL27" s="38">
        <v>46140</v>
      </c>
      <c r="AM27">
        <v>-0.09</v>
      </c>
      <c r="AN27">
        <v>-3</v>
      </c>
      <c r="AO27" t="s">
        <v>173</v>
      </c>
      <c r="AP27" t="s">
        <v>174</v>
      </c>
      <c r="AQ27" t="s">
        <v>254</v>
      </c>
      <c r="AR27" t="s">
        <v>1190</v>
      </c>
      <c r="AU27">
        <v>13</v>
      </c>
      <c r="AV27" t="s">
        <v>1166</v>
      </c>
      <c r="AW27" t="s">
        <v>219</v>
      </c>
      <c r="AX27" t="s">
        <v>1179</v>
      </c>
      <c r="BA27">
        <v>0</v>
      </c>
      <c r="BL27">
        <v>0</v>
      </c>
      <c r="CM27">
        <v>0</v>
      </c>
      <c r="CN27" t="s">
        <v>1113</v>
      </c>
      <c r="CR27">
        <v>0</v>
      </c>
      <c r="CS27">
        <v>0</v>
      </c>
      <c r="CT27">
        <v>301.17610000000002</v>
      </c>
      <c r="CU27">
        <v>301.17610000000002</v>
      </c>
      <c r="CV27" t="s">
        <v>1101</v>
      </c>
      <c r="CX27" t="s">
        <v>257</v>
      </c>
      <c r="CZ27" t="s">
        <v>428</v>
      </c>
      <c r="DC27">
        <v>30</v>
      </c>
      <c r="DD27" t="s">
        <v>186</v>
      </c>
      <c r="DE27" t="s">
        <v>1102</v>
      </c>
      <c r="DF27" t="s">
        <v>507</v>
      </c>
      <c r="DG27">
        <v>100</v>
      </c>
      <c r="DH27">
        <v>850</v>
      </c>
      <c r="DL27" t="s">
        <v>207</v>
      </c>
      <c r="DN27">
        <v>4</v>
      </c>
      <c r="DV27">
        <v>0</v>
      </c>
      <c r="DW27">
        <v>0</v>
      </c>
      <c r="DX27">
        <v>0</v>
      </c>
      <c r="EA27" t="s">
        <v>1191</v>
      </c>
      <c r="EC27" t="s">
        <v>1192</v>
      </c>
      <c r="EE27" t="s">
        <v>1193</v>
      </c>
      <c r="EF27">
        <v>0</v>
      </c>
      <c r="EI27">
        <v>4910</v>
      </c>
      <c r="EJ27">
        <v>1</v>
      </c>
      <c r="EK27" t="s">
        <v>1132</v>
      </c>
      <c r="EQ27">
        <v>0</v>
      </c>
      <c r="ET27">
        <v>0</v>
      </c>
      <c r="EU27">
        <v>589.67999999999995</v>
      </c>
      <c r="EV27">
        <v>0</v>
      </c>
      <c r="EW27">
        <v>0</v>
      </c>
      <c r="EX27">
        <v>0</v>
      </c>
      <c r="EY27">
        <v>0</v>
      </c>
      <c r="FE27">
        <v>0</v>
      </c>
      <c r="FF27">
        <v>0</v>
      </c>
      <c r="FG27">
        <v>0</v>
      </c>
      <c r="FI27">
        <v>0</v>
      </c>
      <c r="FM27">
        <v>0</v>
      </c>
      <c r="FO27">
        <v>0</v>
      </c>
      <c r="FQ27">
        <v>0</v>
      </c>
      <c r="FS27">
        <v>0</v>
      </c>
      <c r="FU27" s="38">
        <v>46203</v>
      </c>
      <c r="FY27">
        <v>0</v>
      </c>
      <c r="FZ27">
        <v>0</v>
      </c>
    </row>
    <row r="28" spans="1:182" x14ac:dyDescent="0.25">
      <c r="A28" t="s">
        <v>167</v>
      </c>
      <c r="B28" t="s">
        <v>168</v>
      </c>
      <c r="C28" t="s">
        <v>195</v>
      </c>
      <c r="D28" t="s">
        <v>170</v>
      </c>
      <c r="E28" t="s">
        <v>1097</v>
      </c>
      <c r="F28" t="s">
        <v>499</v>
      </c>
      <c r="I28">
        <v>0</v>
      </c>
      <c r="J28">
        <v>0</v>
      </c>
      <c r="M28">
        <v>0</v>
      </c>
      <c r="V28" t="s">
        <v>1098</v>
      </c>
      <c r="Y28">
        <v>0</v>
      </c>
      <c r="AD28">
        <v>150717</v>
      </c>
      <c r="AE28">
        <v>169784</v>
      </c>
      <c r="AF28" s="38">
        <v>46164</v>
      </c>
      <c r="AG28" s="38">
        <v>46178</v>
      </c>
      <c r="AH28" t="s">
        <v>1124</v>
      </c>
      <c r="AI28" t="s">
        <v>250</v>
      </c>
      <c r="AJ28" t="s">
        <v>195</v>
      </c>
      <c r="AK28" t="s">
        <v>248</v>
      </c>
      <c r="AL28" s="38">
        <v>46140</v>
      </c>
      <c r="AM28">
        <v>-1.56</v>
      </c>
      <c r="AN28">
        <v>-52</v>
      </c>
      <c r="AO28" t="s">
        <v>173</v>
      </c>
      <c r="AP28" t="s">
        <v>174</v>
      </c>
      <c r="AQ28" t="s">
        <v>189</v>
      </c>
      <c r="AU28">
        <v>494</v>
      </c>
      <c r="AV28" t="s">
        <v>1099</v>
      </c>
      <c r="AW28" t="s">
        <v>219</v>
      </c>
      <c r="AX28" t="s">
        <v>1100</v>
      </c>
      <c r="BA28">
        <v>104824</v>
      </c>
      <c r="BB28" t="s">
        <v>1136</v>
      </c>
      <c r="BC28" t="s">
        <v>1108</v>
      </c>
      <c r="BD28" t="s">
        <v>1159</v>
      </c>
      <c r="BE28" t="s">
        <v>1110</v>
      </c>
      <c r="BF28" t="s">
        <v>174</v>
      </c>
      <c r="BG28" t="s">
        <v>1293</v>
      </c>
      <c r="BH28" t="s">
        <v>1294</v>
      </c>
      <c r="BI28" s="38">
        <v>46226</v>
      </c>
      <c r="BL28">
        <v>0.01</v>
      </c>
      <c r="BM28" t="s">
        <v>1112</v>
      </c>
      <c r="BN28" t="s">
        <v>1295</v>
      </c>
      <c r="CM28">
        <v>0</v>
      </c>
      <c r="CN28" t="s">
        <v>1113</v>
      </c>
      <c r="CR28">
        <v>0</v>
      </c>
      <c r="CS28">
        <v>0</v>
      </c>
      <c r="CT28">
        <v>205.5</v>
      </c>
      <c r="CU28">
        <v>205.5</v>
      </c>
      <c r="CV28" t="s">
        <v>1101</v>
      </c>
      <c r="CX28" t="s">
        <v>251</v>
      </c>
      <c r="CZ28" t="s">
        <v>428</v>
      </c>
      <c r="DC28">
        <v>30</v>
      </c>
      <c r="DD28" t="s">
        <v>186</v>
      </c>
      <c r="DE28" t="s">
        <v>1102</v>
      </c>
      <c r="DF28" t="s">
        <v>447</v>
      </c>
      <c r="DG28">
        <v>100</v>
      </c>
      <c r="DH28">
        <v>850</v>
      </c>
      <c r="DN28">
        <v>4</v>
      </c>
      <c r="DV28">
        <v>0</v>
      </c>
      <c r="DW28">
        <v>0</v>
      </c>
      <c r="DX28">
        <v>0</v>
      </c>
      <c r="EA28" t="s">
        <v>1114</v>
      </c>
      <c r="EC28" t="s">
        <v>1115</v>
      </c>
      <c r="EE28" t="s">
        <v>1105</v>
      </c>
      <c r="EF28">
        <v>0</v>
      </c>
      <c r="EG28" t="s">
        <v>1116</v>
      </c>
      <c r="EI28">
        <v>4910</v>
      </c>
      <c r="EJ28">
        <v>1</v>
      </c>
      <c r="EK28" t="s">
        <v>1132</v>
      </c>
      <c r="EQ28">
        <v>0</v>
      </c>
      <c r="ET28">
        <v>0</v>
      </c>
      <c r="EU28">
        <v>30</v>
      </c>
      <c r="EV28">
        <v>0</v>
      </c>
      <c r="EW28">
        <v>0</v>
      </c>
      <c r="EX28">
        <v>0</v>
      </c>
      <c r="EY28">
        <v>0</v>
      </c>
      <c r="FD28" t="s">
        <v>1293</v>
      </c>
      <c r="FE28">
        <v>0</v>
      </c>
      <c r="FF28">
        <v>0</v>
      </c>
      <c r="FG28">
        <v>0</v>
      </c>
      <c r="FI28">
        <v>0</v>
      </c>
      <c r="FM28">
        <v>0</v>
      </c>
      <c r="FO28">
        <v>0</v>
      </c>
      <c r="FQ28">
        <v>0</v>
      </c>
      <c r="FS28">
        <v>0</v>
      </c>
      <c r="FT28" s="38">
        <v>46226</v>
      </c>
      <c r="FU28" s="38">
        <v>46226</v>
      </c>
      <c r="FY28">
        <v>0</v>
      </c>
      <c r="FZ28">
        <v>0</v>
      </c>
    </row>
    <row r="29" spans="1:182" x14ac:dyDescent="0.25">
      <c r="A29" t="s">
        <v>167</v>
      </c>
      <c r="B29" t="s">
        <v>168</v>
      </c>
      <c r="C29" t="s">
        <v>195</v>
      </c>
      <c r="D29" t="s">
        <v>170</v>
      </c>
      <c r="E29" t="s">
        <v>1097</v>
      </c>
      <c r="F29" t="s">
        <v>499</v>
      </c>
      <c r="I29">
        <v>0</v>
      </c>
      <c r="J29">
        <v>0</v>
      </c>
      <c r="M29">
        <v>0</v>
      </c>
      <c r="V29" t="s">
        <v>1098</v>
      </c>
      <c r="Y29">
        <v>0</v>
      </c>
      <c r="AD29">
        <v>150672</v>
      </c>
      <c r="AE29">
        <v>170348</v>
      </c>
      <c r="AF29" s="38">
        <v>46176</v>
      </c>
      <c r="AG29" s="38">
        <v>46183</v>
      </c>
      <c r="AH29" t="s">
        <v>1124</v>
      </c>
      <c r="AI29" t="s">
        <v>298</v>
      </c>
      <c r="AJ29" t="s">
        <v>195</v>
      </c>
      <c r="AK29" t="s">
        <v>292</v>
      </c>
      <c r="AL29" s="38">
        <v>46160</v>
      </c>
      <c r="AM29">
        <v>-3</v>
      </c>
      <c r="AN29">
        <v>-100</v>
      </c>
      <c r="AO29" t="s">
        <v>286</v>
      </c>
      <c r="AP29" t="s">
        <v>293</v>
      </c>
      <c r="AQ29" t="s">
        <v>294</v>
      </c>
      <c r="AR29" t="s">
        <v>1117</v>
      </c>
      <c r="AS29" t="s">
        <v>1118</v>
      </c>
      <c r="AU29">
        <v>364.84</v>
      </c>
      <c r="AV29" t="s">
        <v>1099</v>
      </c>
      <c r="AW29" t="s">
        <v>219</v>
      </c>
      <c r="AX29" t="s">
        <v>1100</v>
      </c>
      <c r="BA29">
        <v>0</v>
      </c>
      <c r="BL29">
        <v>0</v>
      </c>
      <c r="CM29">
        <v>0</v>
      </c>
      <c r="CN29" t="s">
        <v>1120</v>
      </c>
      <c r="CR29">
        <v>0</v>
      </c>
      <c r="CS29">
        <v>0</v>
      </c>
      <c r="CT29">
        <v>97.94</v>
      </c>
      <c r="CU29">
        <v>86.102400000000003</v>
      </c>
      <c r="CV29" t="s">
        <v>1101</v>
      </c>
      <c r="CX29" t="s">
        <v>299</v>
      </c>
      <c r="CZ29" t="s">
        <v>428</v>
      </c>
      <c r="DC29">
        <v>30</v>
      </c>
      <c r="DD29" t="s">
        <v>186</v>
      </c>
      <c r="DE29" t="s">
        <v>1102</v>
      </c>
      <c r="DF29" t="s">
        <v>447</v>
      </c>
      <c r="DG29">
        <v>100</v>
      </c>
      <c r="DH29">
        <v>850</v>
      </c>
      <c r="DL29" t="s">
        <v>207</v>
      </c>
      <c r="DN29">
        <v>4</v>
      </c>
      <c r="DV29">
        <v>0</v>
      </c>
      <c r="DW29">
        <v>0</v>
      </c>
      <c r="DX29">
        <v>0</v>
      </c>
      <c r="EA29" t="s">
        <v>1121</v>
      </c>
      <c r="EC29" t="s">
        <v>1122</v>
      </c>
      <c r="EE29" t="s">
        <v>1105</v>
      </c>
      <c r="EF29">
        <v>2380.9699999999998</v>
      </c>
      <c r="EG29" t="s">
        <v>1123</v>
      </c>
      <c r="EI29">
        <v>4910</v>
      </c>
      <c r="EJ29">
        <v>1</v>
      </c>
      <c r="EK29" t="s">
        <v>1132</v>
      </c>
      <c r="EQ29">
        <v>0</v>
      </c>
      <c r="ET29">
        <v>0</v>
      </c>
      <c r="EU29">
        <v>376.68</v>
      </c>
      <c r="EV29">
        <v>0</v>
      </c>
      <c r="EW29">
        <v>0</v>
      </c>
      <c r="EX29">
        <v>0</v>
      </c>
      <c r="EY29">
        <v>0</v>
      </c>
      <c r="FE29">
        <v>0</v>
      </c>
      <c r="FF29">
        <v>0</v>
      </c>
      <c r="FG29">
        <v>0</v>
      </c>
      <c r="FI29">
        <v>0</v>
      </c>
      <c r="FM29">
        <v>0</v>
      </c>
      <c r="FO29">
        <v>0</v>
      </c>
      <c r="FQ29">
        <v>0</v>
      </c>
      <c r="FS29">
        <v>0</v>
      </c>
      <c r="FU29" s="38">
        <v>46203</v>
      </c>
      <c r="FY29">
        <v>0</v>
      </c>
      <c r="FZ29">
        <v>0</v>
      </c>
    </row>
    <row r="30" spans="1:182" x14ac:dyDescent="0.25">
      <c r="A30" t="s">
        <v>167</v>
      </c>
      <c r="B30" t="s">
        <v>168</v>
      </c>
      <c r="C30" t="s">
        <v>195</v>
      </c>
      <c r="D30" t="s">
        <v>170</v>
      </c>
      <c r="E30" t="s">
        <v>1097</v>
      </c>
      <c r="F30" t="s">
        <v>499</v>
      </c>
      <c r="I30">
        <v>0</v>
      </c>
      <c r="J30">
        <v>0</v>
      </c>
      <c r="M30">
        <v>0</v>
      </c>
      <c r="V30" t="s">
        <v>1098</v>
      </c>
      <c r="W30" s="38">
        <v>46126</v>
      </c>
      <c r="Y30">
        <v>0</v>
      </c>
      <c r="AD30">
        <v>0</v>
      </c>
      <c r="AE30">
        <v>0</v>
      </c>
      <c r="AI30" t="s">
        <v>312</v>
      </c>
      <c r="AJ30" t="s">
        <v>195</v>
      </c>
      <c r="AK30" t="s">
        <v>237</v>
      </c>
      <c r="AL30" s="38">
        <v>46105</v>
      </c>
      <c r="AM30">
        <v>-19.2</v>
      </c>
      <c r="AN30">
        <v>-320</v>
      </c>
      <c r="AO30" t="s">
        <v>173</v>
      </c>
      <c r="AP30" t="s">
        <v>174</v>
      </c>
      <c r="AQ30" t="s">
        <v>184</v>
      </c>
      <c r="AU30">
        <v>0</v>
      </c>
      <c r="AV30" t="s">
        <v>1099</v>
      </c>
      <c r="AW30" t="s">
        <v>263</v>
      </c>
      <c r="AX30" t="s">
        <v>1100</v>
      </c>
      <c r="BA30">
        <v>103102</v>
      </c>
      <c r="BB30" t="s">
        <v>1136</v>
      </c>
      <c r="BC30" t="s">
        <v>1305</v>
      </c>
      <c r="BD30" t="s">
        <v>1306</v>
      </c>
      <c r="BE30" t="s">
        <v>1110</v>
      </c>
      <c r="BF30" t="s">
        <v>174</v>
      </c>
      <c r="BG30" t="s">
        <v>183</v>
      </c>
      <c r="BH30" t="s">
        <v>1307</v>
      </c>
      <c r="BI30" s="38">
        <v>46179</v>
      </c>
      <c r="BJ30" s="38">
        <v>46201</v>
      </c>
      <c r="BL30">
        <v>0.01</v>
      </c>
      <c r="BM30" t="s">
        <v>1112</v>
      </c>
      <c r="CM30">
        <v>0</v>
      </c>
      <c r="CN30" t="s">
        <v>1113</v>
      </c>
      <c r="CR30">
        <v>0</v>
      </c>
      <c r="CS30">
        <v>0</v>
      </c>
      <c r="CT30">
        <v>35</v>
      </c>
      <c r="CU30">
        <v>35</v>
      </c>
      <c r="CV30" t="s">
        <v>1101</v>
      </c>
      <c r="CX30" t="s">
        <v>51</v>
      </c>
      <c r="CZ30" t="s">
        <v>428</v>
      </c>
      <c r="DC30">
        <v>60</v>
      </c>
      <c r="DD30" t="s">
        <v>232</v>
      </c>
      <c r="DE30" t="s">
        <v>1102</v>
      </c>
      <c r="DF30" t="s">
        <v>447</v>
      </c>
      <c r="DG30">
        <v>100</v>
      </c>
      <c r="DH30">
        <v>850</v>
      </c>
      <c r="DN30">
        <v>1</v>
      </c>
      <c r="DP30" t="s">
        <v>1308</v>
      </c>
      <c r="DV30">
        <v>0</v>
      </c>
      <c r="DW30">
        <v>0</v>
      </c>
      <c r="DX30">
        <v>0</v>
      </c>
      <c r="EA30" t="s">
        <v>1163</v>
      </c>
      <c r="EC30" t="s">
        <v>1139</v>
      </c>
      <c r="EE30" t="s">
        <v>1105</v>
      </c>
      <c r="EF30">
        <v>0</v>
      </c>
      <c r="EI30">
        <v>5010</v>
      </c>
      <c r="EJ30">
        <v>1</v>
      </c>
      <c r="EK30" t="s">
        <v>1106</v>
      </c>
      <c r="EQ30">
        <v>0</v>
      </c>
      <c r="ER30" t="s">
        <v>1133</v>
      </c>
      <c r="ET30">
        <v>0</v>
      </c>
      <c r="EU30">
        <v>30</v>
      </c>
      <c r="EV30">
        <v>0</v>
      </c>
      <c r="EW30">
        <v>0</v>
      </c>
      <c r="EX30">
        <v>0</v>
      </c>
      <c r="EY30">
        <v>0</v>
      </c>
      <c r="FA30" t="s">
        <v>1155</v>
      </c>
      <c r="FD30" t="s">
        <v>183</v>
      </c>
      <c r="FE30">
        <v>0</v>
      </c>
      <c r="FF30">
        <v>0</v>
      </c>
      <c r="FG30">
        <v>0</v>
      </c>
      <c r="FI30">
        <v>0</v>
      </c>
      <c r="FM30">
        <v>0</v>
      </c>
      <c r="FO30">
        <v>0</v>
      </c>
      <c r="FP30" t="s">
        <v>1304</v>
      </c>
      <c r="FQ30">
        <v>0</v>
      </c>
      <c r="FS30">
        <v>0</v>
      </c>
      <c r="FT30" s="38">
        <v>46179</v>
      </c>
      <c r="FU30" s="38">
        <v>46179</v>
      </c>
      <c r="FW30">
        <v>414444</v>
      </c>
      <c r="FX30" t="s">
        <v>1309</v>
      </c>
      <c r="FY30">
        <v>0</v>
      </c>
      <c r="FZ30">
        <v>0</v>
      </c>
    </row>
    <row r="31" spans="1:182" x14ac:dyDescent="0.25">
      <c r="A31" t="s">
        <v>167</v>
      </c>
      <c r="B31" t="s">
        <v>168</v>
      </c>
      <c r="C31" t="s">
        <v>195</v>
      </c>
      <c r="D31" t="s">
        <v>170</v>
      </c>
      <c r="E31" t="s">
        <v>1097</v>
      </c>
      <c r="F31" t="s">
        <v>499</v>
      </c>
      <c r="I31">
        <v>0</v>
      </c>
      <c r="J31">
        <v>0</v>
      </c>
      <c r="M31">
        <v>0</v>
      </c>
      <c r="V31" t="s">
        <v>1098</v>
      </c>
      <c r="W31" s="38">
        <v>46142</v>
      </c>
      <c r="Y31">
        <v>0</v>
      </c>
      <c r="AD31">
        <v>150640</v>
      </c>
      <c r="AE31">
        <v>169700</v>
      </c>
      <c r="AF31" s="38">
        <v>46154</v>
      </c>
      <c r="AI31" t="s">
        <v>241</v>
      </c>
      <c r="AJ31" t="s">
        <v>195</v>
      </c>
      <c r="AK31" t="s">
        <v>242</v>
      </c>
      <c r="AL31" s="38">
        <v>46133</v>
      </c>
      <c r="AM31">
        <v>-108</v>
      </c>
      <c r="AN31">
        <v>-1800</v>
      </c>
      <c r="AO31" t="s">
        <v>173</v>
      </c>
      <c r="AP31" t="s">
        <v>174</v>
      </c>
      <c r="AQ31" t="s">
        <v>189</v>
      </c>
      <c r="AR31">
        <v>1005440.1264</v>
      </c>
      <c r="AU31">
        <v>294.85000000000002</v>
      </c>
      <c r="AV31" t="s">
        <v>1099</v>
      </c>
      <c r="AW31" t="s">
        <v>219</v>
      </c>
      <c r="AX31" t="s">
        <v>1100</v>
      </c>
      <c r="BA31">
        <v>103580</v>
      </c>
      <c r="BB31" t="s">
        <v>1125</v>
      </c>
      <c r="BC31" t="s">
        <v>1126</v>
      </c>
      <c r="BD31" t="s">
        <v>1127</v>
      </c>
      <c r="BE31" t="s">
        <v>1110</v>
      </c>
      <c r="BF31" t="s">
        <v>174</v>
      </c>
      <c r="BG31" t="s">
        <v>1197</v>
      </c>
      <c r="BH31" t="s">
        <v>1198</v>
      </c>
      <c r="BI31" s="38">
        <v>46198</v>
      </c>
      <c r="BJ31" s="38">
        <v>46240</v>
      </c>
      <c r="BL31">
        <v>0.01</v>
      </c>
      <c r="BM31" t="s">
        <v>1112</v>
      </c>
      <c r="BN31" t="s">
        <v>1295</v>
      </c>
      <c r="CM31">
        <v>0</v>
      </c>
      <c r="CN31" t="s">
        <v>1199</v>
      </c>
      <c r="CR31">
        <v>0</v>
      </c>
      <c r="CS31">
        <v>0</v>
      </c>
      <c r="CT31">
        <v>44</v>
      </c>
      <c r="CU31">
        <v>29.4849</v>
      </c>
      <c r="CV31" t="s">
        <v>1101</v>
      </c>
      <c r="CX31" t="s">
        <v>51</v>
      </c>
      <c r="CZ31" t="s">
        <v>428</v>
      </c>
      <c r="DC31">
        <v>60</v>
      </c>
      <c r="DD31" t="s">
        <v>186</v>
      </c>
      <c r="DE31" t="s">
        <v>1102</v>
      </c>
      <c r="DF31" t="s">
        <v>447</v>
      </c>
      <c r="DG31">
        <v>100</v>
      </c>
      <c r="DH31">
        <v>850</v>
      </c>
      <c r="DN31">
        <v>1</v>
      </c>
      <c r="DV31">
        <v>0</v>
      </c>
      <c r="DW31">
        <v>0</v>
      </c>
      <c r="DX31">
        <v>0</v>
      </c>
      <c r="EA31" t="s">
        <v>1200</v>
      </c>
      <c r="EC31" t="s">
        <v>1201</v>
      </c>
      <c r="EE31" t="s">
        <v>1131</v>
      </c>
      <c r="EF31">
        <v>0</v>
      </c>
      <c r="EI31">
        <v>5010</v>
      </c>
      <c r="EJ31">
        <v>1</v>
      </c>
      <c r="EK31" t="s">
        <v>1106</v>
      </c>
      <c r="EQ31">
        <v>0</v>
      </c>
      <c r="ER31" t="s">
        <v>1133</v>
      </c>
      <c r="ET31">
        <v>0</v>
      </c>
      <c r="EU31">
        <v>44.52</v>
      </c>
      <c r="EV31">
        <v>0</v>
      </c>
      <c r="EW31">
        <v>0</v>
      </c>
      <c r="EX31">
        <v>0</v>
      </c>
      <c r="EY31">
        <v>0</v>
      </c>
      <c r="FA31" t="s">
        <v>1141</v>
      </c>
      <c r="FB31" s="38">
        <v>46188</v>
      </c>
      <c r="FD31" t="s">
        <v>1197</v>
      </c>
      <c r="FE31">
        <v>0</v>
      </c>
      <c r="FF31">
        <v>0</v>
      </c>
      <c r="FG31">
        <v>0</v>
      </c>
      <c r="FI31">
        <v>0</v>
      </c>
      <c r="FM31">
        <v>0</v>
      </c>
      <c r="FO31">
        <v>0</v>
      </c>
      <c r="FQ31">
        <v>0</v>
      </c>
      <c r="FS31">
        <v>0</v>
      </c>
      <c r="FT31" s="38">
        <v>46198</v>
      </c>
      <c r="FU31" s="38">
        <v>46507</v>
      </c>
      <c r="FW31">
        <v>416487</v>
      </c>
      <c r="FX31" t="s">
        <v>1202</v>
      </c>
      <c r="FY31">
        <v>0</v>
      </c>
      <c r="FZ31">
        <v>0</v>
      </c>
    </row>
    <row r="32" spans="1:182" x14ac:dyDescent="0.25">
      <c r="A32" t="s">
        <v>167</v>
      </c>
      <c r="B32" t="s">
        <v>168</v>
      </c>
      <c r="C32" t="s">
        <v>195</v>
      </c>
      <c r="D32" t="s">
        <v>170</v>
      </c>
      <c r="E32" t="s">
        <v>1097</v>
      </c>
      <c r="F32" t="s">
        <v>499</v>
      </c>
      <c r="I32">
        <v>0</v>
      </c>
      <c r="J32">
        <v>0</v>
      </c>
      <c r="M32">
        <v>0</v>
      </c>
      <c r="V32" t="s">
        <v>1098</v>
      </c>
      <c r="Y32">
        <v>0</v>
      </c>
      <c r="AD32">
        <v>151025</v>
      </c>
      <c r="AE32">
        <v>170122</v>
      </c>
      <c r="AF32" s="38">
        <v>46164</v>
      </c>
      <c r="AG32" s="38">
        <v>46181</v>
      </c>
      <c r="AH32" t="s">
        <v>1124</v>
      </c>
      <c r="AI32" t="s">
        <v>239</v>
      </c>
      <c r="AJ32" t="s">
        <v>195</v>
      </c>
      <c r="AK32" t="s">
        <v>181</v>
      </c>
      <c r="AL32" s="38">
        <v>46148</v>
      </c>
      <c r="AM32">
        <v>-38.4</v>
      </c>
      <c r="AN32">
        <v>-640</v>
      </c>
      <c r="AO32" t="s">
        <v>182</v>
      </c>
      <c r="AP32" t="s">
        <v>183</v>
      </c>
      <c r="AQ32" t="s">
        <v>184</v>
      </c>
      <c r="AU32">
        <v>0</v>
      </c>
      <c r="AV32" t="s">
        <v>1099</v>
      </c>
      <c r="AW32" t="s">
        <v>219</v>
      </c>
      <c r="AX32" t="s">
        <v>1100</v>
      </c>
      <c r="BA32">
        <v>0</v>
      </c>
      <c r="BL32">
        <v>0</v>
      </c>
      <c r="CM32">
        <v>0</v>
      </c>
      <c r="CN32" t="s">
        <v>1137</v>
      </c>
      <c r="CR32">
        <v>0</v>
      </c>
      <c r="CS32">
        <v>0</v>
      </c>
      <c r="CT32">
        <v>44</v>
      </c>
      <c r="CU32">
        <v>25.002199999999998</v>
      </c>
      <c r="CV32" t="s">
        <v>1101</v>
      </c>
      <c r="CX32" t="s">
        <v>240</v>
      </c>
      <c r="CZ32" t="s">
        <v>428</v>
      </c>
      <c r="DC32">
        <v>60</v>
      </c>
      <c r="DD32" t="s">
        <v>186</v>
      </c>
      <c r="DE32" t="s">
        <v>1102</v>
      </c>
      <c r="DF32" t="s">
        <v>447</v>
      </c>
      <c r="DG32">
        <v>100</v>
      </c>
      <c r="DH32">
        <v>850</v>
      </c>
      <c r="DN32">
        <v>1</v>
      </c>
      <c r="DP32" t="s">
        <v>1203</v>
      </c>
      <c r="DV32">
        <v>0</v>
      </c>
      <c r="DW32">
        <v>0</v>
      </c>
      <c r="DX32">
        <v>0</v>
      </c>
      <c r="EA32" t="s">
        <v>1138</v>
      </c>
      <c r="EC32" t="s">
        <v>1139</v>
      </c>
      <c r="EE32" t="s">
        <v>1105</v>
      </c>
      <c r="EF32">
        <v>99.18</v>
      </c>
      <c r="EI32">
        <v>4910</v>
      </c>
      <c r="EJ32">
        <v>1</v>
      </c>
      <c r="EK32" t="s">
        <v>1132</v>
      </c>
      <c r="EQ32">
        <v>0</v>
      </c>
      <c r="ER32" t="s">
        <v>1133</v>
      </c>
      <c r="ET32">
        <v>0</v>
      </c>
      <c r="EU32">
        <v>49</v>
      </c>
      <c r="EV32">
        <v>0</v>
      </c>
      <c r="EW32">
        <v>0</v>
      </c>
      <c r="EX32">
        <v>0</v>
      </c>
      <c r="EY32">
        <v>0</v>
      </c>
      <c r="FE32">
        <v>0</v>
      </c>
      <c r="FF32">
        <v>0</v>
      </c>
      <c r="FG32">
        <v>0</v>
      </c>
      <c r="FI32">
        <v>0</v>
      </c>
      <c r="FM32">
        <v>0</v>
      </c>
      <c r="FO32">
        <v>0</v>
      </c>
      <c r="FP32" t="s">
        <v>1140</v>
      </c>
      <c r="FQ32">
        <v>18.149999999999999</v>
      </c>
      <c r="FS32">
        <v>0</v>
      </c>
      <c r="FU32" s="38">
        <v>46203</v>
      </c>
      <c r="FY32">
        <v>0</v>
      </c>
      <c r="FZ32">
        <v>0</v>
      </c>
    </row>
    <row r="33" spans="1:182" x14ac:dyDescent="0.25">
      <c r="A33" t="s">
        <v>167</v>
      </c>
      <c r="B33" t="s">
        <v>168</v>
      </c>
      <c r="C33" t="s">
        <v>195</v>
      </c>
      <c r="D33" t="s">
        <v>170</v>
      </c>
      <c r="E33" t="s">
        <v>1097</v>
      </c>
      <c r="F33" t="s">
        <v>499</v>
      </c>
      <c r="I33">
        <v>0</v>
      </c>
      <c r="J33">
        <v>0</v>
      </c>
      <c r="M33">
        <v>0</v>
      </c>
      <c r="V33" t="s">
        <v>1098</v>
      </c>
      <c r="W33" s="38">
        <v>46157</v>
      </c>
      <c r="Y33">
        <v>0</v>
      </c>
      <c r="AD33">
        <v>151174</v>
      </c>
      <c r="AE33">
        <v>170282</v>
      </c>
      <c r="AF33" s="38">
        <v>46183</v>
      </c>
      <c r="AI33" t="s">
        <v>264</v>
      </c>
      <c r="AJ33" t="s">
        <v>195</v>
      </c>
      <c r="AK33" t="s">
        <v>262</v>
      </c>
      <c r="AL33" s="38">
        <v>46149</v>
      </c>
      <c r="AM33">
        <v>-19.2</v>
      </c>
      <c r="AN33">
        <v>-320</v>
      </c>
      <c r="AO33" t="s">
        <v>182</v>
      </c>
      <c r="AP33" t="s">
        <v>1205</v>
      </c>
      <c r="AQ33" t="s">
        <v>1206</v>
      </c>
      <c r="AU33">
        <v>308.5</v>
      </c>
      <c r="AV33" t="s">
        <v>1099</v>
      </c>
      <c r="AW33" t="s">
        <v>219</v>
      </c>
      <c r="AX33" t="s">
        <v>1100</v>
      </c>
      <c r="BA33">
        <v>104017</v>
      </c>
      <c r="BB33" t="s">
        <v>1136</v>
      </c>
      <c r="BE33" t="s">
        <v>1110</v>
      </c>
      <c r="BF33" t="s">
        <v>174</v>
      </c>
      <c r="BG33" t="s">
        <v>183</v>
      </c>
      <c r="BL33">
        <v>0.01</v>
      </c>
      <c r="BM33" t="s">
        <v>1112</v>
      </c>
      <c r="CM33">
        <v>0</v>
      </c>
      <c r="CN33" t="s">
        <v>1137</v>
      </c>
      <c r="CR33">
        <v>0</v>
      </c>
      <c r="CS33">
        <v>0</v>
      </c>
      <c r="CT33">
        <v>50</v>
      </c>
      <c r="CU33">
        <v>37.5</v>
      </c>
      <c r="CV33" t="s">
        <v>1101</v>
      </c>
      <c r="CX33" t="s">
        <v>240</v>
      </c>
      <c r="CZ33" t="s">
        <v>428</v>
      </c>
      <c r="DC33">
        <v>60</v>
      </c>
      <c r="DD33" t="s">
        <v>232</v>
      </c>
      <c r="DE33" t="s">
        <v>1102</v>
      </c>
      <c r="DF33" t="s">
        <v>447</v>
      </c>
      <c r="DG33">
        <v>100</v>
      </c>
      <c r="DH33">
        <v>850</v>
      </c>
      <c r="DN33">
        <v>1</v>
      </c>
      <c r="DV33">
        <v>0</v>
      </c>
      <c r="DW33">
        <v>0</v>
      </c>
      <c r="DX33">
        <v>0</v>
      </c>
      <c r="EA33" t="s">
        <v>1163</v>
      </c>
      <c r="EC33" t="s">
        <v>1204</v>
      </c>
      <c r="EE33" t="s">
        <v>1105</v>
      </c>
      <c r="EF33">
        <v>0</v>
      </c>
      <c r="EI33">
        <v>5010</v>
      </c>
      <c r="EJ33">
        <v>1</v>
      </c>
      <c r="EK33" t="s">
        <v>1106</v>
      </c>
      <c r="EQ33">
        <v>0</v>
      </c>
      <c r="ER33" t="s">
        <v>1133</v>
      </c>
      <c r="ET33">
        <v>0</v>
      </c>
      <c r="EU33">
        <v>42.5</v>
      </c>
      <c r="EV33">
        <v>0</v>
      </c>
      <c r="EW33">
        <v>0</v>
      </c>
      <c r="EX33">
        <v>0</v>
      </c>
      <c r="EY33">
        <v>0</v>
      </c>
      <c r="FA33" t="s">
        <v>1146</v>
      </c>
      <c r="FD33" t="s">
        <v>183</v>
      </c>
      <c r="FE33">
        <v>0</v>
      </c>
      <c r="FF33">
        <v>0</v>
      </c>
      <c r="FG33">
        <v>0</v>
      </c>
      <c r="FI33">
        <v>0</v>
      </c>
      <c r="FM33">
        <v>0</v>
      </c>
      <c r="FO33">
        <v>0</v>
      </c>
      <c r="FP33" t="s">
        <v>1140</v>
      </c>
      <c r="FQ33">
        <v>12.5</v>
      </c>
      <c r="FS33">
        <v>0</v>
      </c>
      <c r="FU33" s="38">
        <v>46203</v>
      </c>
      <c r="FX33" t="s">
        <v>1207</v>
      </c>
      <c r="FY33">
        <v>0</v>
      </c>
      <c r="FZ33">
        <v>0</v>
      </c>
    </row>
    <row r="34" spans="1:182" x14ac:dyDescent="0.25">
      <c r="A34" t="s">
        <v>167</v>
      </c>
      <c r="B34" t="s">
        <v>168</v>
      </c>
      <c r="C34" t="s">
        <v>195</v>
      </c>
      <c r="D34" t="s">
        <v>170</v>
      </c>
      <c r="E34" t="s">
        <v>1097</v>
      </c>
      <c r="F34" t="s">
        <v>499</v>
      </c>
      <c r="I34">
        <v>0</v>
      </c>
      <c r="J34">
        <v>0</v>
      </c>
      <c r="M34">
        <v>0</v>
      </c>
      <c r="V34" t="s">
        <v>1098</v>
      </c>
      <c r="W34" s="38">
        <v>46175</v>
      </c>
      <c r="Y34">
        <v>0</v>
      </c>
      <c r="AD34">
        <v>0</v>
      </c>
      <c r="AE34">
        <v>0</v>
      </c>
      <c r="AI34" t="s">
        <v>310</v>
      </c>
      <c r="AJ34" t="s">
        <v>195</v>
      </c>
      <c r="AK34" t="s">
        <v>285</v>
      </c>
      <c r="AL34" s="38">
        <v>46174</v>
      </c>
      <c r="AM34">
        <v>-19.2</v>
      </c>
      <c r="AN34">
        <v>-320</v>
      </c>
      <c r="AO34" t="s">
        <v>286</v>
      </c>
      <c r="AP34" t="s">
        <v>183</v>
      </c>
      <c r="AQ34" t="s">
        <v>311</v>
      </c>
      <c r="AU34">
        <v>6834.26</v>
      </c>
      <c r="AV34" t="s">
        <v>1135</v>
      </c>
      <c r="AW34" t="s">
        <v>231</v>
      </c>
      <c r="AX34" t="s">
        <v>1100</v>
      </c>
      <c r="BA34">
        <v>104413</v>
      </c>
      <c r="BB34" t="s">
        <v>1136</v>
      </c>
      <c r="BE34" t="s">
        <v>1110</v>
      </c>
      <c r="BF34" t="s">
        <v>174</v>
      </c>
      <c r="BG34" t="s">
        <v>183</v>
      </c>
      <c r="BL34">
        <v>0.01</v>
      </c>
      <c r="BM34" t="s">
        <v>1112</v>
      </c>
      <c r="CM34">
        <v>0</v>
      </c>
      <c r="CN34" t="s">
        <v>1161</v>
      </c>
      <c r="CR34">
        <v>0</v>
      </c>
      <c r="CS34">
        <v>0</v>
      </c>
      <c r="CT34">
        <v>70</v>
      </c>
      <c r="CU34">
        <v>35.295099999999998</v>
      </c>
      <c r="CV34" t="s">
        <v>1101</v>
      </c>
      <c r="CX34" t="s">
        <v>240</v>
      </c>
      <c r="CZ34" t="s">
        <v>428</v>
      </c>
      <c r="DC34">
        <v>60</v>
      </c>
      <c r="DD34" t="s">
        <v>232</v>
      </c>
      <c r="DE34" t="s">
        <v>1102</v>
      </c>
      <c r="DF34" t="s">
        <v>447</v>
      </c>
      <c r="DG34">
        <v>100</v>
      </c>
      <c r="DH34">
        <v>850</v>
      </c>
      <c r="DN34">
        <v>1</v>
      </c>
      <c r="DP34" t="s">
        <v>1310</v>
      </c>
      <c r="DV34">
        <v>0</v>
      </c>
      <c r="DW34">
        <v>0</v>
      </c>
      <c r="DX34">
        <v>0</v>
      </c>
      <c r="EA34" t="s">
        <v>1163</v>
      </c>
      <c r="EC34" t="s">
        <v>1139</v>
      </c>
      <c r="EE34" t="s">
        <v>1105</v>
      </c>
      <c r="EF34">
        <v>99.18</v>
      </c>
      <c r="EI34">
        <v>0</v>
      </c>
      <c r="EJ34">
        <v>0</v>
      </c>
      <c r="EK34" t="s">
        <v>1164</v>
      </c>
      <c r="EQ34">
        <v>0</v>
      </c>
      <c r="ER34" t="s">
        <v>1133</v>
      </c>
      <c r="ET34">
        <v>0</v>
      </c>
      <c r="EU34">
        <v>64.7</v>
      </c>
      <c r="EV34">
        <v>0</v>
      </c>
      <c r="EW34">
        <v>0</v>
      </c>
      <c r="EX34">
        <v>0</v>
      </c>
      <c r="EY34">
        <v>0</v>
      </c>
      <c r="FA34" t="s">
        <v>1146</v>
      </c>
      <c r="FD34" t="s">
        <v>183</v>
      </c>
      <c r="FE34">
        <v>0</v>
      </c>
      <c r="FF34">
        <v>0</v>
      </c>
      <c r="FG34">
        <v>0</v>
      </c>
      <c r="FI34">
        <v>0</v>
      </c>
      <c r="FM34">
        <v>0</v>
      </c>
      <c r="FO34">
        <v>0</v>
      </c>
      <c r="FP34" t="s">
        <v>1140</v>
      </c>
      <c r="FQ34">
        <v>32.5</v>
      </c>
      <c r="FS34">
        <v>0</v>
      </c>
      <c r="FU34" s="38">
        <v>46234</v>
      </c>
      <c r="FX34" t="s">
        <v>1311</v>
      </c>
      <c r="FY34">
        <v>0</v>
      </c>
      <c r="FZ34">
        <v>0</v>
      </c>
    </row>
    <row r="35" spans="1:182" x14ac:dyDescent="0.25">
      <c r="A35" t="s">
        <v>167</v>
      </c>
      <c r="B35" t="s">
        <v>168</v>
      </c>
      <c r="C35" t="s">
        <v>195</v>
      </c>
      <c r="D35" t="s">
        <v>170</v>
      </c>
      <c r="E35" t="s">
        <v>1097</v>
      </c>
      <c r="F35" t="s">
        <v>499</v>
      </c>
      <c r="I35">
        <v>0</v>
      </c>
      <c r="J35">
        <v>0</v>
      </c>
      <c r="M35">
        <v>0</v>
      </c>
      <c r="V35" t="s">
        <v>1098</v>
      </c>
      <c r="Y35">
        <v>0</v>
      </c>
      <c r="AD35">
        <v>150954</v>
      </c>
      <c r="AE35">
        <v>170051</v>
      </c>
      <c r="AF35" s="38">
        <v>46176</v>
      </c>
      <c r="AG35" s="38">
        <v>46182</v>
      </c>
      <c r="AH35" t="s">
        <v>1124</v>
      </c>
      <c r="AI35" t="s">
        <v>202</v>
      </c>
      <c r="AJ35" t="s">
        <v>195</v>
      </c>
      <c r="AK35" t="s">
        <v>197</v>
      </c>
      <c r="AL35" s="38">
        <v>46042</v>
      </c>
      <c r="AM35">
        <v>-64.8</v>
      </c>
      <c r="AN35">
        <v>-1080</v>
      </c>
      <c r="AO35" t="s">
        <v>173</v>
      </c>
      <c r="AP35" t="s">
        <v>174</v>
      </c>
      <c r="AQ35" t="s">
        <v>189</v>
      </c>
      <c r="AR35" t="s">
        <v>1208</v>
      </c>
      <c r="AU35">
        <v>363.35</v>
      </c>
      <c r="AV35" t="s">
        <v>1099</v>
      </c>
      <c r="AW35" t="s">
        <v>231</v>
      </c>
      <c r="AX35" t="s">
        <v>1100</v>
      </c>
      <c r="AY35" t="s">
        <v>542</v>
      </c>
      <c r="BA35">
        <v>0</v>
      </c>
      <c r="BL35">
        <v>0</v>
      </c>
      <c r="CM35">
        <v>0</v>
      </c>
      <c r="CN35" t="s">
        <v>188</v>
      </c>
      <c r="CR35">
        <v>0</v>
      </c>
      <c r="CS35">
        <v>0</v>
      </c>
      <c r="CT35">
        <v>123</v>
      </c>
      <c r="CU35">
        <v>111.0001</v>
      </c>
      <c r="CV35" t="s">
        <v>1185</v>
      </c>
      <c r="CX35" t="s">
        <v>198</v>
      </c>
      <c r="CZ35" t="s">
        <v>428</v>
      </c>
      <c r="DC35">
        <v>60</v>
      </c>
      <c r="DD35" t="s">
        <v>315</v>
      </c>
      <c r="DE35" t="s">
        <v>1102</v>
      </c>
      <c r="DF35" t="s">
        <v>447</v>
      </c>
      <c r="DG35">
        <v>100</v>
      </c>
      <c r="DH35">
        <v>850</v>
      </c>
      <c r="DJ35" t="s">
        <v>234</v>
      </c>
      <c r="DN35">
        <v>1</v>
      </c>
      <c r="DP35" t="s">
        <v>1195</v>
      </c>
      <c r="DV35">
        <v>0</v>
      </c>
      <c r="DW35">
        <v>0</v>
      </c>
      <c r="DX35">
        <v>0</v>
      </c>
      <c r="EA35" t="s">
        <v>1129</v>
      </c>
      <c r="EC35" t="s">
        <v>1196</v>
      </c>
      <c r="EE35" t="s">
        <v>1131</v>
      </c>
      <c r="EF35">
        <v>0</v>
      </c>
      <c r="EI35">
        <v>0</v>
      </c>
      <c r="EJ35">
        <v>0</v>
      </c>
      <c r="EK35" t="s">
        <v>1164</v>
      </c>
      <c r="EQ35">
        <v>0</v>
      </c>
      <c r="ER35" t="s">
        <v>1133</v>
      </c>
      <c r="ET35">
        <v>0</v>
      </c>
      <c r="EU35">
        <v>82</v>
      </c>
      <c r="EV35">
        <v>0</v>
      </c>
      <c r="EW35">
        <v>0</v>
      </c>
      <c r="EX35">
        <v>0</v>
      </c>
      <c r="EY35">
        <v>0</v>
      </c>
      <c r="FE35">
        <v>0</v>
      </c>
      <c r="FF35">
        <v>0</v>
      </c>
      <c r="FG35">
        <v>0</v>
      </c>
      <c r="FI35">
        <v>0</v>
      </c>
      <c r="FM35">
        <v>0</v>
      </c>
      <c r="FO35">
        <v>0</v>
      </c>
      <c r="FQ35">
        <v>0</v>
      </c>
      <c r="FS35">
        <v>0</v>
      </c>
      <c r="FU35" s="38">
        <v>46234</v>
      </c>
      <c r="FY35">
        <v>0</v>
      </c>
      <c r="FZ35">
        <v>0</v>
      </c>
    </row>
    <row r="36" spans="1:182" x14ac:dyDescent="0.25">
      <c r="A36" t="s">
        <v>167</v>
      </c>
      <c r="B36" t="s">
        <v>168</v>
      </c>
      <c r="C36" t="s">
        <v>195</v>
      </c>
      <c r="D36" t="s">
        <v>170</v>
      </c>
      <c r="E36" t="s">
        <v>1097</v>
      </c>
      <c r="F36" t="s">
        <v>499</v>
      </c>
      <c r="I36">
        <v>0</v>
      </c>
      <c r="J36">
        <v>0</v>
      </c>
      <c r="M36">
        <v>0</v>
      </c>
      <c r="V36" t="s">
        <v>1098</v>
      </c>
      <c r="Y36">
        <v>0</v>
      </c>
      <c r="AD36">
        <v>150956</v>
      </c>
      <c r="AE36">
        <v>170053</v>
      </c>
      <c r="AF36" s="38">
        <v>46177</v>
      </c>
      <c r="AG36" s="38">
        <v>46182</v>
      </c>
      <c r="AH36" t="s">
        <v>1124</v>
      </c>
      <c r="AI36" t="s">
        <v>208</v>
      </c>
      <c r="AJ36" t="s">
        <v>195</v>
      </c>
      <c r="AK36" t="s">
        <v>197</v>
      </c>
      <c r="AL36" s="38">
        <v>46042</v>
      </c>
      <c r="AM36">
        <v>-43.2</v>
      </c>
      <c r="AN36">
        <v>-720</v>
      </c>
      <c r="AO36" t="s">
        <v>173</v>
      </c>
      <c r="AP36" t="s">
        <v>174</v>
      </c>
      <c r="AQ36" t="s">
        <v>189</v>
      </c>
      <c r="AR36">
        <v>2000054365</v>
      </c>
      <c r="AU36">
        <v>353.35</v>
      </c>
      <c r="AV36" t="s">
        <v>1099</v>
      </c>
      <c r="AW36" t="s">
        <v>231</v>
      </c>
      <c r="AX36" t="s">
        <v>1100</v>
      </c>
      <c r="AY36" t="s">
        <v>544</v>
      </c>
      <c r="BA36">
        <v>0</v>
      </c>
      <c r="BL36">
        <v>0</v>
      </c>
      <c r="CM36">
        <v>0</v>
      </c>
      <c r="CN36" t="s">
        <v>188</v>
      </c>
      <c r="CR36">
        <v>0</v>
      </c>
      <c r="CS36">
        <v>0</v>
      </c>
      <c r="CT36">
        <v>113</v>
      </c>
      <c r="CU36">
        <v>101.0001</v>
      </c>
      <c r="CV36" t="s">
        <v>1185</v>
      </c>
      <c r="CX36" t="s">
        <v>200</v>
      </c>
      <c r="CZ36" t="s">
        <v>428</v>
      </c>
      <c r="DC36">
        <v>60</v>
      </c>
      <c r="DD36" t="s">
        <v>315</v>
      </c>
      <c r="DE36" t="s">
        <v>1102</v>
      </c>
      <c r="DF36" t="s">
        <v>447</v>
      </c>
      <c r="DG36">
        <v>100</v>
      </c>
      <c r="DH36">
        <v>850</v>
      </c>
      <c r="DJ36" t="s">
        <v>234</v>
      </c>
      <c r="DN36">
        <v>1</v>
      </c>
      <c r="DV36">
        <v>0</v>
      </c>
      <c r="DW36">
        <v>0</v>
      </c>
      <c r="DX36">
        <v>0</v>
      </c>
      <c r="EA36" t="s">
        <v>1129</v>
      </c>
      <c r="EC36" t="s">
        <v>1196</v>
      </c>
      <c r="EE36" t="s">
        <v>1131</v>
      </c>
      <c r="EF36">
        <v>0</v>
      </c>
      <c r="EI36">
        <v>0</v>
      </c>
      <c r="EJ36">
        <v>0</v>
      </c>
      <c r="EK36" t="s">
        <v>1164</v>
      </c>
      <c r="EQ36">
        <v>0</v>
      </c>
      <c r="ER36" t="s">
        <v>1133</v>
      </c>
      <c r="ET36">
        <v>0</v>
      </c>
      <c r="EU36">
        <v>72</v>
      </c>
      <c r="EV36">
        <v>0</v>
      </c>
      <c r="EW36">
        <v>0</v>
      </c>
      <c r="EX36">
        <v>0</v>
      </c>
      <c r="EY36">
        <v>0</v>
      </c>
      <c r="FE36">
        <v>0</v>
      </c>
      <c r="FF36">
        <v>0</v>
      </c>
      <c r="FG36">
        <v>0</v>
      </c>
      <c r="FI36">
        <v>0</v>
      </c>
      <c r="FM36">
        <v>0</v>
      </c>
      <c r="FO36">
        <v>0</v>
      </c>
      <c r="FQ36">
        <v>0</v>
      </c>
      <c r="FS36">
        <v>0</v>
      </c>
      <c r="FU36" s="38">
        <v>46234</v>
      </c>
      <c r="FY36">
        <v>0</v>
      </c>
      <c r="FZ36">
        <v>0</v>
      </c>
    </row>
    <row r="37" spans="1:182" x14ac:dyDescent="0.25">
      <c r="A37" t="s">
        <v>167</v>
      </c>
      <c r="B37" t="s">
        <v>168</v>
      </c>
      <c r="C37" t="s">
        <v>195</v>
      </c>
      <c r="D37" t="s">
        <v>170</v>
      </c>
      <c r="E37" t="s">
        <v>1097</v>
      </c>
      <c r="F37" t="s">
        <v>499</v>
      </c>
      <c r="I37">
        <v>0</v>
      </c>
      <c r="J37">
        <v>0</v>
      </c>
      <c r="M37">
        <v>0</v>
      </c>
      <c r="V37" t="s">
        <v>1098</v>
      </c>
      <c r="Y37">
        <v>0</v>
      </c>
      <c r="AD37">
        <v>151076</v>
      </c>
      <c r="AE37">
        <v>170175</v>
      </c>
      <c r="AF37" s="38">
        <v>46181</v>
      </c>
      <c r="AI37" t="s">
        <v>243</v>
      </c>
      <c r="AJ37" t="s">
        <v>195</v>
      </c>
      <c r="AK37" t="s">
        <v>227</v>
      </c>
      <c r="AL37" s="38">
        <v>46125</v>
      </c>
      <c r="AM37">
        <v>-19.2</v>
      </c>
      <c r="AN37">
        <v>-320</v>
      </c>
      <c r="AO37" t="s">
        <v>173</v>
      </c>
      <c r="AP37" t="s">
        <v>174</v>
      </c>
      <c r="AQ37" t="s">
        <v>205</v>
      </c>
      <c r="AR37" t="s">
        <v>1209</v>
      </c>
      <c r="AU37">
        <v>0</v>
      </c>
      <c r="AV37" t="s">
        <v>1099</v>
      </c>
      <c r="AW37" t="s">
        <v>231</v>
      </c>
      <c r="AX37" t="s">
        <v>1100</v>
      </c>
      <c r="BA37">
        <v>0</v>
      </c>
      <c r="BL37">
        <v>0</v>
      </c>
      <c r="CM37">
        <v>0</v>
      </c>
      <c r="CN37" t="s">
        <v>1152</v>
      </c>
      <c r="CR37">
        <v>0</v>
      </c>
      <c r="CS37">
        <v>0</v>
      </c>
      <c r="CT37">
        <v>35</v>
      </c>
      <c r="CU37">
        <v>30.196400000000001</v>
      </c>
      <c r="CV37" t="s">
        <v>1185</v>
      </c>
      <c r="CX37" t="s">
        <v>51</v>
      </c>
      <c r="CZ37" t="s">
        <v>428</v>
      </c>
      <c r="DC37">
        <v>60</v>
      </c>
      <c r="DD37" t="s">
        <v>232</v>
      </c>
      <c r="DE37" t="s">
        <v>1102</v>
      </c>
      <c r="DF37" t="s">
        <v>509</v>
      </c>
      <c r="DG37">
        <v>100</v>
      </c>
      <c r="DH37">
        <v>850</v>
      </c>
      <c r="DJ37" t="s">
        <v>228</v>
      </c>
      <c r="DN37">
        <v>1</v>
      </c>
      <c r="DV37">
        <v>0</v>
      </c>
      <c r="DW37">
        <v>0</v>
      </c>
      <c r="DX37">
        <v>0</v>
      </c>
      <c r="EA37" t="s">
        <v>1153</v>
      </c>
      <c r="EC37" t="s">
        <v>1104</v>
      </c>
      <c r="EE37" t="s">
        <v>1105</v>
      </c>
      <c r="EF37">
        <v>0</v>
      </c>
      <c r="EG37" t="s">
        <v>1210</v>
      </c>
      <c r="EI37">
        <v>0</v>
      </c>
      <c r="EJ37">
        <v>0</v>
      </c>
      <c r="EK37" t="s">
        <v>1164</v>
      </c>
      <c r="EQ37">
        <v>0</v>
      </c>
      <c r="ER37" t="s">
        <v>1133</v>
      </c>
      <c r="ET37">
        <v>0</v>
      </c>
      <c r="EU37">
        <v>34.799999999999997</v>
      </c>
      <c r="EV37">
        <v>0</v>
      </c>
      <c r="EW37">
        <v>0</v>
      </c>
      <c r="EX37">
        <v>0</v>
      </c>
      <c r="EY37">
        <v>0</v>
      </c>
      <c r="FE37">
        <v>0</v>
      </c>
      <c r="FF37">
        <v>0</v>
      </c>
      <c r="FG37">
        <v>0</v>
      </c>
      <c r="FI37">
        <v>0</v>
      </c>
      <c r="FM37">
        <v>0</v>
      </c>
      <c r="FO37">
        <v>0</v>
      </c>
      <c r="FQ37">
        <v>0</v>
      </c>
      <c r="FS37">
        <v>0</v>
      </c>
      <c r="FU37" s="38">
        <v>46234</v>
      </c>
      <c r="FY37">
        <v>0</v>
      </c>
      <c r="FZ37">
        <v>0</v>
      </c>
    </row>
    <row r="38" spans="1:182" x14ac:dyDescent="0.25">
      <c r="A38" t="s">
        <v>167</v>
      </c>
      <c r="B38" t="s">
        <v>168</v>
      </c>
      <c r="C38" t="s">
        <v>195</v>
      </c>
      <c r="D38" t="s">
        <v>170</v>
      </c>
      <c r="E38" t="s">
        <v>1097</v>
      </c>
      <c r="F38" t="s">
        <v>499</v>
      </c>
      <c r="I38">
        <v>0</v>
      </c>
      <c r="J38">
        <v>0</v>
      </c>
      <c r="M38">
        <v>0</v>
      </c>
      <c r="V38" t="s">
        <v>1098</v>
      </c>
      <c r="Y38">
        <v>0</v>
      </c>
      <c r="AD38">
        <v>0</v>
      </c>
      <c r="AE38">
        <v>0</v>
      </c>
      <c r="AI38" t="s">
        <v>209</v>
      </c>
      <c r="AJ38" t="s">
        <v>195</v>
      </c>
      <c r="AK38" t="s">
        <v>197</v>
      </c>
      <c r="AL38" s="38">
        <v>46042</v>
      </c>
      <c r="AM38">
        <v>-64.8</v>
      </c>
      <c r="AN38">
        <v>-1080</v>
      </c>
      <c r="AO38" t="s">
        <v>173</v>
      </c>
      <c r="AP38" t="s">
        <v>174</v>
      </c>
      <c r="AQ38" t="s">
        <v>189</v>
      </c>
      <c r="AR38" t="s">
        <v>1211</v>
      </c>
      <c r="AU38">
        <v>0</v>
      </c>
      <c r="AV38" t="s">
        <v>1099</v>
      </c>
      <c r="AW38" t="s">
        <v>278</v>
      </c>
      <c r="AX38" t="s">
        <v>1100</v>
      </c>
      <c r="AY38" t="s">
        <v>542</v>
      </c>
      <c r="BA38">
        <v>0</v>
      </c>
      <c r="BL38">
        <v>0</v>
      </c>
      <c r="CM38">
        <v>0</v>
      </c>
      <c r="CN38" t="s">
        <v>188</v>
      </c>
      <c r="CR38">
        <v>0</v>
      </c>
      <c r="CS38">
        <v>0</v>
      </c>
      <c r="CT38">
        <v>123</v>
      </c>
      <c r="CU38">
        <v>111.0001</v>
      </c>
      <c r="CV38" t="s">
        <v>1186</v>
      </c>
      <c r="CX38" t="s">
        <v>198</v>
      </c>
      <c r="CZ38" t="s">
        <v>428</v>
      </c>
      <c r="DC38">
        <v>60</v>
      </c>
      <c r="DD38" t="s">
        <v>315</v>
      </c>
      <c r="DE38" t="s">
        <v>1102</v>
      </c>
      <c r="DF38" t="s">
        <v>447</v>
      </c>
      <c r="DG38">
        <v>100</v>
      </c>
      <c r="DH38">
        <v>850</v>
      </c>
      <c r="DJ38" t="s">
        <v>234</v>
      </c>
      <c r="DN38">
        <v>1</v>
      </c>
      <c r="DP38" t="s">
        <v>1195</v>
      </c>
      <c r="DV38">
        <v>0</v>
      </c>
      <c r="DW38">
        <v>0</v>
      </c>
      <c r="DX38">
        <v>0</v>
      </c>
      <c r="EA38" t="s">
        <v>1129</v>
      </c>
      <c r="EC38" t="s">
        <v>1196</v>
      </c>
      <c r="EE38" t="s">
        <v>1131</v>
      </c>
      <c r="EF38">
        <v>0</v>
      </c>
      <c r="EI38">
        <v>0</v>
      </c>
      <c r="EJ38">
        <v>0</v>
      </c>
      <c r="EK38" t="s">
        <v>1164</v>
      </c>
      <c r="EQ38">
        <v>0</v>
      </c>
      <c r="ER38" t="s">
        <v>1133</v>
      </c>
      <c r="ET38">
        <v>0</v>
      </c>
      <c r="EU38">
        <v>82</v>
      </c>
      <c r="EV38">
        <v>0</v>
      </c>
      <c r="EW38">
        <v>0</v>
      </c>
      <c r="EX38">
        <v>0</v>
      </c>
      <c r="EY38">
        <v>0</v>
      </c>
      <c r="FE38">
        <v>0</v>
      </c>
      <c r="FF38">
        <v>0</v>
      </c>
      <c r="FG38">
        <v>0</v>
      </c>
      <c r="FI38">
        <v>0</v>
      </c>
      <c r="FM38">
        <v>0</v>
      </c>
      <c r="FO38">
        <v>0</v>
      </c>
      <c r="FQ38">
        <v>0</v>
      </c>
      <c r="FS38">
        <v>0</v>
      </c>
      <c r="FU38" s="38">
        <v>46265</v>
      </c>
      <c r="FY38">
        <v>0</v>
      </c>
      <c r="FZ38">
        <v>0</v>
      </c>
    </row>
    <row r="39" spans="1:182" x14ac:dyDescent="0.25">
      <c r="A39" t="s">
        <v>167</v>
      </c>
      <c r="B39" t="s">
        <v>168</v>
      </c>
      <c r="C39" t="s">
        <v>195</v>
      </c>
      <c r="D39" t="s">
        <v>170</v>
      </c>
      <c r="E39" t="s">
        <v>1097</v>
      </c>
      <c r="F39" t="s">
        <v>499</v>
      </c>
      <c r="I39">
        <v>0</v>
      </c>
      <c r="J39">
        <v>0</v>
      </c>
      <c r="M39">
        <v>0</v>
      </c>
      <c r="V39" t="s">
        <v>1098</v>
      </c>
      <c r="Y39">
        <v>0</v>
      </c>
      <c r="AD39">
        <v>0</v>
      </c>
      <c r="AE39">
        <v>0</v>
      </c>
      <c r="AI39" t="s">
        <v>210</v>
      </c>
      <c r="AJ39" t="s">
        <v>195</v>
      </c>
      <c r="AK39" t="s">
        <v>197</v>
      </c>
      <c r="AL39" s="38">
        <v>46042</v>
      </c>
      <c r="AM39">
        <v>-64.8</v>
      </c>
      <c r="AN39">
        <v>-1080</v>
      </c>
      <c r="AO39" t="s">
        <v>173</v>
      </c>
      <c r="AP39" t="s">
        <v>174</v>
      </c>
      <c r="AQ39" t="s">
        <v>189</v>
      </c>
      <c r="AR39">
        <v>2000054366</v>
      </c>
      <c r="AU39">
        <v>0</v>
      </c>
      <c r="AV39" t="s">
        <v>1099</v>
      </c>
      <c r="AW39" t="s">
        <v>278</v>
      </c>
      <c r="AX39" t="s">
        <v>1100</v>
      </c>
      <c r="AY39" t="s">
        <v>544</v>
      </c>
      <c r="BA39">
        <v>0</v>
      </c>
      <c r="BL39">
        <v>0</v>
      </c>
      <c r="CM39">
        <v>0</v>
      </c>
      <c r="CN39" t="s">
        <v>188</v>
      </c>
      <c r="CR39">
        <v>0</v>
      </c>
      <c r="CS39">
        <v>0</v>
      </c>
      <c r="CT39">
        <v>113</v>
      </c>
      <c r="CU39">
        <v>101.0001</v>
      </c>
      <c r="CV39" t="s">
        <v>1186</v>
      </c>
      <c r="CX39" t="s">
        <v>200</v>
      </c>
      <c r="CZ39" t="s">
        <v>428</v>
      </c>
      <c r="DC39">
        <v>60</v>
      </c>
      <c r="DD39" t="s">
        <v>315</v>
      </c>
      <c r="DE39" t="s">
        <v>1102</v>
      </c>
      <c r="DF39" t="s">
        <v>447</v>
      </c>
      <c r="DG39">
        <v>100</v>
      </c>
      <c r="DH39">
        <v>850</v>
      </c>
      <c r="DJ39" t="s">
        <v>234</v>
      </c>
      <c r="DN39">
        <v>1</v>
      </c>
      <c r="DV39">
        <v>0</v>
      </c>
      <c r="DW39">
        <v>0</v>
      </c>
      <c r="DX39">
        <v>0</v>
      </c>
      <c r="EA39" t="s">
        <v>1129</v>
      </c>
      <c r="EC39" t="s">
        <v>1196</v>
      </c>
      <c r="EE39" t="s">
        <v>1131</v>
      </c>
      <c r="EF39">
        <v>0</v>
      </c>
      <c r="EI39">
        <v>0</v>
      </c>
      <c r="EJ39">
        <v>0</v>
      </c>
      <c r="EK39" t="s">
        <v>1164</v>
      </c>
      <c r="EQ39">
        <v>0</v>
      </c>
      <c r="ER39" t="s">
        <v>1133</v>
      </c>
      <c r="ET39">
        <v>0</v>
      </c>
      <c r="EU39">
        <v>72</v>
      </c>
      <c r="EV39">
        <v>0</v>
      </c>
      <c r="EW39">
        <v>0</v>
      </c>
      <c r="EX39">
        <v>0</v>
      </c>
      <c r="EY39">
        <v>0</v>
      </c>
      <c r="FE39">
        <v>0</v>
      </c>
      <c r="FF39">
        <v>0</v>
      </c>
      <c r="FG39">
        <v>0</v>
      </c>
      <c r="FI39">
        <v>0</v>
      </c>
      <c r="FM39">
        <v>0</v>
      </c>
      <c r="FO39">
        <v>0</v>
      </c>
      <c r="FQ39">
        <v>0</v>
      </c>
      <c r="FS39">
        <v>0</v>
      </c>
      <c r="FU39" s="38">
        <v>46265</v>
      </c>
      <c r="FY39">
        <v>0</v>
      </c>
      <c r="FZ39">
        <v>0</v>
      </c>
    </row>
    <row r="40" spans="1:182" x14ac:dyDescent="0.25">
      <c r="A40" t="s">
        <v>167</v>
      </c>
      <c r="B40" t="s">
        <v>168</v>
      </c>
      <c r="C40" t="s">
        <v>195</v>
      </c>
      <c r="D40" t="s">
        <v>170</v>
      </c>
      <c r="E40" t="s">
        <v>1097</v>
      </c>
      <c r="F40" t="s">
        <v>499</v>
      </c>
      <c r="I40">
        <v>0</v>
      </c>
      <c r="J40">
        <v>0</v>
      </c>
      <c r="M40">
        <v>0</v>
      </c>
      <c r="V40" t="s">
        <v>1098</v>
      </c>
      <c r="Y40">
        <v>0</v>
      </c>
      <c r="AD40">
        <v>0</v>
      </c>
      <c r="AE40">
        <v>0</v>
      </c>
      <c r="AI40" t="s">
        <v>1257</v>
      </c>
      <c r="AJ40" t="s">
        <v>195</v>
      </c>
      <c r="AK40" t="s">
        <v>242</v>
      </c>
      <c r="AL40" s="38">
        <v>46188</v>
      </c>
      <c r="AM40">
        <v>-108</v>
      </c>
      <c r="AN40">
        <v>-1800</v>
      </c>
      <c r="AO40" t="s">
        <v>173</v>
      </c>
      <c r="AP40" t="s">
        <v>174</v>
      </c>
      <c r="AQ40" t="s">
        <v>189</v>
      </c>
      <c r="AR40" t="s">
        <v>1258</v>
      </c>
      <c r="AU40">
        <v>0</v>
      </c>
      <c r="AV40" t="s">
        <v>1099</v>
      </c>
      <c r="AW40" t="s">
        <v>278</v>
      </c>
      <c r="AX40" t="s">
        <v>1100</v>
      </c>
      <c r="BA40">
        <v>0</v>
      </c>
      <c r="BL40">
        <v>0</v>
      </c>
      <c r="CM40">
        <v>0</v>
      </c>
      <c r="CN40" t="s">
        <v>1199</v>
      </c>
      <c r="CR40">
        <v>0</v>
      </c>
      <c r="CS40">
        <v>0</v>
      </c>
      <c r="CT40">
        <v>50</v>
      </c>
      <c r="CU40">
        <v>36.889200000000002</v>
      </c>
      <c r="CV40" t="s">
        <v>1186</v>
      </c>
      <c r="CX40" t="s">
        <v>1259</v>
      </c>
      <c r="CZ40" t="s">
        <v>428</v>
      </c>
      <c r="DC40">
        <v>60</v>
      </c>
      <c r="DD40" t="s">
        <v>232</v>
      </c>
      <c r="DE40" t="s">
        <v>1102</v>
      </c>
      <c r="DF40" t="s">
        <v>507</v>
      </c>
      <c r="DG40">
        <v>100</v>
      </c>
      <c r="DH40">
        <v>850</v>
      </c>
      <c r="DJ40" t="s">
        <v>1260</v>
      </c>
      <c r="DN40">
        <v>1</v>
      </c>
      <c r="DP40" t="s">
        <v>1261</v>
      </c>
      <c r="DV40">
        <v>0</v>
      </c>
      <c r="DW40">
        <v>0</v>
      </c>
      <c r="DX40">
        <v>0</v>
      </c>
      <c r="EA40" t="s">
        <v>1200</v>
      </c>
      <c r="EC40" t="s">
        <v>1201</v>
      </c>
      <c r="EE40" t="s">
        <v>1131</v>
      </c>
      <c r="EF40">
        <v>0</v>
      </c>
      <c r="EI40">
        <v>0</v>
      </c>
      <c r="EJ40">
        <v>0</v>
      </c>
      <c r="EK40" t="s">
        <v>1164</v>
      </c>
      <c r="EQ40">
        <v>0</v>
      </c>
      <c r="ER40" t="s">
        <v>1133</v>
      </c>
      <c r="ET40">
        <v>0</v>
      </c>
      <c r="EU40">
        <v>36.11</v>
      </c>
      <c r="EV40">
        <v>0</v>
      </c>
      <c r="EW40">
        <v>0</v>
      </c>
      <c r="EX40">
        <v>0</v>
      </c>
      <c r="EY40">
        <v>0</v>
      </c>
      <c r="FE40">
        <v>0</v>
      </c>
      <c r="FF40">
        <v>0</v>
      </c>
      <c r="FG40">
        <v>0</v>
      </c>
      <c r="FI40">
        <v>0</v>
      </c>
      <c r="FM40">
        <v>0</v>
      </c>
      <c r="FO40">
        <v>0</v>
      </c>
      <c r="FQ40">
        <v>0</v>
      </c>
      <c r="FS40">
        <v>0</v>
      </c>
      <c r="FU40" s="38">
        <v>46568</v>
      </c>
      <c r="FY40">
        <v>0</v>
      </c>
      <c r="FZ40">
        <v>0</v>
      </c>
    </row>
    <row r="41" spans="1:182" x14ac:dyDescent="0.25">
      <c r="A41" t="s">
        <v>167</v>
      </c>
      <c r="B41" t="s">
        <v>168</v>
      </c>
      <c r="C41" t="s">
        <v>195</v>
      </c>
      <c r="D41" t="s">
        <v>170</v>
      </c>
      <c r="E41" t="s">
        <v>1097</v>
      </c>
      <c r="F41" t="s">
        <v>499</v>
      </c>
      <c r="I41">
        <v>0</v>
      </c>
      <c r="J41">
        <v>0</v>
      </c>
      <c r="M41">
        <v>0</v>
      </c>
      <c r="V41" t="s">
        <v>1098</v>
      </c>
      <c r="Y41">
        <v>0</v>
      </c>
      <c r="AD41">
        <v>0</v>
      </c>
      <c r="AE41">
        <v>0</v>
      </c>
      <c r="AI41" t="s">
        <v>211</v>
      </c>
      <c r="AJ41" t="s">
        <v>195</v>
      </c>
      <c r="AK41" t="s">
        <v>197</v>
      </c>
      <c r="AL41" s="38">
        <v>46042</v>
      </c>
      <c r="AM41">
        <v>-64.8</v>
      </c>
      <c r="AN41">
        <v>-1080</v>
      </c>
      <c r="AO41" t="s">
        <v>173</v>
      </c>
      <c r="AP41" t="s">
        <v>174</v>
      </c>
      <c r="AQ41" t="s">
        <v>189</v>
      </c>
      <c r="AR41" t="s">
        <v>1212</v>
      </c>
      <c r="AU41">
        <v>0</v>
      </c>
      <c r="AV41" t="s">
        <v>1099</v>
      </c>
      <c r="AW41" t="s">
        <v>314</v>
      </c>
      <c r="AX41" t="s">
        <v>1100</v>
      </c>
      <c r="AY41" t="s">
        <v>542</v>
      </c>
      <c r="BA41">
        <v>0</v>
      </c>
      <c r="BL41">
        <v>0</v>
      </c>
      <c r="CM41">
        <v>0</v>
      </c>
      <c r="CN41" t="s">
        <v>188</v>
      </c>
      <c r="CR41">
        <v>0</v>
      </c>
      <c r="CS41">
        <v>0</v>
      </c>
      <c r="CT41">
        <v>133</v>
      </c>
      <c r="CU41">
        <v>120.9996</v>
      </c>
      <c r="CV41" t="s">
        <v>1189</v>
      </c>
      <c r="CX41" t="s">
        <v>198</v>
      </c>
      <c r="CZ41" t="s">
        <v>428</v>
      </c>
      <c r="DC41">
        <v>60</v>
      </c>
      <c r="DD41" t="s">
        <v>290</v>
      </c>
      <c r="DE41" t="s">
        <v>1102</v>
      </c>
      <c r="DF41" t="s">
        <v>447</v>
      </c>
      <c r="DG41">
        <v>100</v>
      </c>
      <c r="DH41">
        <v>850</v>
      </c>
      <c r="DJ41" t="s">
        <v>234</v>
      </c>
      <c r="DN41">
        <v>1</v>
      </c>
      <c r="DP41" t="s">
        <v>1195</v>
      </c>
      <c r="DV41">
        <v>0</v>
      </c>
      <c r="DW41">
        <v>0</v>
      </c>
      <c r="DX41">
        <v>0</v>
      </c>
      <c r="EA41" t="s">
        <v>1129</v>
      </c>
      <c r="EC41" t="s">
        <v>1196</v>
      </c>
      <c r="EE41" t="s">
        <v>1131</v>
      </c>
      <c r="EF41">
        <v>0</v>
      </c>
      <c r="EI41">
        <v>0</v>
      </c>
      <c r="EJ41">
        <v>0</v>
      </c>
      <c r="EK41" t="s">
        <v>1164</v>
      </c>
      <c r="EQ41">
        <v>0</v>
      </c>
      <c r="ER41" t="s">
        <v>1133</v>
      </c>
      <c r="ET41">
        <v>0</v>
      </c>
      <c r="EU41">
        <v>82</v>
      </c>
      <c r="EV41">
        <v>0</v>
      </c>
      <c r="EW41">
        <v>0</v>
      </c>
      <c r="EX41">
        <v>0</v>
      </c>
      <c r="EY41">
        <v>0</v>
      </c>
      <c r="FE41">
        <v>0</v>
      </c>
      <c r="FF41">
        <v>0</v>
      </c>
      <c r="FG41">
        <v>0</v>
      </c>
      <c r="FI41">
        <v>0</v>
      </c>
      <c r="FM41">
        <v>0</v>
      </c>
      <c r="FO41">
        <v>0</v>
      </c>
      <c r="FQ41">
        <v>0</v>
      </c>
      <c r="FS41">
        <v>0</v>
      </c>
      <c r="FU41" s="38">
        <v>46295</v>
      </c>
      <c r="FY41">
        <v>0</v>
      </c>
      <c r="FZ41">
        <v>0</v>
      </c>
    </row>
    <row r="42" spans="1:182" x14ac:dyDescent="0.25">
      <c r="A42" t="s">
        <v>167</v>
      </c>
      <c r="B42" t="s">
        <v>168</v>
      </c>
      <c r="C42" t="s">
        <v>195</v>
      </c>
      <c r="D42" t="s">
        <v>170</v>
      </c>
      <c r="E42" t="s">
        <v>1097</v>
      </c>
      <c r="F42" t="s">
        <v>499</v>
      </c>
      <c r="I42">
        <v>0</v>
      </c>
      <c r="J42">
        <v>0</v>
      </c>
      <c r="M42">
        <v>0</v>
      </c>
      <c r="V42" t="s">
        <v>1098</v>
      </c>
      <c r="Y42">
        <v>0</v>
      </c>
      <c r="AD42">
        <v>0</v>
      </c>
      <c r="AE42">
        <v>0</v>
      </c>
      <c r="AI42" t="s">
        <v>212</v>
      </c>
      <c r="AJ42" t="s">
        <v>195</v>
      </c>
      <c r="AK42" t="s">
        <v>197</v>
      </c>
      <c r="AL42" s="38">
        <v>46042</v>
      </c>
      <c r="AM42">
        <v>-64.8</v>
      </c>
      <c r="AN42">
        <v>-1080</v>
      </c>
      <c r="AO42" t="s">
        <v>173</v>
      </c>
      <c r="AP42" t="s">
        <v>174</v>
      </c>
      <c r="AQ42" t="s">
        <v>189</v>
      </c>
      <c r="AR42">
        <v>2000054367</v>
      </c>
      <c r="AU42">
        <v>0</v>
      </c>
      <c r="AV42" t="s">
        <v>1099</v>
      </c>
      <c r="AW42" t="s">
        <v>314</v>
      </c>
      <c r="AX42" t="s">
        <v>1100</v>
      </c>
      <c r="AY42" t="s">
        <v>544</v>
      </c>
      <c r="BA42">
        <v>0</v>
      </c>
      <c r="BL42">
        <v>0</v>
      </c>
      <c r="CM42">
        <v>0</v>
      </c>
      <c r="CN42" t="s">
        <v>188</v>
      </c>
      <c r="CR42">
        <v>0</v>
      </c>
      <c r="CS42">
        <v>0</v>
      </c>
      <c r="CT42">
        <v>123</v>
      </c>
      <c r="CU42">
        <v>111.0001</v>
      </c>
      <c r="CV42" t="s">
        <v>1189</v>
      </c>
      <c r="CX42" t="s">
        <v>200</v>
      </c>
      <c r="CZ42" t="s">
        <v>428</v>
      </c>
      <c r="DC42">
        <v>60</v>
      </c>
      <c r="DD42" t="s">
        <v>290</v>
      </c>
      <c r="DE42" t="s">
        <v>1102</v>
      </c>
      <c r="DF42" t="s">
        <v>447</v>
      </c>
      <c r="DG42">
        <v>100</v>
      </c>
      <c r="DH42">
        <v>850</v>
      </c>
      <c r="DJ42" t="s">
        <v>234</v>
      </c>
      <c r="DN42">
        <v>1</v>
      </c>
      <c r="DV42">
        <v>0</v>
      </c>
      <c r="DW42">
        <v>0</v>
      </c>
      <c r="DX42">
        <v>0</v>
      </c>
      <c r="EA42" t="s">
        <v>1129</v>
      </c>
      <c r="EC42" t="s">
        <v>1196</v>
      </c>
      <c r="EE42" t="s">
        <v>1131</v>
      </c>
      <c r="EF42">
        <v>0</v>
      </c>
      <c r="EI42">
        <v>0</v>
      </c>
      <c r="EJ42">
        <v>0</v>
      </c>
      <c r="EK42" t="s">
        <v>1164</v>
      </c>
      <c r="EQ42">
        <v>0</v>
      </c>
      <c r="ER42" t="s">
        <v>1133</v>
      </c>
      <c r="ET42">
        <v>0</v>
      </c>
      <c r="EU42">
        <v>72</v>
      </c>
      <c r="EV42">
        <v>0</v>
      </c>
      <c r="EW42">
        <v>0</v>
      </c>
      <c r="EX42">
        <v>0</v>
      </c>
      <c r="EY42">
        <v>0</v>
      </c>
      <c r="FE42">
        <v>0</v>
      </c>
      <c r="FF42">
        <v>0</v>
      </c>
      <c r="FG42">
        <v>0</v>
      </c>
      <c r="FI42">
        <v>0</v>
      </c>
      <c r="FM42">
        <v>0</v>
      </c>
      <c r="FO42">
        <v>0</v>
      </c>
      <c r="FQ42">
        <v>0</v>
      </c>
      <c r="FS42">
        <v>0</v>
      </c>
      <c r="FU42" s="38">
        <v>46295</v>
      </c>
      <c r="FY42">
        <v>0</v>
      </c>
      <c r="FZ42">
        <v>0</v>
      </c>
    </row>
    <row r="43" spans="1:182" x14ac:dyDescent="0.25">
      <c r="A43" t="s">
        <v>167</v>
      </c>
      <c r="B43" t="s">
        <v>168</v>
      </c>
      <c r="C43" t="s">
        <v>195</v>
      </c>
      <c r="D43" t="s">
        <v>170</v>
      </c>
      <c r="E43" t="s">
        <v>1097</v>
      </c>
      <c r="F43" t="s">
        <v>499</v>
      </c>
      <c r="I43">
        <v>0</v>
      </c>
      <c r="J43">
        <v>0</v>
      </c>
      <c r="M43">
        <v>0</v>
      </c>
      <c r="V43" t="s">
        <v>1098</v>
      </c>
      <c r="Y43">
        <v>0</v>
      </c>
      <c r="AD43">
        <v>0</v>
      </c>
      <c r="AE43">
        <v>0</v>
      </c>
      <c r="AI43" t="s">
        <v>1262</v>
      </c>
      <c r="AJ43" t="s">
        <v>195</v>
      </c>
      <c r="AK43" t="s">
        <v>242</v>
      </c>
      <c r="AL43" s="38">
        <v>46188</v>
      </c>
      <c r="AM43">
        <v>-108</v>
      </c>
      <c r="AN43">
        <v>-1800</v>
      </c>
      <c r="AO43" t="s">
        <v>173</v>
      </c>
      <c r="AP43" t="s">
        <v>174</v>
      </c>
      <c r="AQ43" t="s">
        <v>189</v>
      </c>
      <c r="AR43" t="s">
        <v>1258</v>
      </c>
      <c r="AU43">
        <v>0</v>
      </c>
      <c r="AV43" t="s">
        <v>1099</v>
      </c>
      <c r="AW43" t="s">
        <v>314</v>
      </c>
      <c r="AX43" t="s">
        <v>1100</v>
      </c>
      <c r="BA43">
        <v>0</v>
      </c>
      <c r="BL43">
        <v>0</v>
      </c>
      <c r="CM43">
        <v>0</v>
      </c>
      <c r="CN43" t="s">
        <v>1199</v>
      </c>
      <c r="CR43">
        <v>0</v>
      </c>
      <c r="CS43">
        <v>0</v>
      </c>
      <c r="CT43">
        <v>65</v>
      </c>
      <c r="CU43">
        <v>51.266399999999997</v>
      </c>
      <c r="CV43" t="s">
        <v>1189</v>
      </c>
      <c r="CX43" t="s">
        <v>51</v>
      </c>
      <c r="CZ43" t="s">
        <v>428</v>
      </c>
      <c r="DC43">
        <v>60</v>
      </c>
      <c r="DD43" t="s">
        <v>315</v>
      </c>
      <c r="DE43" t="s">
        <v>1102</v>
      </c>
      <c r="DF43" t="s">
        <v>507</v>
      </c>
      <c r="DG43">
        <v>100</v>
      </c>
      <c r="DH43">
        <v>850</v>
      </c>
      <c r="DN43">
        <v>1</v>
      </c>
      <c r="DV43">
        <v>0</v>
      </c>
      <c r="DW43">
        <v>0</v>
      </c>
      <c r="DX43">
        <v>0</v>
      </c>
      <c r="EA43" t="s">
        <v>1200</v>
      </c>
      <c r="EC43" t="s">
        <v>1201</v>
      </c>
      <c r="EE43" t="s">
        <v>1131</v>
      </c>
      <c r="EF43">
        <v>0</v>
      </c>
      <c r="EI43">
        <v>0</v>
      </c>
      <c r="EJ43">
        <v>0</v>
      </c>
      <c r="EK43" t="s">
        <v>1164</v>
      </c>
      <c r="EQ43">
        <v>0</v>
      </c>
      <c r="ER43" t="s">
        <v>1133</v>
      </c>
      <c r="ET43">
        <v>0</v>
      </c>
      <c r="EU43">
        <v>43.73</v>
      </c>
      <c r="EV43">
        <v>0</v>
      </c>
      <c r="EW43">
        <v>0</v>
      </c>
      <c r="EX43">
        <v>0</v>
      </c>
      <c r="EY43">
        <v>0</v>
      </c>
      <c r="FE43">
        <v>0</v>
      </c>
      <c r="FF43">
        <v>0</v>
      </c>
      <c r="FG43">
        <v>0</v>
      </c>
      <c r="FI43">
        <v>0</v>
      </c>
      <c r="FM43">
        <v>0</v>
      </c>
      <c r="FO43">
        <v>0</v>
      </c>
      <c r="FQ43">
        <v>0</v>
      </c>
      <c r="FS43">
        <v>0</v>
      </c>
      <c r="FU43" s="38">
        <v>46599</v>
      </c>
      <c r="FY43">
        <v>0</v>
      </c>
      <c r="FZ43">
        <v>0</v>
      </c>
    </row>
    <row r="44" spans="1:182" x14ac:dyDescent="0.25">
      <c r="A44" t="s">
        <v>167</v>
      </c>
      <c r="B44" t="s">
        <v>168</v>
      </c>
      <c r="C44" t="s">
        <v>195</v>
      </c>
      <c r="D44" t="s">
        <v>170</v>
      </c>
      <c r="E44" t="s">
        <v>1097</v>
      </c>
      <c r="F44" t="s">
        <v>499</v>
      </c>
      <c r="I44">
        <v>0</v>
      </c>
      <c r="J44">
        <v>0</v>
      </c>
      <c r="M44">
        <v>0</v>
      </c>
      <c r="V44" t="s">
        <v>1098</v>
      </c>
      <c r="Y44">
        <v>0</v>
      </c>
      <c r="AD44">
        <v>0</v>
      </c>
      <c r="AE44">
        <v>0</v>
      </c>
      <c r="AI44" t="s">
        <v>1263</v>
      </c>
      <c r="AJ44" t="s">
        <v>195</v>
      </c>
      <c r="AK44" t="s">
        <v>242</v>
      </c>
      <c r="AL44" s="38">
        <v>46188</v>
      </c>
      <c r="AM44">
        <v>-108</v>
      </c>
      <c r="AN44">
        <v>-1800</v>
      </c>
      <c r="AO44" t="s">
        <v>173</v>
      </c>
      <c r="AP44" t="s">
        <v>174</v>
      </c>
      <c r="AQ44" t="s">
        <v>189</v>
      </c>
      <c r="AR44" t="s">
        <v>1258</v>
      </c>
      <c r="AU44">
        <v>0</v>
      </c>
      <c r="AV44" t="s">
        <v>1099</v>
      </c>
      <c r="AW44" t="s">
        <v>314</v>
      </c>
      <c r="AX44" t="s">
        <v>1100</v>
      </c>
      <c r="BA44">
        <v>0</v>
      </c>
      <c r="BL44">
        <v>0</v>
      </c>
      <c r="CM44">
        <v>0</v>
      </c>
      <c r="CN44" t="s">
        <v>1199</v>
      </c>
      <c r="CR44">
        <v>0</v>
      </c>
      <c r="CS44">
        <v>0</v>
      </c>
      <c r="CT44">
        <v>50</v>
      </c>
      <c r="CU44">
        <v>36.920499999999997</v>
      </c>
      <c r="CV44" t="s">
        <v>1189</v>
      </c>
      <c r="CX44" t="s">
        <v>1259</v>
      </c>
      <c r="CZ44" t="s">
        <v>428</v>
      </c>
      <c r="DC44">
        <v>60</v>
      </c>
      <c r="DD44" t="s">
        <v>315</v>
      </c>
      <c r="DE44" t="s">
        <v>1102</v>
      </c>
      <c r="DF44" t="s">
        <v>507</v>
      </c>
      <c r="DG44">
        <v>100</v>
      </c>
      <c r="DH44">
        <v>850</v>
      </c>
      <c r="DJ44" t="s">
        <v>1260</v>
      </c>
      <c r="DN44">
        <v>1</v>
      </c>
      <c r="DP44" t="s">
        <v>1261</v>
      </c>
      <c r="DV44">
        <v>0</v>
      </c>
      <c r="DW44">
        <v>0</v>
      </c>
      <c r="DX44">
        <v>0</v>
      </c>
      <c r="EA44" t="s">
        <v>1200</v>
      </c>
      <c r="EC44" t="s">
        <v>1201</v>
      </c>
      <c r="EE44" t="s">
        <v>1131</v>
      </c>
      <c r="EF44">
        <v>0</v>
      </c>
      <c r="EI44">
        <v>0</v>
      </c>
      <c r="EJ44">
        <v>0</v>
      </c>
      <c r="EK44" t="s">
        <v>1164</v>
      </c>
      <c r="EQ44">
        <v>0</v>
      </c>
      <c r="ER44" t="s">
        <v>1133</v>
      </c>
      <c r="ET44">
        <v>0</v>
      </c>
      <c r="EU44">
        <v>36.08</v>
      </c>
      <c r="EV44">
        <v>0</v>
      </c>
      <c r="EW44">
        <v>0</v>
      </c>
      <c r="EX44">
        <v>0</v>
      </c>
      <c r="EY44">
        <v>0</v>
      </c>
      <c r="FE44">
        <v>0</v>
      </c>
      <c r="FF44">
        <v>0</v>
      </c>
      <c r="FG44">
        <v>0</v>
      </c>
      <c r="FI44">
        <v>0</v>
      </c>
      <c r="FM44">
        <v>0</v>
      </c>
      <c r="FO44">
        <v>0</v>
      </c>
      <c r="FQ44">
        <v>0</v>
      </c>
      <c r="FS44">
        <v>0</v>
      </c>
      <c r="FU44" s="38">
        <v>46599</v>
      </c>
      <c r="FY44">
        <v>0</v>
      </c>
      <c r="FZ44">
        <v>0</v>
      </c>
    </row>
    <row r="45" spans="1:182" x14ac:dyDescent="0.25">
      <c r="A45" t="s">
        <v>167</v>
      </c>
      <c r="B45" t="s">
        <v>168</v>
      </c>
      <c r="C45" t="s">
        <v>195</v>
      </c>
      <c r="D45" t="s">
        <v>170</v>
      </c>
      <c r="E45" t="s">
        <v>1097</v>
      </c>
      <c r="F45" t="s">
        <v>499</v>
      </c>
      <c r="I45">
        <v>0</v>
      </c>
      <c r="J45">
        <v>0</v>
      </c>
      <c r="M45">
        <v>0</v>
      </c>
      <c r="V45" t="s">
        <v>1098</v>
      </c>
      <c r="Y45">
        <v>0</v>
      </c>
      <c r="AD45">
        <v>0</v>
      </c>
      <c r="AE45">
        <v>0</v>
      </c>
      <c r="AI45" t="s">
        <v>213</v>
      </c>
      <c r="AJ45" t="s">
        <v>195</v>
      </c>
      <c r="AK45" t="s">
        <v>197</v>
      </c>
      <c r="AL45" s="38">
        <v>46042</v>
      </c>
      <c r="AM45">
        <v>-64.8</v>
      </c>
      <c r="AN45">
        <v>-1080</v>
      </c>
      <c r="AO45" t="s">
        <v>173</v>
      </c>
      <c r="AP45" t="s">
        <v>174</v>
      </c>
      <c r="AQ45" t="s">
        <v>189</v>
      </c>
      <c r="AR45" t="s">
        <v>1213</v>
      </c>
      <c r="AU45">
        <v>0</v>
      </c>
      <c r="AV45" t="s">
        <v>1099</v>
      </c>
      <c r="AW45" t="s">
        <v>1214</v>
      </c>
      <c r="AX45" t="s">
        <v>1100</v>
      </c>
      <c r="AY45" t="s">
        <v>542</v>
      </c>
      <c r="BA45">
        <v>0</v>
      </c>
      <c r="BL45">
        <v>0</v>
      </c>
      <c r="CM45">
        <v>0</v>
      </c>
      <c r="CN45" t="s">
        <v>188</v>
      </c>
      <c r="CR45">
        <v>0</v>
      </c>
      <c r="CS45">
        <v>0</v>
      </c>
      <c r="CT45">
        <v>133</v>
      </c>
      <c r="CU45">
        <v>121.0001</v>
      </c>
      <c r="CV45" t="s">
        <v>1215</v>
      </c>
      <c r="CX45" t="s">
        <v>198</v>
      </c>
      <c r="CZ45" t="s">
        <v>428</v>
      </c>
      <c r="DC45">
        <v>60</v>
      </c>
      <c r="DD45" t="s">
        <v>290</v>
      </c>
      <c r="DE45" t="s">
        <v>1102</v>
      </c>
      <c r="DF45" t="s">
        <v>447</v>
      </c>
      <c r="DG45">
        <v>100</v>
      </c>
      <c r="DH45">
        <v>850</v>
      </c>
      <c r="DJ45" t="s">
        <v>234</v>
      </c>
      <c r="DN45">
        <v>1</v>
      </c>
      <c r="DP45" t="s">
        <v>1195</v>
      </c>
      <c r="DV45">
        <v>0</v>
      </c>
      <c r="DW45">
        <v>0</v>
      </c>
      <c r="DX45">
        <v>0</v>
      </c>
      <c r="EA45" t="s">
        <v>1129</v>
      </c>
      <c r="EC45" t="s">
        <v>1196</v>
      </c>
      <c r="EE45" t="s">
        <v>1131</v>
      </c>
      <c r="EF45">
        <v>0</v>
      </c>
      <c r="EI45">
        <v>0</v>
      </c>
      <c r="EJ45">
        <v>0</v>
      </c>
      <c r="EK45" t="s">
        <v>1164</v>
      </c>
      <c r="EQ45">
        <v>0</v>
      </c>
      <c r="ER45" t="s">
        <v>1133</v>
      </c>
      <c r="ET45">
        <v>0</v>
      </c>
      <c r="EU45">
        <v>82</v>
      </c>
      <c r="EV45">
        <v>0</v>
      </c>
      <c r="EW45">
        <v>0</v>
      </c>
      <c r="EX45">
        <v>0</v>
      </c>
      <c r="EY45">
        <v>0</v>
      </c>
      <c r="FE45">
        <v>0</v>
      </c>
      <c r="FF45">
        <v>0</v>
      </c>
      <c r="FG45">
        <v>0</v>
      </c>
      <c r="FI45">
        <v>0</v>
      </c>
      <c r="FM45">
        <v>0</v>
      </c>
      <c r="FO45">
        <v>0</v>
      </c>
      <c r="FQ45">
        <v>0</v>
      </c>
      <c r="FS45">
        <v>0</v>
      </c>
      <c r="FU45" s="38">
        <v>46326</v>
      </c>
      <c r="FY45">
        <v>0</v>
      </c>
      <c r="FZ45">
        <v>0</v>
      </c>
    </row>
    <row r="46" spans="1:182" x14ac:dyDescent="0.25">
      <c r="A46" t="s">
        <v>167</v>
      </c>
      <c r="B46" t="s">
        <v>168</v>
      </c>
      <c r="C46" t="s">
        <v>195</v>
      </c>
      <c r="D46" t="s">
        <v>170</v>
      </c>
      <c r="E46" t="s">
        <v>1097</v>
      </c>
      <c r="F46" t="s">
        <v>499</v>
      </c>
      <c r="I46">
        <v>0</v>
      </c>
      <c r="J46">
        <v>0</v>
      </c>
      <c r="M46">
        <v>0</v>
      </c>
      <c r="V46" t="s">
        <v>1098</v>
      </c>
      <c r="Y46">
        <v>0</v>
      </c>
      <c r="AD46">
        <v>0</v>
      </c>
      <c r="AE46">
        <v>0</v>
      </c>
      <c r="AI46" t="s">
        <v>214</v>
      </c>
      <c r="AJ46" t="s">
        <v>195</v>
      </c>
      <c r="AK46" t="s">
        <v>197</v>
      </c>
      <c r="AL46" s="38">
        <v>46042</v>
      </c>
      <c r="AM46">
        <v>-64.8</v>
      </c>
      <c r="AN46">
        <v>-1080</v>
      </c>
      <c r="AO46" t="s">
        <v>173</v>
      </c>
      <c r="AP46" t="s">
        <v>174</v>
      </c>
      <c r="AQ46" t="s">
        <v>189</v>
      </c>
      <c r="AR46">
        <v>2000054368</v>
      </c>
      <c r="AU46">
        <v>0</v>
      </c>
      <c r="AV46" t="s">
        <v>1099</v>
      </c>
      <c r="AW46" t="s">
        <v>1214</v>
      </c>
      <c r="AX46" t="s">
        <v>1100</v>
      </c>
      <c r="AY46" t="s">
        <v>544</v>
      </c>
      <c r="BA46">
        <v>0</v>
      </c>
      <c r="BL46">
        <v>0</v>
      </c>
      <c r="CM46">
        <v>0</v>
      </c>
      <c r="CN46" t="s">
        <v>188</v>
      </c>
      <c r="CR46">
        <v>0</v>
      </c>
      <c r="CS46">
        <v>0</v>
      </c>
      <c r="CT46">
        <v>123</v>
      </c>
      <c r="CU46">
        <v>111.0001</v>
      </c>
      <c r="CV46" t="s">
        <v>1215</v>
      </c>
      <c r="CX46" t="s">
        <v>200</v>
      </c>
      <c r="CZ46" t="s">
        <v>428</v>
      </c>
      <c r="DC46">
        <v>60</v>
      </c>
      <c r="DD46" t="s">
        <v>290</v>
      </c>
      <c r="DE46" t="s">
        <v>1102</v>
      </c>
      <c r="DF46" t="s">
        <v>447</v>
      </c>
      <c r="DG46">
        <v>100</v>
      </c>
      <c r="DH46">
        <v>850</v>
      </c>
      <c r="DJ46" t="s">
        <v>234</v>
      </c>
      <c r="DN46">
        <v>1</v>
      </c>
      <c r="DV46">
        <v>0</v>
      </c>
      <c r="DW46">
        <v>0</v>
      </c>
      <c r="DX46">
        <v>0</v>
      </c>
      <c r="EA46" t="s">
        <v>1129</v>
      </c>
      <c r="EC46" t="s">
        <v>1196</v>
      </c>
      <c r="EE46" t="s">
        <v>1131</v>
      </c>
      <c r="EF46">
        <v>0</v>
      </c>
      <c r="EI46">
        <v>0</v>
      </c>
      <c r="EJ46">
        <v>0</v>
      </c>
      <c r="EK46" t="s">
        <v>1164</v>
      </c>
      <c r="EQ46">
        <v>0</v>
      </c>
      <c r="ER46" t="s">
        <v>1133</v>
      </c>
      <c r="ET46">
        <v>0</v>
      </c>
      <c r="EU46">
        <v>72</v>
      </c>
      <c r="EV46">
        <v>0</v>
      </c>
      <c r="EW46">
        <v>0</v>
      </c>
      <c r="EX46">
        <v>0</v>
      </c>
      <c r="EY46">
        <v>0</v>
      </c>
      <c r="FE46">
        <v>0</v>
      </c>
      <c r="FF46">
        <v>0</v>
      </c>
      <c r="FG46">
        <v>0</v>
      </c>
      <c r="FI46">
        <v>0</v>
      </c>
      <c r="FM46">
        <v>0</v>
      </c>
      <c r="FO46">
        <v>0</v>
      </c>
      <c r="FQ46">
        <v>0</v>
      </c>
      <c r="FS46">
        <v>0</v>
      </c>
      <c r="FU46" s="38">
        <v>46326</v>
      </c>
      <c r="FY46">
        <v>0</v>
      </c>
      <c r="FZ46">
        <v>0</v>
      </c>
    </row>
    <row r="47" spans="1:182" x14ac:dyDescent="0.25">
      <c r="A47" t="s">
        <v>167</v>
      </c>
      <c r="B47" t="s">
        <v>168</v>
      </c>
      <c r="C47" t="s">
        <v>195</v>
      </c>
      <c r="D47" t="s">
        <v>170</v>
      </c>
      <c r="E47" t="s">
        <v>1097</v>
      </c>
      <c r="F47" t="s">
        <v>499</v>
      </c>
      <c r="I47">
        <v>0</v>
      </c>
      <c r="J47">
        <v>0</v>
      </c>
      <c r="M47">
        <v>0</v>
      </c>
      <c r="V47" t="s">
        <v>1098</v>
      </c>
      <c r="Y47">
        <v>0</v>
      </c>
      <c r="AD47">
        <v>0</v>
      </c>
      <c r="AE47">
        <v>0</v>
      </c>
      <c r="AI47" t="s">
        <v>215</v>
      </c>
      <c r="AJ47" t="s">
        <v>195</v>
      </c>
      <c r="AK47" t="s">
        <v>197</v>
      </c>
      <c r="AL47" s="38">
        <v>46042</v>
      </c>
      <c r="AM47">
        <v>-43.2</v>
      </c>
      <c r="AN47">
        <v>-720</v>
      </c>
      <c r="AO47" t="s">
        <v>173</v>
      </c>
      <c r="AP47" t="s">
        <v>174</v>
      </c>
      <c r="AQ47" t="s">
        <v>189</v>
      </c>
      <c r="AR47" t="s">
        <v>1216</v>
      </c>
      <c r="AU47">
        <v>0</v>
      </c>
      <c r="AV47" t="s">
        <v>1099</v>
      </c>
      <c r="AW47" t="s">
        <v>1217</v>
      </c>
      <c r="AX47" t="s">
        <v>1100</v>
      </c>
      <c r="AY47" t="s">
        <v>542</v>
      </c>
      <c r="BA47">
        <v>0</v>
      </c>
      <c r="BL47">
        <v>0</v>
      </c>
      <c r="CM47">
        <v>0</v>
      </c>
      <c r="CN47" t="s">
        <v>188</v>
      </c>
      <c r="CR47">
        <v>0</v>
      </c>
      <c r="CS47">
        <v>0</v>
      </c>
      <c r="CT47">
        <v>133</v>
      </c>
      <c r="CU47">
        <v>120.9996</v>
      </c>
      <c r="CV47" t="s">
        <v>1218</v>
      </c>
      <c r="CX47" t="s">
        <v>198</v>
      </c>
      <c r="CZ47" t="s">
        <v>428</v>
      </c>
      <c r="DC47">
        <v>60</v>
      </c>
      <c r="DD47" t="s">
        <v>290</v>
      </c>
      <c r="DE47" t="s">
        <v>1102</v>
      </c>
      <c r="DF47" t="s">
        <v>447</v>
      </c>
      <c r="DG47">
        <v>100</v>
      </c>
      <c r="DH47">
        <v>850</v>
      </c>
      <c r="DJ47" t="s">
        <v>234</v>
      </c>
      <c r="DN47">
        <v>1</v>
      </c>
      <c r="DP47" t="s">
        <v>1195</v>
      </c>
      <c r="DV47">
        <v>0</v>
      </c>
      <c r="DW47">
        <v>0</v>
      </c>
      <c r="DX47">
        <v>0</v>
      </c>
      <c r="EA47" t="s">
        <v>1129</v>
      </c>
      <c r="EC47" t="s">
        <v>1196</v>
      </c>
      <c r="EE47" t="s">
        <v>1131</v>
      </c>
      <c r="EF47">
        <v>0</v>
      </c>
      <c r="EI47">
        <v>0</v>
      </c>
      <c r="EJ47">
        <v>0</v>
      </c>
      <c r="EK47" t="s">
        <v>1164</v>
      </c>
      <c r="EQ47">
        <v>0</v>
      </c>
      <c r="ER47" t="s">
        <v>1133</v>
      </c>
      <c r="ET47">
        <v>0</v>
      </c>
      <c r="EU47">
        <v>82</v>
      </c>
      <c r="EV47">
        <v>0</v>
      </c>
      <c r="EW47">
        <v>0</v>
      </c>
      <c r="EX47">
        <v>0</v>
      </c>
      <c r="EY47">
        <v>0</v>
      </c>
      <c r="FE47">
        <v>0</v>
      </c>
      <c r="FF47">
        <v>0</v>
      </c>
      <c r="FG47">
        <v>0</v>
      </c>
      <c r="FI47">
        <v>0</v>
      </c>
      <c r="FM47">
        <v>0</v>
      </c>
      <c r="FO47">
        <v>0</v>
      </c>
      <c r="FQ47">
        <v>0</v>
      </c>
      <c r="FS47">
        <v>0</v>
      </c>
      <c r="FU47" s="38">
        <v>46356</v>
      </c>
      <c r="FY47">
        <v>0</v>
      </c>
      <c r="FZ47">
        <v>0</v>
      </c>
    </row>
    <row r="48" spans="1:182" x14ac:dyDescent="0.25">
      <c r="A48" t="s">
        <v>167</v>
      </c>
      <c r="B48" t="s">
        <v>168</v>
      </c>
      <c r="C48" t="s">
        <v>195</v>
      </c>
      <c r="D48" t="s">
        <v>170</v>
      </c>
      <c r="E48" t="s">
        <v>1097</v>
      </c>
      <c r="F48" t="s">
        <v>499</v>
      </c>
      <c r="I48">
        <v>0</v>
      </c>
      <c r="J48">
        <v>0</v>
      </c>
      <c r="M48">
        <v>0</v>
      </c>
      <c r="V48" t="s">
        <v>1098</v>
      </c>
      <c r="Y48">
        <v>0</v>
      </c>
      <c r="AD48">
        <v>0</v>
      </c>
      <c r="AE48">
        <v>0</v>
      </c>
      <c r="AI48" t="s">
        <v>216</v>
      </c>
      <c r="AJ48" t="s">
        <v>195</v>
      </c>
      <c r="AK48" t="s">
        <v>197</v>
      </c>
      <c r="AL48" s="38">
        <v>46042</v>
      </c>
      <c r="AM48">
        <v>-43.2</v>
      </c>
      <c r="AN48">
        <v>-720</v>
      </c>
      <c r="AO48" t="s">
        <v>173</v>
      </c>
      <c r="AP48" t="s">
        <v>174</v>
      </c>
      <c r="AQ48" t="s">
        <v>189</v>
      </c>
      <c r="AR48">
        <v>2000054369</v>
      </c>
      <c r="AU48">
        <v>0</v>
      </c>
      <c r="AV48" t="s">
        <v>1099</v>
      </c>
      <c r="AW48" t="s">
        <v>1217</v>
      </c>
      <c r="AX48" t="s">
        <v>1100</v>
      </c>
      <c r="AY48" t="s">
        <v>544</v>
      </c>
      <c r="BA48">
        <v>0</v>
      </c>
      <c r="BL48">
        <v>0</v>
      </c>
      <c r="CM48">
        <v>0</v>
      </c>
      <c r="CN48" t="s">
        <v>188</v>
      </c>
      <c r="CR48">
        <v>0</v>
      </c>
      <c r="CS48">
        <v>0</v>
      </c>
      <c r="CT48">
        <v>123</v>
      </c>
      <c r="CU48">
        <v>111.0001</v>
      </c>
      <c r="CV48" t="s">
        <v>1218</v>
      </c>
      <c r="CX48" t="s">
        <v>200</v>
      </c>
      <c r="CZ48" t="s">
        <v>428</v>
      </c>
      <c r="DC48">
        <v>60</v>
      </c>
      <c r="DD48" t="s">
        <v>290</v>
      </c>
      <c r="DE48" t="s">
        <v>1102</v>
      </c>
      <c r="DF48" t="s">
        <v>447</v>
      </c>
      <c r="DG48">
        <v>100</v>
      </c>
      <c r="DH48">
        <v>850</v>
      </c>
      <c r="DJ48" t="s">
        <v>234</v>
      </c>
      <c r="DN48">
        <v>1</v>
      </c>
      <c r="DV48">
        <v>0</v>
      </c>
      <c r="DW48">
        <v>0</v>
      </c>
      <c r="DX48">
        <v>0</v>
      </c>
      <c r="EA48" t="s">
        <v>1129</v>
      </c>
      <c r="EC48" t="s">
        <v>1196</v>
      </c>
      <c r="EE48" t="s">
        <v>1131</v>
      </c>
      <c r="EF48">
        <v>0</v>
      </c>
      <c r="EI48">
        <v>0</v>
      </c>
      <c r="EJ48">
        <v>0</v>
      </c>
      <c r="EK48" t="s">
        <v>1164</v>
      </c>
      <c r="EQ48">
        <v>0</v>
      </c>
      <c r="ER48" t="s">
        <v>1133</v>
      </c>
      <c r="ET48">
        <v>0</v>
      </c>
      <c r="EU48">
        <v>72</v>
      </c>
      <c r="EV48">
        <v>0</v>
      </c>
      <c r="EW48">
        <v>0</v>
      </c>
      <c r="EX48">
        <v>0</v>
      </c>
      <c r="EY48">
        <v>0</v>
      </c>
      <c r="FE48">
        <v>0</v>
      </c>
      <c r="FF48">
        <v>0</v>
      </c>
      <c r="FG48">
        <v>0</v>
      </c>
      <c r="FI48">
        <v>0</v>
      </c>
      <c r="FM48">
        <v>0</v>
      </c>
      <c r="FO48">
        <v>0</v>
      </c>
      <c r="FQ48">
        <v>0</v>
      </c>
      <c r="FS48">
        <v>0</v>
      </c>
      <c r="FU48" s="38">
        <v>46356</v>
      </c>
      <c r="FY48">
        <v>0</v>
      </c>
      <c r="FZ48">
        <v>0</v>
      </c>
    </row>
    <row r="49" spans="1:182" x14ac:dyDescent="0.25">
      <c r="A49" t="s">
        <v>167</v>
      </c>
      <c r="B49" t="s">
        <v>168</v>
      </c>
      <c r="C49" t="s">
        <v>224</v>
      </c>
      <c r="D49" t="s">
        <v>170</v>
      </c>
      <c r="E49" t="s">
        <v>1097</v>
      </c>
      <c r="F49" t="s">
        <v>499</v>
      </c>
      <c r="I49">
        <v>0</v>
      </c>
      <c r="J49">
        <v>0</v>
      </c>
      <c r="M49">
        <v>0</v>
      </c>
      <c r="V49" t="s">
        <v>1098</v>
      </c>
      <c r="Y49">
        <v>0</v>
      </c>
      <c r="AD49">
        <v>151247</v>
      </c>
      <c r="AE49">
        <v>170364</v>
      </c>
      <c r="AF49" s="38">
        <v>46190</v>
      </c>
      <c r="AI49" t="s">
        <v>265</v>
      </c>
      <c r="AJ49" t="s">
        <v>224</v>
      </c>
      <c r="AK49" t="s">
        <v>248</v>
      </c>
      <c r="AL49" s="38">
        <v>46013</v>
      </c>
      <c r="AM49">
        <v>-50.4</v>
      </c>
      <c r="AN49">
        <v>-840</v>
      </c>
      <c r="AO49" t="s">
        <v>173</v>
      </c>
      <c r="AP49" t="s">
        <v>174</v>
      </c>
      <c r="AQ49" t="s">
        <v>189</v>
      </c>
      <c r="AR49" t="s">
        <v>1219</v>
      </c>
      <c r="AU49">
        <v>277.25</v>
      </c>
      <c r="AV49" t="s">
        <v>1099</v>
      </c>
      <c r="AW49" t="s">
        <v>219</v>
      </c>
      <c r="AX49" t="s">
        <v>1100</v>
      </c>
      <c r="BA49">
        <v>0</v>
      </c>
      <c r="BL49">
        <v>0</v>
      </c>
      <c r="CM49">
        <v>0</v>
      </c>
      <c r="CN49" t="s">
        <v>1113</v>
      </c>
      <c r="CR49">
        <v>0</v>
      </c>
      <c r="CS49">
        <v>0</v>
      </c>
      <c r="CT49">
        <v>4</v>
      </c>
      <c r="CU49">
        <v>3.5242</v>
      </c>
      <c r="CV49" t="s">
        <v>1101</v>
      </c>
      <c r="CX49" t="s">
        <v>266</v>
      </c>
      <c r="CZ49" t="s">
        <v>428</v>
      </c>
      <c r="DC49">
        <v>60</v>
      </c>
      <c r="DD49" t="s">
        <v>186</v>
      </c>
      <c r="DE49" t="s">
        <v>1102</v>
      </c>
      <c r="DF49" t="s">
        <v>447</v>
      </c>
      <c r="DG49">
        <v>100</v>
      </c>
      <c r="DH49">
        <v>850</v>
      </c>
      <c r="DN49">
        <v>1</v>
      </c>
      <c r="DV49">
        <v>0</v>
      </c>
      <c r="DW49">
        <v>0</v>
      </c>
      <c r="DX49">
        <v>0</v>
      </c>
      <c r="EA49" t="s">
        <v>1129</v>
      </c>
      <c r="EC49" t="s">
        <v>1115</v>
      </c>
      <c r="EE49" t="s">
        <v>1131</v>
      </c>
      <c r="EF49">
        <v>0</v>
      </c>
      <c r="EG49" t="s">
        <v>1220</v>
      </c>
      <c r="EI49">
        <v>5010</v>
      </c>
      <c r="EJ49">
        <v>1</v>
      </c>
      <c r="EK49" t="s">
        <v>1106</v>
      </c>
      <c r="EQ49">
        <v>0</v>
      </c>
      <c r="ER49" t="s">
        <v>1133</v>
      </c>
      <c r="ET49">
        <v>0</v>
      </c>
      <c r="EU49">
        <v>20.48</v>
      </c>
      <c r="EV49">
        <v>0</v>
      </c>
      <c r="EW49">
        <v>0</v>
      </c>
      <c r="EX49">
        <v>0</v>
      </c>
      <c r="EY49">
        <v>0</v>
      </c>
      <c r="FE49">
        <v>0</v>
      </c>
      <c r="FF49">
        <v>0</v>
      </c>
      <c r="FG49">
        <v>0</v>
      </c>
      <c r="FI49">
        <v>0</v>
      </c>
      <c r="FM49">
        <v>0</v>
      </c>
      <c r="FO49">
        <v>0</v>
      </c>
      <c r="FQ49">
        <v>0</v>
      </c>
      <c r="FS49">
        <v>0</v>
      </c>
      <c r="FU49" s="38">
        <v>46203</v>
      </c>
      <c r="FY49">
        <v>0</v>
      </c>
      <c r="FZ49">
        <v>0</v>
      </c>
    </row>
    <row r="50" spans="1:182" x14ac:dyDescent="0.25">
      <c r="A50" t="s">
        <v>167</v>
      </c>
      <c r="B50" t="s">
        <v>168</v>
      </c>
      <c r="C50" t="s">
        <v>224</v>
      </c>
      <c r="D50" t="s">
        <v>170</v>
      </c>
      <c r="E50" t="s">
        <v>1097</v>
      </c>
      <c r="F50" t="s">
        <v>499</v>
      </c>
      <c r="I50">
        <v>0</v>
      </c>
      <c r="J50">
        <v>0</v>
      </c>
      <c r="M50">
        <v>0</v>
      </c>
      <c r="V50" t="s">
        <v>1098</v>
      </c>
      <c r="W50" s="38">
        <v>46190</v>
      </c>
      <c r="Y50">
        <v>0</v>
      </c>
      <c r="AD50">
        <v>150957</v>
      </c>
      <c r="AE50">
        <v>170054</v>
      </c>
      <c r="AF50" s="38">
        <v>46176</v>
      </c>
      <c r="AG50" s="38">
        <v>46188</v>
      </c>
      <c r="AH50" t="s">
        <v>1124</v>
      </c>
      <c r="AI50" t="s">
        <v>307</v>
      </c>
      <c r="AJ50" t="s">
        <v>224</v>
      </c>
      <c r="AK50" t="s">
        <v>308</v>
      </c>
      <c r="AL50" s="38">
        <v>46171</v>
      </c>
      <c r="AM50">
        <v>-21.6</v>
      </c>
      <c r="AN50">
        <v>-360</v>
      </c>
      <c r="AO50" t="s">
        <v>173</v>
      </c>
      <c r="AP50" t="s">
        <v>174</v>
      </c>
      <c r="AQ50" t="s">
        <v>189</v>
      </c>
      <c r="AU50">
        <v>0</v>
      </c>
      <c r="AV50" t="s">
        <v>1099</v>
      </c>
      <c r="AW50" t="s">
        <v>1221</v>
      </c>
      <c r="AX50" t="s">
        <v>1100</v>
      </c>
      <c r="AY50" t="s">
        <v>517</v>
      </c>
      <c r="BA50">
        <v>104856</v>
      </c>
      <c r="BB50" t="s">
        <v>1125</v>
      </c>
      <c r="BE50" t="s">
        <v>1110</v>
      </c>
      <c r="BF50" t="s">
        <v>174</v>
      </c>
      <c r="BG50" t="s">
        <v>1225</v>
      </c>
      <c r="BL50">
        <v>0.01</v>
      </c>
      <c r="BM50" t="s">
        <v>1112</v>
      </c>
      <c r="CM50">
        <v>0</v>
      </c>
      <c r="CN50" t="s">
        <v>1152</v>
      </c>
      <c r="CR50">
        <v>0</v>
      </c>
      <c r="CS50">
        <v>0</v>
      </c>
      <c r="CT50">
        <v>50</v>
      </c>
      <c r="CU50">
        <v>47.997399999999999</v>
      </c>
      <c r="CV50" t="s">
        <v>1185</v>
      </c>
      <c r="CX50" t="s">
        <v>309</v>
      </c>
      <c r="CZ50" t="s">
        <v>428</v>
      </c>
      <c r="DC50">
        <v>60</v>
      </c>
      <c r="DD50" t="s">
        <v>232</v>
      </c>
      <c r="DE50" t="s">
        <v>1102</v>
      </c>
      <c r="DF50" t="s">
        <v>507</v>
      </c>
      <c r="DG50">
        <v>100</v>
      </c>
      <c r="DH50">
        <v>850</v>
      </c>
      <c r="DN50">
        <v>1</v>
      </c>
      <c r="DV50">
        <v>0</v>
      </c>
      <c r="DW50">
        <v>0</v>
      </c>
      <c r="DX50">
        <v>0</v>
      </c>
      <c r="EA50" t="s">
        <v>1222</v>
      </c>
      <c r="EC50" t="s">
        <v>1201</v>
      </c>
      <c r="EE50" t="s">
        <v>1131</v>
      </c>
      <c r="EF50">
        <v>0</v>
      </c>
      <c r="EI50">
        <v>0</v>
      </c>
      <c r="EJ50">
        <v>0</v>
      </c>
      <c r="EK50" t="s">
        <v>1164</v>
      </c>
      <c r="EQ50">
        <v>0</v>
      </c>
      <c r="ER50" t="s">
        <v>1133</v>
      </c>
      <c r="ET50">
        <v>0</v>
      </c>
      <c r="EU50">
        <v>27</v>
      </c>
      <c r="EV50">
        <v>0</v>
      </c>
      <c r="EW50">
        <v>0</v>
      </c>
      <c r="EX50">
        <v>0</v>
      </c>
      <c r="EY50">
        <v>0</v>
      </c>
      <c r="FA50" t="s">
        <v>1146</v>
      </c>
      <c r="FD50" t="s">
        <v>1298</v>
      </c>
      <c r="FE50">
        <v>0</v>
      </c>
      <c r="FF50">
        <v>0</v>
      </c>
      <c r="FG50">
        <v>0</v>
      </c>
      <c r="FI50">
        <v>0</v>
      </c>
      <c r="FM50">
        <v>0</v>
      </c>
      <c r="FO50">
        <v>0</v>
      </c>
      <c r="FQ50">
        <v>0</v>
      </c>
      <c r="FS50">
        <v>0</v>
      </c>
      <c r="FU50" s="38">
        <v>46218</v>
      </c>
      <c r="FX50" t="s">
        <v>1299</v>
      </c>
      <c r="FY50">
        <v>0</v>
      </c>
      <c r="FZ50">
        <v>0</v>
      </c>
    </row>
    <row r="51" spans="1:182" x14ac:dyDescent="0.25">
      <c r="A51" t="s">
        <v>167</v>
      </c>
      <c r="B51" t="s">
        <v>168</v>
      </c>
      <c r="C51" t="s">
        <v>267</v>
      </c>
      <c r="D51" t="s">
        <v>170</v>
      </c>
      <c r="E51" t="s">
        <v>1097</v>
      </c>
      <c r="F51" t="s">
        <v>499</v>
      </c>
      <c r="I51">
        <v>0</v>
      </c>
      <c r="J51">
        <v>0</v>
      </c>
      <c r="M51">
        <v>0</v>
      </c>
      <c r="V51" t="s">
        <v>1098</v>
      </c>
      <c r="W51" s="38">
        <v>46113</v>
      </c>
      <c r="Y51">
        <v>0</v>
      </c>
      <c r="AD51">
        <v>149324</v>
      </c>
      <c r="AE51">
        <v>168187</v>
      </c>
      <c r="AF51" s="38">
        <v>46114</v>
      </c>
      <c r="AG51" s="38">
        <v>46134</v>
      </c>
      <c r="AH51" t="s">
        <v>1124</v>
      </c>
      <c r="AI51" t="s">
        <v>268</v>
      </c>
      <c r="AJ51" t="s">
        <v>267</v>
      </c>
      <c r="AK51" t="s">
        <v>269</v>
      </c>
      <c r="AL51" s="38">
        <v>46105</v>
      </c>
      <c r="AM51">
        <v>-108</v>
      </c>
      <c r="AN51">
        <v>-1800</v>
      </c>
      <c r="AO51" t="s">
        <v>173</v>
      </c>
      <c r="AP51" t="s">
        <v>174</v>
      </c>
      <c r="AQ51" t="s">
        <v>189</v>
      </c>
      <c r="AU51">
        <v>281.51</v>
      </c>
      <c r="AV51" t="s">
        <v>1099</v>
      </c>
      <c r="AW51" t="s">
        <v>263</v>
      </c>
      <c r="AX51" t="s">
        <v>1100</v>
      </c>
      <c r="AY51" t="s">
        <v>517</v>
      </c>
      <c r="BA51">
        <v>103782</v>
      </c>
      <c r="BB51" t="s">
        <v>1125</v>
      </c>
      <c r="BC51" t="s">
        <v>1223</v>
      </c>
      <c r="BD51" t="s">
        <v>1224</v>
      </c>
      <c r="BE51" t="s">
        <v>1110</v>
      </c>
      <c r="BF51" t="s">
        <v>174</v>
      </c>
      <c r="BG51" t="s">
        <v>1225</v>
      </c>
      <c r="BH51" t="s">
        <v>1226</v>
      </c>
      <c r="BI51" s="38">
        <v>46194</v>
      </c>
      <c r="BJ51" s="38">
        <v>46247</v>
      </c>
      <c r="BL51">
        <v>0.01</v>
      </c>
      <c r="BM51" t="s">
        <v>1112</v>
      </c>
      <c r="BN51" t="s">
        <v>1296</v>
      </c>
      <c r="CM51">
        <v>0</v>
      </c>
      <c r="CN51" t="s">
        <v>1113</v>
      </c>
      <c r="CR51">
        <v>0</v>
      </c>
      <c r="CS51">
        <v>0</v>
      </c>
      <c r="CT51">
        <v>-6</v>
      </c>
      <c r="CU51">
        <v>-6</v>
      </c>
      <c r="CV51" t="s">
        <v>1101</v>
      </c>
      <c r="CX51" t="s">
        <v>270</v>
      </c>
      <c r="CZ51" t="s">
        <v>428</v>
      </c>
      <c r="DC51">
        <v>60</v>
      </c>
      <c r="DD51" t="s">
        <v>186</v>
      </c>
      <c r="DE51" t="s">
        <v>1102</v>
      </c>
      <c r="DF51" t="s">
        <v>447</v>
      </c>
      <c r="DG51">
        <v>100</v>
      </c>
      <c r="DH51">
        <v>850</v>
      </c>
      <c r="DN51">
        <v>1</v>
      </c>
      <c r="DV51">
        <v>0</v>
      </c>
      <c r="DW51">
        <v>0</v>
      </c>
      <c r="DX51">
        <v>0</v>
      </c>
      <c r="EA51" t="s">
        <v>1227</v>
      </c>
      <c r="EC51" t="s">
        <v>1228</v>
      </c>
      <c r="EE51" t="s">
        <v>1131</v>
      </c>
      <c r="EF51">
        <v>0</v>
      </c>
      <c r="EI51">
        <v>4910</v>
      </c>
      <c r="EJ51">
        <v>1</v>
      </c>
      <c r="EK51" t="s">
        <v>1132</v>
      </c>
      <c r="EQ51">
        <v>0</v>
      </c>
      <c r="ER51" t="s">
        <v>1133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FD51" t="s">
        <v>1229</v>
      </c>
      <c r="FE51">
        <v>0</v>
      </c>
      <c r="FF51">
        <v>0</v>
      </c>
      <c r="FG51">
        <v>0</v>
      </c>
      <c r="FI51">
        <v>0</v>
      </c>
      <c r="FM51">
        <v>0</v>
      </c>
      <c r="FO51">
        <v>0</v>
      </c>
      <c r="FP51" t="s">
        <v>1230</v>
      </c>
      <c r="FQ51">
        <v>0</v>
      </c>
      <c r="FS51">
        <v>0</v>
      </c>
      <c r="FT51" s="38">
        <v>46194</v>
      </c>
      <c r="FU51" s="38">
        <v>46194</v>
      </c>
      <c r="FY51">
        <v>0</v>
      </c>
      <c r="FZ51">
        <v>0</v>
      </c>
    </row>
    <row r="52" spans="1:182" x14ac:dyDescent="0.25">
      <c r="A52" t="s">
        <v>167</v>
      </c>
      <c r="B52" t="s">
        <v>168</v>
      </c>
      <c r="C52" t="s">
        <v>267</v>
      </c>
      <c r="D52" t="s">
        <v>170</v>
      </c>
      <c r="E52" t="s">
        <v>1097</v>
      </c>
      <c r="F52" t="s">
        <v>499</v>
      </c>
      <c r="I52">
        <v>0</v>
      </c>
      <c r="J52">
        <v>0</v>
      </c>
      <c r="M52">
        <v>0</v>
      </c>
      <c r="V52" t="s">
        <v>1098</v>
      </c>
      <c r="Y52">
        <v>0</v>
      </c>
      <c r="AD52">
        <v>145064</v>
      </c>
      <c r="AE52">
        <v>163148</v>
      </c>
      <c r="AF52" s="38">
        <v>45960</v>
      </c>
      <c r="AI52" t="s">
        <v>384</v>
      </c>
      <c r="AJ52" t="s">
        <v>267</v>
      </c>
      <c r="AK52" t="s">
        <v>385</v>
      </c>
      <c r="AL52" s="38">
        <v>45730</v>
      </c>
      <c r="AM52">
        <v>-43.2</v>
      </c>
      <c r="AN52">
        <v>-720</v>
      </c>
      <c r="AO52" t="s">
        <v>319</v>
      </c>
      <c r="AP52" t="s">
        <v>386</v>
      </c>
      <c r="AQ52" t="s">
        <v>387</v>
      </c>
      <c r="AU52">
        <v>350.8</v>
      </c>
      <c r="AV52" t="s">
        <v>1099</v>
      </c>
      <c r="AW52" t="s">
        <v>388</v>
      </c>
      <c r="AX52" t="s">
        <v>1100</v>
      </c>
      <c r="AY52" t="s">
        <v>517</v>
      </c>
      <c r="AZ52" t="s">
        <v>1231</v>
      </c>
      <c r="BA52">
        <v>0</v>
      </c>
      <c r="BL52">
        <v>0</v>
      </c>
      <c r="CM52">
        <v>0</v>
      </c>
      <c r="CN52" t="s">
        <v>1232</v>
      </c>
      <c r="CR52">
        <v>0</v>
      </c>
      <c r="CS52">
        <v>0</v>
      </c>
      <c r="CT52">
        <v>-19</v>
      </c>
      <c r="CU52">
        <v>-40.089500000000001</v>
      </c>
      <c r="CV52" t="s">
        <v>1101</v>
      </c>
      <c r="CX52" t="s">
        <v>389</v>
      </c>
      <c r="CZ52" t="s">
        <v>428</v>
      </c>
      <c r="DC52">
        <v>60</v>
      </c>
      <c r="DD52" t="s">
        <v>390</v>
      </c>
      <c r="DE52" t="s">
        <v>1102</v>
      </c>
      <c r="DF52" t="s">
        <v>440</v>
      </c>
      <c r="DG52">
        <v>100</v>
      </c>
      <c r="DH52">
        <v>850</v>
      </c>
      <c r="DN52">
        <v>1</v>
      </c>
      <c r="DP52" t="s">
        <v>1233</v>
      </c>
      <c r="DV52">
        <v>0</v>
      </c>
      <c r="DW52">
        <v>0</v>
      </c>
      <c r="DX52">
        <v>0</v>
      </c>
      <c r="EA52" t="s">
        <v>1222</v>
      </c>
      <c r="EC52" t="s">
        <v>1228</v>
      </c>
      <c r="EE52" t="s">
        <v>1131</v>
      </c>
      <c r="EF52">
        <v>2004.7</v>
      </c>
      <c r="EG52" t="s">
        <v>1234</v>
      </c>
      <c r="EH52" s="38">
        <v>45873</v>
      </c>
      <c r="EI52">
        <v>5200</v>
      </c>
      <c r="EJ52">
        <v>2</v>
      </c>
      <c r="EK52" t="s">
        <v>1235</v>
      </c>
      <c r="EQ52">
        <v>0</v>
      </c>
      <c r="ER52" t="s">
        <v>1133</v>
      </c>
      <c r="ET52">
        <v>0</v>
      </c>
      <c r="EU52">
        <v>21.09</v>
      </c>
      <c r="EV52">
        <v>0</v>
      </c>
      <c r="EW52">
        <v>0</v>
      </c>
      <c r="EX52">
        <v>0</v>
      </c>
      <c r="EY52">
        <v>0</v>
      </c>
      <c r="FE52">
        <v>0</v>
      </c>
      <c r="FF52">
        <v>0</v>
      </c>
      <c r="FG52">
        <v>0</v>
      </c>
      <c r="FI52">
        <v>0</v>
      </c>
      <c r="FM52">
        <v>0</v>
      </c>
      <c r="FO52">
        <v>0</v>
      </c>
      <c r="FQ52">
        <v>0</v>
      </c>
      <c r="FS52">
        <v>0</v>
      </c>
      <c r="FU52" s="38">
        <v>45940</v>
      </c>
      <c r="FY52">
        <v>0</v>
      </c>
      <c r="FZ52">
        <v>0</v>
      </c>
    </row>
    <row r="53" spans="1:182" x14ac:dyDescent="0.25">
      <c r="A53" t="s">
        <v>167</v>
      </c>
      <c r="B53" t="s">
        <v>168</v>
      </c>
      <c r="C53" t="s">
        <v>267</v>
      </c>
      <c r="D53" t="s">
        <v>170</v>
      </c>
      <c r="E53" t="s">
        <v>1097</v>
      </c>
      <c r="F53" t="s">
        <v>499</v>
      </c>
      <c r="I53">
        <v>0</v>
      </c>
      <c r="J53">
        <v>0</v>
      </c>
      <c r="M53">
        <v>0</v>
      </c>
      <c r="V53" t="s">
        <v>1098</v>
      </c>
      <c r="Y53">
        <v>0</v>
      </c>
      <c r="AD53">
        <v>0</v>
      </c>
      <c r="AE53">
        <v>0</v>
      </c>
      <c r="AI53" t="s">
        <v>288</v>
      </c>
      <c r="AJ53" t="s">
        <v>267</v>
      </c>
      <c r="AK53" t="s">
        <v>188</v>
      </c>
      <c r="AL53" s="38">
        <v>46156</v>
      </c>
      <c r="AM53">
        <v>-151.19999999999999</v>
      </c>
      <c r="AN53">
        <v>-151200</v>
      </c>
      <c r="AO53" t="s">
        <v>173</v>
      </c>
      <c r="AP53" t="s">
        <v>174</v>
      </c>
      <c r="AQ53" t="s">
        <v>189</v>
      </c>
      <c r="AR53" t="s">
        <v>1236</v>
      </c>
      <c r="AU53">
        <v>0</v>
      </c>
      <c r="AV53" t="s">
        <v>1099</v>
      </c>
      <c r="AW53" t="s">
        <v>314</v>
      </c>
      <c r="AX53" t="s">
        <v>1100</v>
      </c>
      <c r="AY53" t="s">
        <v>638</v>
      </c>
      <c r="BA53">
        <v>0</v>
      </c>
      <c r="BL53">
        <v>0</v>
      </c>
      <c r="CM53">
        <v>0</v>
      </c>
      <c r="CN53" t="s">
        <v>188</v>
      </c>
      <c r="CR53">
        <v>0</v>
      </c>
      <c r="CS53">
        <v>0</v>
      </c>
      <c r="CT53">
        <v>17</v>
      </c>
      <c r="CU53">
        <v>9.5001999999999995</v>
      </c>
      <c r="CV53" t="s">
        <v>1189</v>
      </c>
      <c r="CX53" t="s">
        <v>289</v>
      </c>
      <c r="CZ53" t="s">
        <v>428</v>
      </c>
      <c r="DC53" t="s">
        <v>1237</v>
      </c>
      <c r="DD53" t="s">
        <v>290</v>
      </c>
      <c r="DE53" t="s">
        <v>1102</v>
      </c>
      <c r="DF53" t="s">
        <v>447</v>
      </c>
      <c r="DG53">
        <v>100</v>
      </c>
      <c r="DH53">
        <v>850</v>
      </c>
      <c r="DN53">
        <v>1</v>
      </c>
      <c r="DV53">
        <v>0</v>
      </c>
      <c r="DW53">
        <v>0</v>
      </c>
      <c r="DX53">
        <v>0</v>
      </c>
      <c r="EA53" t="s">
        <v>1129</v>
      </c>
      <c r="EC53" t="s">
        <v>1130</v>
      </c>
      <c r="EE53" t="s">
        <v>1131</v>
      </c>
      <c r="EF53">
        <v>0</v>
      </c>
      <c r="EG53" t="s">
        <v>1238</v>
      </c>
      <c r="EI53">
        <v>0</v>
      </c>
      <c r="EJ53">
        <v>0</v>
      </c>
      <c r="EK53" t="s">
        <v>1164</v>
      </c>
      <c r="EQ53">
        <v>0</v>
      </c>
      <c r="ER53" t="s">
        <v>1133</v>
      </c>
      <c r="ET53">
        <v>0</v>
      </c>
      <c r="EU53">
        <v>2.5</v>
      </c>
      <c r="EV53">
        <v>0</v>
      </c>
      <c r="EW53">
        <v>0</v>
      </c>
      <c r="EX53">
        <v>0</v>
      </c>
      <c r="EY53">
        <v>0</v>
      </c>
      <c r="FE53">
        <v>0</v>
      </c>
      <c r="FF53">
        <v>0</v>
      </c>
      <c r="FG53">
        <v>0</v>
      </c>
      <c r="FI53">
        <v>0</v>
      </c>
      <c r="FM53">
        <v>0</v>
      </c>
      <c r="FO53">
        <v>0</v>
      </c>
      <c r="FQ53">
        <v>0</v>
      </c>
      <c r="FS53">
        <v>0</v>
      </c>
      <c r="FU53" s="38">
        <v>46295</v>
      </c>
      <c r="FY53">
        <v>0</v>
      </c>
      <c r="FZ53">
        <v>0</v>
      </c>
    </row>
    <row r="54" spans="1:182" x14ac:dyDescent="0.25">
      <c r="A54" t="s">
        <v>167</v>
      </c>
      <c r="B54" t="s">
        <v>168</v>
      </c>
      <c r="C54" t="s">
        <v>267</v>
      </c>
      <c r="D54" t="s">
        <v>170</v>
      </c>
      <c r="E54" t="s">
        <v>1097</v>
      </c>
      <c r="F54" t="s">
        <v>499</v>
      </c>
      <c r="I54">
        <v>0</v>
      </c>
      <c r="J54">
        <v>0</v>
      </c>
      <c r="M54">
        <v>0</v>
      </c>
      <c r="V54" t="s">
        <v>1098</v>
      </c>
      <c r="Y54">
        <v>0</v>
      </c>
      <c r="AD54">
        <v>0</v>
      </c>
      <c r="AE54">
        <v>0</v>
      </c>
      <c r="AI54" t="s">
        <v>1264</v>
      </c>
      <c r="AJ54" t="s">
        <v>267</v>
      </c>
      <c r="AK54" t="s">
        <v>242</v>
      </c>
      <c r="AL54" s="38">
        <v>46188</v>
      </c>
      <c r="AM54">
        <v>-108</v>
      </c>
      <c r="AN54">
        <v>-1800</v>
      </c>
      <c r="AO54" t="s">
        <v>173</v>
      </c>
      <c r="AP54" t="s">
        <v>174</v>
      </c>
      <c r="AQ54" t="s">
        <v>189</v>
      </c>
      <c r="AR54" t="s">
        <v>1258</v>
      </c>
      <c r="AU54">
        <v>0</v>
      </c>
      <c r="AV54" t="s">
        <v>1099</v>
      </c>
      <c r="AW54" t="s">
        <v>314</v>
      </c>
      <c r="AX54" t="s">
        <v>1100</v>
      </c>
      <c r="BA54">
        <v>0</v>
      </c>
      <c r="BL54">
        <v>0</v>
      </c>
      <c r="CM54">
        <v>0</v>
      </c>
      <c r="CN54" t="s">
        <v>1199</v>
      </c>
      <c r="CR54">
        <v>0</v>
      </c>
      <c r="CS54">
        <v>0</v>
      </c>
      <c r="CT54">
        <v>21</v>
      </c>
      <c r="CU54">
        <v>9.0780999999999992</v>
      </c>
      <c r="CV54" t="s">
        <v>1189</v>
      </c>
      <c r="CX54" t="s">
        <v>1265</v>
      </c>
      <c r="CZ54" t="s">
        <v>428</v>
      </c>
      <c r="DC54">
        <v>60</v>
      </c>
      <c r="DD54" t="s">
        <v>315</v>
      </c>
      <c r="DE54" t="s">
        <v>1102</v>
      </c>
      <c r="DF54" t="s">
        <v>507</v>
      </c>
      <c r="DG54">
        <v>100</v>
      </c>
      <c r="DH54">
        <v>850</v>
      </c>
      <c r="DN54">
        <v>1</v>
      </c>
      <c r="DV54">
        <v>0</v>
      </c>
      <c r="DW54">
        <v>0</v>
      </c>
      <c r="DX54">
        <v>0</v>
      </c>
      <c r="EA54" t="s">
        <v>1200</v>
      </c>
      <c r="EC54" t="s">
        <v>1201</v>
      </c>
      <c r="EE54" t="s">
        <v>1131</v>
      </c>
      <c r="EF54">
        <v>0</v>
      </c>
      <c r="EI54">
        <v>0</v>
      </c>
      <c r="EJ54">
        <v>0</v>
      </c>
      <c r="EK54" t="s">
        <v>1164</v>
      </c>
      <c r="EQ54">
        <v>0</v>
      </c>
      <c r="ER54" t="s">
        <v>1133</v>
      </c>
      <c r="ET54">
        <v>0</v>
      </c>
      <c r="EU54">
        <v>6.92</v>
      </c>
      <c r="EV54">
        <v>0</v>
      </c>
      <c r="EW54">
        <v>0</v>
      </c>
      <c r="EX54">
        <v>0</v>
      </c>
      <c r="EY54">
        <v>0</v>
      </c>
      <c r="FE54">
        <v>0</v>
      </c>
      <c r="FF54">
        <v>0</v>
      </c>
      <c r="FG54">
        <v>0</v>
      </c>
      <c r="FI54">
        <v>0</v>
      </c>
      <c r="FM54">
        <v>0</v>
      </c>
      <c r="FO54">
        <v>0</v>
      </c>
      <c r="FQ54">
        <v>0</v>
      </c>
      <c r="FS54">
        <v>0</v>
      </c>
      <c r="FU54" s="38">
        <v>46599</v>
      </c>
      <c r="FY54">
        <v>0</v>
      </c>
      <c r="FZ54">
        <v>0</v>
      </c>
    </row>
    <row r="55" spans="1:182" x14ac:dyDescent="0.25">
      <c r="A55" t="s">
        <v>167</v>
      </c>
      <c r="B55" t="s">
        <v>168</v>
      </c>
      <c r="C55" t="s">
        <v>267</v>
      </c>
      <c r="D55" t="s">
        <v>170</v>
      </c>
      <c r="E55" t="s">
        <v>1097</v>
      </c>
      <c r="F55" t="s">
        <v>499</v>
      </c>
      <c r="I55">
        <v>0</v>
      </c>
      <c r="J55">
        <v>0</v>
      </c>
      <c r="M55">
        <v>0</v>
      </c>
      <c r="V55" t="s">
        <v>1098</v>
      </c>
      <c r="Y55">
        <v>0</v>
      </c>
      <c r="AD55">
        <v>0</v>
      </c>
      <c r="AE55">
        <v>0</v>
      </c>
      <c r="AI55" t="s">
        <v>1266</v>
      </c>
      <c r="AJ55" t="s">
        <v>267</v>
      </c>
      <c r="AK55" t="s">
        <v>242</v>
      </c>
      <c r="AL55" s="38">
        <v>46188</v>
      </c>
      <c r="AM55">
        <v>-108</v>
      </c>
      <c r="AN55">
        <v>-1800</v>
      </c>
      <c r="AO55" t="s">
        <v>173</v>
      </c>
      <c r="AP55" t="s">
        <v>174</v>
      </c>
      <c r="AQ55" t="s">
        <v>189</v>
      </c>
      <c r="AR55" t="s">
        <v>1258</v>
      </c>
      <c r="AU55">
        <v>0</v>
      </c>
      <c r="AV55" t="s">
        <v>1099</v>
      </c>
      <c r="AW55" t="s">
        <v>314</v>
      </c>
      <c r="AX55" t="s">
        <v>1100</v>
      </c>
      <c r="BA55">
        <v>0</v>
      </c>
      <c r="BL55">
        <v>0</v>
      </c>
      <c r="CM55">
        <v>0</v>
      </c>
      <c r="CN55" t="s">
        <v>1199</v>
      </c>
      <c r="CR55">
        <v>0</v>
      </c>
      <c r="CS55">
        <v>0</v>
      </c>
      <c r="CT55">
        <v>8</v>
      </c>
      <c r="CU55">
        <v>-3.3525999999999998</v>
      </c>
      <c r="CV55" t="s">
        <v>1189</v>
      </c>
      <c r="CX55" t="s">
        <v>1267</v>
      </c>
      <c r="CZ55" t="s">
        <v>428</v>
      </c>
      <c r="DC55">
        <v>60</v>
      </c>
      <c r="DD55" t="s">
        <v>315</v>
      </c>
      <c r="DE55" t="s">
        <v>1102</v>
      </c>
      <c r="DF55" t="s">
        <v>507</v>
      </c>
      <c r="DG55">
        <v>100</v>
      </c>
      <c r="DH55">
        <v>850</v>
      </c>
      <c r="DN55">
        <v>1</v>
      </c>
      <c r="DV55">
        <v>0</v>
      </c>
      <c r="DW55">
        <v>0</v>
      </c>
      <c r="DX55">
        <v>0</v>
      </c>
      <c r="EA55" t="s">
        <v>1200</v>
      </c>
      <c r="EC55" t="s">
        <v>1201</v>
      </c>
      <c r="EE55" t="s">
        <v>1131</v>
      </c>
      <c r="EF55">
        <v>0</v>
      </c>
      <c r="EI55">
        <v>0</v>
      </c>
      <c r="EJ55">
        <v>0</v>
      </c>
      <c r="EK55" t="s">
        <v>1164</v>
      </c>
      <c r="EQ55">
        <v>0</v>
      </c>
      <c r="ER55" t="s">
        <v>1133</v>
      </c>
      <c r="ET55">
        <v>0</v>
      </c>
      <c r="EU55">
        <v>6.35</v>
      </c>
      <c r="EV55">
        <v>0</v>
      </c>
      <c r="EW55">
        <v>0</v>
      </c>
      <c r="EX55">
        <v>0</v>
      </c>
      <c r="EY55">
        <v>0</v>
      </c>
      <c r="FE55">
        <v>0</v>
      </c>
      <c r="FF55">
        <v>0</v>
      </c>
      <c r="FG55">
        <v>0</v>
      </c>
      <c r="FI55">
        <v>0</v>
      </c>
      <c r="FM55">
        <v>0</v>
      </c>
      <c r="FO55">
        <v>0</v>
      </c>
      <c r="FQ55">
        <v>0</v>
      </c>
      <c r="FS55">
        <v>0</v>
      </c>
      <c r="FU55" s="38">
        <v>46599</v>
      </c>
      <c r="FY55">
        <v>0</v>
      </c>
      <c r="FZ55">
        <v>0</v>
      </c>
    </row>
    <row r="56" spans="1:182" x14ac:dyDescent="0.25">
      <c r="A56" t="s">
        <v>167</v>
      </c>
      <c r="B56" t="s">
        <v>168</v>
      </c>
      <c r="C56" t="s">
        <v>267</v>
      </c>
      <c r="D56" t="s">
        <v>170</v>
      </c>
      <c r="E56" t="s">
        <v>1097</v>
      </c>
      <c r="F56" t="s">
        <v>499</v>
      </c>
      <c r="I56">
        <v>0</v>
      </c>
      <c r="J56">
        <v>0</v>
      </c>
      <c r="M56">
        <v>0</v>
      </c>
      <c r="V56" t="s">
        <v>1098</v>
      </c>
      <c r="Y56">
        <v>0</v>
      </c>
      <c r="AD56">
        <v>0</v>
      </c>
      <c r="AE56">
        <v>0</v>
      </c>
      <c r="AI56" t="s">
        <v>1268</v>
      </c>
      <c r="AJ56" t="s">
        <v>267</v>
      </c>
      <c r="AK56" t="s">
        <v>242</v>
      </c>
      <c r="AL56" s="38">
        <v>46188</v>
      </c>
      <c r="AM56">
        <v>-108</v>
      </c>
      <c r="AN56">
        <v>-1800</v>
      </c>
      <c r="AO56" t="s">
        <v>173</v>
      </c>
      <c r="AP56" t="s">
        <v>174</v>
      </c>
      <c r="AQ56" t="s">
        <v>189</v>
      </c>
      <c r="AR56" t="s">
        <v>1258</v>
      </c>
      <c r="AU56">
        <v>0</v>
      </c>
      <c r="AV56" t="s">
        <v>1099</v>
      </c>
      <c r="AW56" t="s">
        <v>1214</v>
      </c>
      <c r="AX56" t="s">
        <v>1100</v>
      </c>
      <c r="BA56">
        <v>0</v>
      </c>
      <c r="BL56">
        <v>0</v>
      </c>
      <c r="CM56">
        <v>0</v>
      </c>
      <c r="CN56" t="s">
        <v>1199</v>
      </c>
      <c r="CR56">
        <v>0</v>
      </c>
      <c r="CS56">
        <v>0</v>
      </c>
      <c r="CT56">
        <v>21</v>
      </c>
      <c r="CU56">
        <v>9.0780999999999992</v>
      </c>
      <c r="CV56" t="s">
        <v>1215</v>
      </c>
      <c r="CX56" t="s">
        <v>1265</v>
      </c>
      <c r="CZ56" t="s">
        <v>428</v>
      </c>
      <c r="DC56">
        <v>60</v>
      </c>
      <c r="DD56" t="s">
        <v>315</v>
      </c>
      <c r="DE56" t="s">
        <v>1102</v>
      </c>
      <c r="DF56" t="s">
        <v>507</v>
      </c>
      <c r="DG56">
        <v>100</v>
      </c>
      <c r="DH56">
        <v>850</v>
      </c>
      <c r="DN56">
        <v>1</v>
      </c>
      <c r="DV56">
        <v>0</v>
      </c>
      <c r="DW56">
        <v>0</v>
      </c>
      <c r="DX56">
        <v>0</v>
      </c>
      <c r="EA56" t="s">
        <v>1200</v>
      </c>
      <c r="EC56" t="s">
        <v>1201</v>
      </c>
      <c r="EE56" t="s">
        <v>1131</v>
      </c>
      <c r="EF56">
        <v>0</v>
      </c>
      <c r="EI56">
        <v>0</v>
      </c>
      <c r="EJ56">
        <v>0</v>
      </c>
      <c r="EK56" t="s">
        <v>1164</v>
      </c>
      <c r="EQ56">
        <v>0</v>
      </c>
      <c r="ER56" t="s">
        <v>1133</v>
      </c>
      <c r="ET56">
        <v>0</v>
      </c>
      <c r="EU56">
        <v>6.92</v>
      </c>
      <c r="EV56">
        <v>0</v>
      </c>
      <c r="EW56">
        <v>0</v>
      </c>
      <c r="EX56">
        <v>0</v>
      </c>
      <c r="EY56">
        <v>0</v>
      </c>
      <c r="FE56">
        <v>0</v>
      </c>
      <c r="FF56">
        <v>0</v>
      </c>
      <c r="FG56">
        <v>0</v>
      </c>
      <c r="FI56">
        <v>0</v>
      </c>
      <c r="FM56">
        <v>0</v>
      </c>
      <c r="FO56">
        <v>0</v>
      </c>
      <c r="FQ56">
        <v>0</v>
      </c>
      <c r="FS56">
        <v>0</v>
      </c>
      <c r="FU56" s="38">
        <v>46630</v>
      </c>
      <c r="FY56">
        <v>0</v>
      </c>
      <c r="FZ56">
        <v>0</v>
      </c>
    </row>
    <row r="57" spans="1:182" x14ac:dyDescent="0.25">
      <c r="A57" t="s">
        <v>167</v>
      </c>
      <c r="B57" t="s">
        <v>168</v>
      </c>
      <c r="C57" t="s">
        <v>267</v>
      </c>
      <c r="D57" t="s">
        <v>170</v>
      </c>
      <c r="E57" t="s">
        <v>1097</v>
      </c>
      <c r="F57" t="s">
        <v>499</v>
      </c>
      <c r="I57">
        <v>0</v>
      </c>
      <c r="J57">
        <v>0</v>
      </c>
      <c r="M57">
        <v>0</v>
      </c>
      <c r="V57" t="s">
        <v>1098</v>
      </c>
      <c r="Y57">
        <v>0</v>
      </c>
      <c r="AD57">
        <v>0</v>
      </c>
      <c r="AE57">
        <v>0</v>
      </c>
      <c r="AI57" t="s">
        <v>1269</v>
      </c>
      <c r="AJ57" t="s">
        <v>267</v>
      </c>
      <c r="AK57" t="s">
        <v>242</v>
      </c>
      <c r="AL57" s="38">
        <v>46188</v>
      </c>
      <c r="AM57">
        <v>-108</v>
      </c>
      <c r="AN57">
        <v>-1800</v>
      </c>
      <c r="AO57" t="s">
        <v>173</v>
      </c>
      <c r="AP57" t="s">
        <v>174</v>
      </c>
      <c r="AQ57" t="s">
        <v>189</v>
      </c>
      <c r="AR57" t="s">
        <v>1258</v>
      </c>
      <c r="AU57">
        <v>0</v>
      </c>
      <c r="AV57" t="s">
        <v>1099</v>
      </c>
      <c r="AW57" t="s">
        <v>1214</v>
      </c>
      <c r="AX57" t="s">
        <v>1100</v>
      </c>
      <c r="BA57">
        <v>0</v>
      </c>
      <c r="BL57">
        <v>0</v>
      </c>
      <c r="CM57">
        <v>0</v>
      </c>
      <c r="CN57" t="s">
        <v>1199</v>
      </c>
      <c r="CR57">
        <v>0</v>
      </c>
      <c r="CS57">
        <v>0</v>
      </c>
      <c r="CT57">
        <v>8</v>
      </c>
      <c r="CU57">
        <v>-3.3525999999999998</v>
      </c>
      <c r="CV57" t="s">
        <v>1215</v>
      </c>
      <c r="CX57" t="s">
        <v>1267</v>
      </c>
      <c r="CZ57" t="s">
        <v>428</v>
      </c>
      <c r="DC57">
        <v>60</v>
      </c>
      <c r="DD57" t="s">
        <v>315</v>
      </c>
      <c r="DE57" t="s">
        <v>1102</v>
      </c>
      <c r="DF57" t="s">
        <v>507</v>
      </c>
      <c r="DG57">
        <v>100</v>
      </c>
      <c r="DH57">
        <v>850</v>
      </c>
      <c r="DN57">
        <v>1</v>
      </c>
      <c r="DV57">
        <v>0</v>
      </c>
      <c r="DW57">
        <v>0</v>
      </c>
      <c r="DX57">
        <v>0</v>
      </c>
      <c r="EA57" t="s">
        <v>1200</v>
      </c>
      <c r="EC57" t="s">
        <v>1201</v>
      </c>
      <c r="EE57" t="s">
        <v>1131</v>
      </c>
      <c r="EF57">
        <v>0</v>
      </c>
      <c r="EI57">
        <v>0</v>
      </c>
      <c r="EJ57">
        <v>0</v>
      </c>
      <c r="EK57" t="s">
        <v>1164</v>
      </c>
      <c r="EQ57">
        <v>0</v>
      </c>
      <c r="ER57" t="s">
        <v>1133</v>
      </c>
      <c r="ET57">
        <v>0</v>
      </c>
      <c r="EU57">
        <v>6.35</v>
      </c>
      <c r="EV57">
        <v>0</v>
      </c>
      <c r="EW57">
        <v>0</v>
      </c>
      <c r="EX57">
        <v>0</v>
      </c>
      <c r="EY57">
        <v>0</v>
      </c>
      <c r="FE57">
        <v>0</v>
      </c>
      <c r="FF57">
        <v>0</v>
      </c>
      <c r="FG57">
        <v>0</v>
      </c>
      <c r="FI57">
        <v>0</v>
      </c>
      <c r="FM57">
        <v>0</v>
      </c>
      <c r="FO57">
        <v>0</v>
      </c>
      <c r="FQ57">
        <v>0</v>
      </c>
      <c r="FS57">
        <v>0</v>
      </c>
      <c r="FU57" s="38">
        <v>46630</v>
      </c>
      <c r="FY57">
        <v>0</v>
      </c>
      <c r="FZ57">
        <v>0</v>
      </c>
    </row>
    <row r="58" spans="1:182" x14ac:dyDescent="0.25">
      <c r="A58" t="s">
        <v>167</v>
      </c>
      <c r="B58" t="s">
        <v>168</v>
      </c>
      <c r="C58" t="s">
        <v>258</v>
      </c>
      <c r="D58" t="s">
        <v>170</v>
      </c>
      <c r="E58" t="s">
        <v>1097</v>
      </c>
      <c r="F58" t="s">
        <v>499</v>
      </c>
      <c r="I58">
        <v>0</v>
      </c>
      <c r="J58">
        <v>0</v>
      </c>
      <c r="M58">
        <v>0</v>
      </c>
      <c r="V58" t="s">
        <v>1098</v>
      </c>
      <c r="Y58">
        <v>0</v>
      </c>
      <c r="AD58">
        <v>0</v>
      </c>
      <c r="AE58">
        <v>0</v>
      </c>
      <c r="AI58" t="s">
        <v>259</v>
      </c>
      <c r="AJ58" t="s">
        <v>258</v>
      </c>
      <c r="AK58" t="s">
        <v>253</v>
      </c>
      <c r="AL58" s="38">
        <v>46140</v>
      </c>
      <c r="AM58">
        <v>-0.12</v>
      </c>
      <c r="AN58">
        <v>-4</v>
      </c>
      <c r="AO58" t="s">
        <v>173</v>
      </c>
      <c r="AP58" t="s">
        <v>174</v>
      </c>
      <c r="AQ58" t="s">
        <v>254</v>
      </c>
      <c r="AR58" t="s">
        <v>1190</v>
      </c>
      <c r="AU58">
        <v>11.5</v>
      </c>
      <c r="AV58" t="s">
        <v>1166</v>
      </c>
      <c r="AW58" t="s">
        <v>219</v>
      </c>
      <c r="AX58" t="s">
        <v>1179</v>
      </c>
      <c r="BA58">
        <v>0</v>
      </c>
      <c r="BL58">
        <v>0</v>
      </c>
      <c r="CM58">
        <v>0</v>
      </c>
      <c r="CN58" t="s">
        <v>1113</v>
      </c>
      <c r="CR58">
        <v>0</v>
      </c>
      <c r="CS58">
        <v>0</v>
      </c>
      <c r="CT58">
        <v>233.13659999999999</v>
      </c>
      <c r="CU58">
        <v>233.13659999999999</v>
      </c>
      <c r="CV58" t="s">
        <v>1101</v>
      </c>
      <c r="CX58" t="s">
        <v>260</v>
      </c>
      <c r="CZ58" t="s">
        <v>428</v>
      </c>
      <c r="DC58">
        <v>30</v>
      </c>
      <c r="DD58" t="s">
        <v>186</v>
      </c>
      <c r="DE58" t="s">
        <v>1102</v>
      </c>
      <c r="DF58" t="s">
        <v>507</v>
      </c>
      <c r="DG58">
        <v>100</v>
      </c>
      <c r="DH58">
        <v>850</v>
      </c>
      <c r="DL58" t="s">
        <v>207</v>
      </c>
      <c r="DN58">
        <v>4</v>
      </c>
      <c r="DV58">
        <v>0</v>
      </c>
      <c r="DW58">
        <v>0</v>
      </c>
      <c r="DX58">
        <v>0</v>
      </c>
      <c r="EA58" t="s">
        <v>1191</v>
      </c>
      <c r="EC58" t="s">
        <v>1192</v>
      </c>
      <c r="EE58" t="s">
        <v>1193</v>
      </c>
      <c r="EF58">
        <v>0</v>
      </c>
      <c r="EI58">
        <v>4910</v>
      </c>
      <c r="EJ58">
        <v>1</v>
      </c>
      <c r="EK58" t="s">
        <v>1132</v>
      </c>
      <c r="EQ58">
        <v>0</v>
      </c>
      <c r="ET58">
        <v>0</v>
      </c>
      <c r="EU58">
        <v>521.64</v>
      </c>
      <c r="EV58">
        <v>0</v>
      </c>
      <c r="EW58">
        <v>0</v>
      </c>
      <c r="EX58">
        <v>0</v>
      </c>
      <c r="EY58">
        <v>0</v>
      </c>
      <c r="FE58">
        <v>0</v>
      </c>
      <c r="FF58">
        <v>0</v>
      </c>
      <c r="FG58">
        <v>0</v>
      </c>
      <c r="FI58">
        <v>0</v>
      </c>
      <c r="FM58">
        <v>0</v>
      </c>
      <c r="FO58">
        <v>0</v>
      </c>
      <c r="FQ58">
        <v>0</v>
      </c>
      <c r="FS58">
        <v>0</v>
      </c>
      <c r="FU58" s="38">
        <v>46203</v>
      </c>
      <c r="FY58">
        <v>0</v>
      </c>
      <c r="FZ58">
        <v>0</v>
      </c>
    </row>
    <row r="59" spans="1:182" x14ac:dyDescent="0.25">
      <c r="A59" t="s">
        <v>167</v>
      </c>
      <c r="B59" t="s">
        <v>168</v>
      </c>
      <c r="C59" t="s">
        <v>258</v>
      </c>
      <c r="D59" t="s">
        <v>170</v>
      </c>
      <c r="E59" t="s">
        <v>1097</v>
      </c>
      <c r="F59" t="s">
        <v>499</v>
      </c>
      <c r="I59">
        <v>0</v>
      </c>
      <c r="J59">
        <v>0</v>
      </c>
      <c r="M59">
        <v>0</v>
      </c>
      <c r="V59" t="s">
        <v>1098</v>
      </c>
      <c r="Y59">
        <v>0</v>
      </c>
      <c r="AD59">
        <v>150714</v>
      </c>
      <c r="AE59">
        <v>169781</v>
      </c>
      <c r="AF59" s="38">
        <v>46164</v>
      </c>
      <c r="AG59" s="38">
        <v>46175</v>
      </c>
      <c r="AH59" t="s">
        <v>1124</v>
      </c>
      <c r="AI59" t="s">
        <v>300</v>
      </c>
      <c r="AJ59" t="s">
        <v>258</v>
      </c>
      <c r="AK59" t="s">
        <v>292</v>
      </c>
      <c r="AL59" s="38">
        <v>46160</v>
      </c>
      <c r="AM59">
        <v>-0.36</v>
      </c>
      <c r="AN59">
        <v>-12</v>
      </c>
      <c r="AO59" t="s">
        <v>286</v>
      </c>
      <c r="AP59" t="s">
        <v>293</v>
      </c>
      <c r="AQ59" t="s">
        <v>294</v>
      </c>
      <c r="AR59" t="s">
        <v>1117</v>
      </c>
      <c r="AS59" t="s">
        <v>1118</v>
      </c>
      <c r="AU59">
        <v>459.84</v>
      </c>
      <c r="AV59" t="s">
        <v>1099</v>
      </c>
      <c r="AW59" t="s">
        <v>219</v>
      </c>
      <c r="AX59" t="s">
        <v>1100</v>
      </c>
      <c r="BA59">
        <v>0</v>
      </c>
      <c r="BL59">
        <v>0</v>
      </c>
      <c r="CM59">
        <v>0</v>
      </c>
      <c r="CN59" t="s">
        <v>1120</v>
      </c>
      <c r="CR59">
        <v>0</v>
      </c>
      <c r="CS59">
        <v>0</v>
      </c>
      <c r="CT59">
        <v>192.94</v>
      </c>
      <c r="CU59">
        <v>181.10239999999999</v>
      </c>
      <c r="CV59" t="s">
        <v>1101</v>
      </c>
      <c r="CX59" t="s">
        <v>301</v>
      </c>
      <c r="CZ59" t="s">
        <v>428</v>
      </c>
      <c r="DC59">
        <v>30</v>
      </c>
      <c r="DD59" t="s">
        <v>186</v>
      </c>
      <c r="DE59" t="s">
        <v>1102</v>
      </c>
      <c r="DF59" t="s">
        <v>447</v>
      </c>
      <c r="DG59">
        <v>100</v>
      </c>
      <c r="DH59">
        <v>850</v>
      </c>
      <c r="DL59" t="s">
        <v>207</v>
      </c>
      <c r="DN59">
        <v>4</v>
      </c>
      <c r="DV59">
        <v>0</v>
      </c>
      <c r="DW59">
        <v>0</v>
      </c>
      <c r="DX59">
        <v>0</v>
      </c>
      <c r="EA59" t="s">
        <v>1121</v>
      </c>
      <c r="EC59" t="s">
        <v>1122</v>
      </c>
      <c r="EE59" t="s">
        <v>1105</v>
      </c>
      <c r="EF59">
        <v>2380.9699999999998</v>
      </c>
      <c r="EG59" t="s">
        <v>1123</v>
      </c>
      <c r="EI59">
        <v>4910</v>
      </c>
      <c r="EJ59">
        <v>1</v>
      </c>
      <c r="EK59" t="s">
        <v>1132</v>
      </c>
      <c r="EQ59">
        <v>0</v>
      </c>
      <c r="ET59">
        <v>0</v>
      </c>
      <c r="EU59">
        <v>471.74</v>
      </c>
      <c r="EV59">
        <v>0</v>
      </c>
      <c r="EW59">
        <v>0</v>
      </c>
      <c r="EX59">
        <v>0</v>
      </c>
      <c r="EY59">
        <v>0</v>
      </c>
      <c r="FE59">
        <v>0</v>
      </c>
      <c r="FF59">
        <v>0</v>
      </c>
      <c r="FG59">
        <v>0</v>
      </c>
      <c r="FI59">
        <v>0</v>
      </c>
      <c r="FM59">
        <v>0</v>
      </c>
      <c r="FO59">
        <v>0</v>
      </c>
      <c r="FQ59">
        <v>0</v>
      </c>
      <c r="FS59">
        <v>0</v>
      </c>
      <c r="FU59" s="38">
        <v>46203</v>
      </c>
      <c r="FY59">
        <v>0</v>
      </c>
      <c r="FZ59">
        <v>0</v>
      </c>
    </row>
    <row r="60" spans="1:182" x14ac:dyDescent="0.25">
      <c r="A60" t="s">
        <v>167</v>
      </c>
      <c r="B60" t="s">
        <v>168</v>
      </c>
      <c r="C60" t="s">
        <v>258</v>
      </c>
      <c r="D60" t="s">
        <v>170</v>
      </c>
      <c r="E60" t="s">
        <v>1097</v>
      </c>
      <c r="F60" t="s">
        <v>499</v>
      </c>
      <c r="I60">
        <v>0</v>
      </c>
      <c r="J60">
        <v>0</v>
      </c>
      <c r="M60">
        <v>0</v>
      </c>
      <c r="V60" t="s">
        <v>1098</v>
      </c>
      <c r="Y60">
        <v>0</v>
      </c>
      <c r="AD60">
        <v>150716</v>
      </c>
      <c r="AE60">
        <v>169782</v>
      </c>
      <c r="AF60" s="38">
        <v>46164</v>
      </c>
      <c r="AG60" s="38">
        <v>46175</v>
      </c>
      <c r="AH60" t="s">
        <v>1124</v>
      </c>
      <c r="AI60" t="s">
        <v>302</v>
      </c>
      <c r="AJ60" t="s">
        <v>258</v>
      </c>
      <c r="AK60" t="s">
        <v>292</v>
      </c>
      <c r="AL60" s="38">
        <v>46160</v>
      </c>
      <c r="AM60">
        <v>-0.72</v>
      </c>
      <c r="AN60">
        <v>-24</v>
      </c>
      <c r="AO60" t="s">
        <v>286</v>
      </c>
      <c r="AP60" t="s">
        <v>293</v>
      </c>
      <c r="AQ60" t="s">
        <v>294</v>
      </c>
      <c r="AR60" t="s">
        <v>1117</v>
      </c>
      <c r="AS60" t="s">
        <v>1118</v>
      </c>
      <c r="AU60">
        <v>459.84</v>
      </c>
      <c r="AV60" t="s">
        <v>1099</v>
      </c>
      <c r="AW60" t="s">
        <v>219</v>
      </c>
      <c r="AX60" t="s">
        <v>1100</v>
      </c>
      <c r="BA60">
        <v>0</v>
      </c>
      <c r="BL60">
        <v>0</v>
      </c>
      <c r="CM60">
        <v>0</v>
      </c>
      <c r="CN60" t="s">
        <v>1120</v>
      </c>
      <c r="CR60">
        <v>0</v>
      </c>
      <c r="CS60">
        <v>0</v>
      </c>
      <c r="CT60">
        <v>192.94</v>
      </c>
      <c r="CU60">
        <v>181.10239999999999</v>
      </c>
      <c r="CV60" t="s">
        <v>1101</v>
      </c>
      <c r="CX60" t="s">
        <v>303</v>
      </c>
      <c r="CZ60" t="s">
        <v>428</v>
      </c>
      <c r="DC60">
        <v>30</v>
      </c>
      <c r="DD60" t="s">
        <v>186</v>
      </c>
      <c r="DE60" t="s">
        <v>1102</v>
      </c>
      <c r="DF60" t="s">
        <v>447</v>
      </c>
      <c r="DG60">
        <v>100</v>
      </c>
      <c r="DH60">
        <v>850</v>
      </c>
      <c r="DL60" t="s">
        <v>207</v>
      </c>
      <c r="DN60">
        <v>4</v>
      </c>
      <c r="DV60">
        <v>0</v>
      </c>
      <c r="DW60">
        <v>0</v>
      </c>
      <c r="DX60">
        <v>0</v>
      </c>
      <c r="EA60" t="s">
        <v>1121</v>
      </c>
      <c r="EC60" t="s">
        <v>1122</v>
      </c>
      <c r="EE60" t="s">
        <v>1105</v>
      </c>
      <c r="EF60">
        <v>2380.9699999999998</v>
      </c>
      <c r="EG60" t="s">
        <v>1123</v>
      </c>
      <c r="EI60">
        <v>4910</v>
      </c>
      <c r="EJ60">
        <v>1</v>
      </c>
      <c r="EK60" t="s">
        <v>1132</v>
      </c>
      <c r="EQ60">
        <v>0</v>
      </c>
      <c r="ET60">
        <v>0</v>
      </c>
      <c r="EU60">
        <v>471.74</v>
      </c>
      <c r="EV60">
        <v>0</v>
      </c>
      <c r="EW60">
        <v>0</v>
      </c>
      <c r="EX60">
        <v>0</v>
      </c>
      <c r="EY60">
        <v>0</v>
      </c>
      <c r="FE60">
        <v>0</v>
      </c>
      <c r="FF60">
        <v>0</v>
      </c>
      <c r="FG60">
        <v>0</v>
      </c>
      <c r="FI60">
        <v>0</v>
      </c>
      <c r="FM60">
        <v>0</v>
      </c>
      <c r="FO60">
        <v>0</v>
      </c>
      <c r="FQ60">
        <v>0</v>
      </c>
      <c r="FS60">
        <v>0</v>
      </c>
      <c r="FU60" s="38">
        <v>46203</v>
      </c>
      <c r="FY60">
        <v>0</v>
      </c>
      <c r="FZ60">
        <v>0</v>
      </c>
    </row>
    <row r="61" spans="1:182" x14ac:dyDescent="0.25">
      <c r="A61" t="s">
        <v>167</v>
      </c>
      <c r="B61" t="s">
        <v>168</v>
      </c>
      <c r="C61" t="s">
        <v>272</v>
      </c>
      <c r="D61" t="s">
        <v>170</v>
      </c>
      <c r="E61" t="s">
        <v>1097</v>
      </c>
      <c r="F61" t="s">
        <v>499</v>
      </c>
      <c r="I61">
        <v>0</v>
      </c>
      <c r="J61">
        <v>0</v>
      </c>
      <c r="M61">
        <v>0</v>
      </c>
      <c r="V61" t="s">
        <v>1098</v>
      </c>
      <c r="W61" s="38">
        <v>46142</v>
      </c>
      <c r="Y61">
        <v>0</v>
      </c>
      <c r="AD61">
        <v>0</v>
      </c>
      <c r="AE61">
        <v>0</v>
      </c>
      <c r="AI61" t="s">
        <v>273</v>
      </c>
      <c r="AJ61" t="s">
        <v>272</v>
      </c>
      <c r="AK61" t="s">
        <v>274</v>
      </c>
      <c r="AL61" s="38">
        <v>46140</v>
      </c>
      <c r="AM61">
        <v>-38.4</v>
      </c>
      <c r="AN61">
        <v>-640</v>
      </c>
      <c r="AO61" t="s">
        <v>275</v>
      </c>
      <c r="AP61" t="s">
        <v>276</v>
      </c>
      <c r="AQ61" t="s">
        <v>277</v>
      </c>
      <c r="AU61">
        <v>0</v>
      </c>
      <c r="AV61" t="s">
        <v>1099</v>
      </c>
      <c r="AW61" t="s">
        <v>278</v>
      </c>
      <c r="AX61" t="s">
        <v>1179</v>
      </c>
      <c r="BA61">
        <v>103584</v>
      </c>
      <c r="BB61" t="s">
        <v>1194</v>
      </c>
      <c r="BC61" t="s">
        <v>1300</v>
      </c>
      <c r="BD61" t="s">
        <v>1301</v>
      </c>
      <c r="BE61" t="s">
        <v>1110</v>
      </c>
      <c r="BF61" t="s">
        <v>174</v>
      </c>
      <c r="BG61" t="s">
        <v>276</v>
      </c>
      <c r="BH61">
        <v>270849993</v>
      </c>
      <c r="BI61" s="38">
        <v>46205</v>
      </c>
      <c r="BJ61" s="38">
        <v>46258</v>
      </c>
      <c r="BL61">
        <v>0.01</v>
      </c>
      <c r="BM61" t="s">
        <v>1112</v>
      </c>
      <c r="BN61" t="s">
        <v>1281</v>
      </c>
      <c r="CM61">
        <v>0</v>
      </c>
      <c r="CN61" t="s">
        <v>1161</v>
      </c>
      <c r="CR61">
        <v>0</v>
      </c>
      <c r="CS61">
        <v>0</v>
      </c>
      <c r="CT61">
        <v>-22</v>
      </c>
      <c r="CU61">
        <v>-35.269100000000002</v>
      </c>
      <c r="CV61" t="s">
        <v>1101</v>
      </c>
      <c r="CX61" t="s">
        <v>279</v>
      </c>
      <c r="CZ61" t="s">
        <v>709</v>
      </c>
      <c r="DC61">
        <v>60</v>
      </c>
      <c r="DD61" t="s">
        <v>232</v>
      </c>
      <c r="DE61" t="s">
        <v>1102</v>
      </c>
      <c r="DF61" t="s">
        <v>447</v>
      </c>
      <c r="DG61">
        <v>100</v>
      </c>
      <c r="DH61">
        <v>850</v>
      </c>
      <c r="DN61">
        <v>1</v>
      </c>
      <c r="DV61">
        <v>0</v>
      </c>
      <c r="DW61">
        <v>0</v>
      </c>
      <c r="DX61">
        <v>0</v>
      </c>
      <c r="EA61" t="s">
        <v>1239</v>
      </c>
      <c r="EC61" t="s">
        <v>1240</v>
      </c>
      <c r="EE61" t="s">
        <v>1134</v>
      </c>
      <c r="EF61">
        <v>2200</v>
      </c>
      <c r="EG61" t="s">
        <v>1241</v>
      </c>
      <c r="EI61">
        <v>0</v>
      </c>
      <c r="EJ61">
        <v>0</v>
      </c>
      <c r="EK61" t="s">
        <v>1164</v>
      </c>
      <c r="EQ61">
        <v>0</v>
      </c>
      <c r="ER61" t="s">
        <v>1133</v>
      </c>
      <c r="ET61">
        <v>0</v>
      </c>
      <c r="EU61">
        <v>-11.73</v>
      </c>
      <c r="EV61">
        <v>0</v>
      </c>
      <c r="EW61">
        <v>0</v>
      </c>
      <c r="EX61">
        <v>0</v>
      </c>
      <c r="EY61">
        <v>0</v>
      </c>
      <c r="FA61" t="s">
        <v>1155</v>
      </c>
      <c r="FD61" t="s">
        <v>276</v>
      </c>
      <c r="FE61">
        <v>0</v>
      </c>
      <c r="FF61">
        <v>0</v>
      </c>
      <c r="FG61">
        <v>0</v>
      </c>
      <c r="FI61">
        <v>0</v>
      </c>
      <c r="FM61">
        <v>0</v>
      </c>
      <c r="FO61">
        <v>0</v>
      </c>
      <c r="FQ61">
        <v>0</v>
      </c>
      <c r="FS61">
        <v>0</v>
      </c>
      <c r="FT61" s="38">
        <v>46205</v>
      </c>
      <c r="FU61" s="38">
        <v>46265</v>
      </c>
      <c r="FW61">
        <v>415364</v>
      </c>
      <c r="FX61" t="s">
        <v>1242</v>
      </c>
      <c r="FY61">
        <v>0</v>
      </c>
      <c r="FZ61">
        <v>0</v>
      </c>
    </row>
    <row r="62" spans="1:182" x14ac:dyDescent="0.25">
      <c r="A62" t="s">
        <v>167</v>
      </c>
      <c r="B62" t="s">
        <v>168</v>
      </c>
      <c r="C62" t="s">
        <v>169</v>
      </c>
      <c r="D62" t="s">
        <v>170</v>
      </c>
      <c r="E62" t="s">
        <v>1097</v>
      </c>
      <c r="F62" t="s">
        <v>499</v>
      </c>
      <c r="I62">
        <v>0</v>
      </c>
      <c r="J62">
        <v>0</v>
      </c>
      <c r="M62">
        <v>0</v>
      </c>
      <c r="V62" t="s">
        <v>1098</v>
      </c>
      <c r="Y62">
        <v>0</v>
      </c>
      <c r="AD62">
        <v>0</v>
      </c>
      <c r="AE62">
        <v>0</v>
      </c>
      <c r="AI62" t="s">
        <v>171</v>
      </c>
      <c r="AJ62" t="s">
        <v>169</v>
      </c>
      <c r="AK62" t="s">
        <v>172</v>
      </c>
      <c r="AL62" s="38">
        <v>46057</v>
      </c>
      <c r="AM62">
        <v>-0.24</v>
      </c>
      <c r="AN62">
        <v>-8</v>
      </c>
      <c r="AO62" t="s">
        <v>173</v>
      </c>
      <c r="AP62" t="s">
        <v>174</v>
      </c>
      <c r="AQ62" t="s">
        <v>175</v>
      </c>
      <c r="AR62" t="s">
        <v>1243</v>
      </c>
      <c r="AU62">
        <v>750</v>
      </c>
      <c r="AV62" t="s">
        <v>1099</v>
      </c>
      <c r="AW62" t="s">
        <v>1244</v>
      </c>
      <c r="AX62" t="s">
        <v>1179</v>
      </c>
      <c r="BA62">
        <v>0</v>
      </c>
      <c r="BL62">
        <v>0</v>
      </c>
      <c r="CM62">
        <v>0</v>
      </c>
      <c r="CN62" t="s">
        <v>1113</v>
      </c>
      <c r="CR62">
        <v>0</v>
      </c>
      <c r="CS62">
        <v>0</v>
      </c>
      <c r="CT62">
        <v>451.3</v>
      </c>
      <c r="CU62">
        <v>451.3</v>
      </c>
      <c r="CV62" t="s">
        <v>1101</v>
      </c>
      <c r="CX62" t="s">
        <v>176</v>
      </c>
      <c r="CZ62" t="s">
        <v>428</v>
      </c>
      <c r="DC62">
        <v>30</v>
      </c>
      <c r="DD62" t="s">
        <v>177</v>
      </c>
      <c r="DE62" t="s">
        <v>1102</v>
      </c>
      <c r="DF62" t="s">
        <v>447</v>
      </c>
      <c r="DG62">
        <v>100</v>
      </c>
      <c r="DH62">
        <v>850</v>
      </c>
      <c r="DL62" t="s">
        <v>178</v>
      </c>
      <c r="DN62">
        <v>4</v>
      </c>
      <c r="DV62">
        <v>0</v>
      </c>
      <c r="DW62">
        <v>0</v>
      </c>
      <c r="DX62">
        <v>0</v>
      </c>
      <c r="EA62" t="s">
        <v>1183</v>
      </c>
      <c r="EC62" t="s">
        <v>1184</v>
      </c>
      <c r="EE62" t="s">
        <v>1193</v>
      </c>
      <c r="EF62">
        <v>0</v>
      </c>
      <c r="EI62">
        <v>4910</v>
      </c>
      <c r="EJ62">
        <v>1</v>
      </c>
      <c r="EK62" t="s">
        <v>1132</v>
      </c>
      <c r="EQ62">
        <v>0</v>
      </c>
      <c r="ET62">
        <v>0</v>
      </c>
      <c r="EU62">
        <v>750</v>
      </c>
      <c r="EV62">
        <v>0</v>
      </c>
      <c r="EW62">
        <v>0</v>
      </c>
      <c r="EX62">
        <v>0</v>
      </c>
      <c r="EY62">
        <v>0</v>
      </c>
      <c r="FE62">
        <v>0</v>
      </c>
      <c r="FF62">
        <v>0</v>
      </c>
      <c r="FG62">
        <v>0</v>
      </c>
      <c r="FI62">
        <v>0</v>
      </c>
      <c r="FM62">
        <v>0</v>
      </c>
      <c r="FO62">
        <v>0</v>
      </c>
      <c r="FQ62">
        <v>0</v>
      </c>
      <c r="FS62">
        <v>0</v>
      </c>
      <c r="FU62" s="38">
        <v>46112</v>
      </c>
      <c r="FY62">
        <v>0</v>
      </c>
      <c r="FZ62">
        <v>0</v>
      </c>
    </row>
    <row r="63" spans="1:182" x14ac:dyDescent="0.25">
      <c r="A63" t="s">
        <v>167</v>
      </c>
      <c r="B63" t="s">
        <v>168</v>
      </c>
      <c r="C63" t="s">
        <v>169</v>
      </c>
      <c r="D63" t="s">
        <v>170</v>
      </c>
      <c r="E63" t="s">
        <v>1097</v>
      </c>
      <c r="F63" t="s">
        <v>499</v>
      </c>
      <c r="I63">
        <v>0</v>
      </c>
      <c r="J63">
        <v>0</v>
      </c>
      <c r="M63">
        <v>0</v>
      </c>
      <c r="V63" t="s">
        <v>1098</v>
      </c>
      <c r="Y63">
        <v>0</v>
      </c>
      <c r="AD63">
        <v>0</v>
      </c>
      <c r="AE63">
        <v>0</v>
      </c>
      <c r="AI63" t="s">
        <v>325</v>
      </c>
      <c r="AJ63" t="s">
        <v>169</v>
      </c>
      <c r="AK63" t="s">
        <v>172</v>
      </c>
      <c r="AL63" s="38">
        <v>46185</v>
      </c>
      <c r="AM63">
        <v>-0.21</v>
      </c>
      <c r="AN63">
        <v>-7</v>
      </c>
      <c r="AO63" t="s">
        <v>173</v>
      </c>
      <c r="AP63" t="s">
        <v>174</v>
      </c>
      <c r="AQ63" t="s">
        <v>175</v>
      </c>
      <c r="AR63" t="s">
        <v>1245</v>
      </c>
      <c r="AU63">
        <v>750</v>
      </c>
      <c r="AV63" t="s">
        <v>1099</v>
      </c>
      <c r="AW63" t="s">
        <v>219</v>
      </c>
      <c r="AX63" t="s">
        <v>1179</v>
      </c>
      <c r="BA63">
        <v>0</v>
      </c>
      <c r="BL63">
        <v>0</v>
      </c>
      <c r="CM63">
        <v>0</v>
      </c>
      <c r="CN63" t="s">
        <v>1113</v>
      </c>
      <c r="CR63">
        <v>0</v>
      </c>
      <c r="CS63">
        <v>0</v>
      </c>
      <c r="CT63">
        <v>498</v>
      </c>
      <c r="CU63">
        <v>498</v>
      </c>
      <c r="CV63" t="s">
        <v>1101</v>
      </c>
      <c r="CX63" t="s">
        <v>326</v>
      </c>
      <c r="CZ63" t="s">
        <v>428</v>
      </c>
      <c r="DC63">
        <v>30</v>
      </c>
      <c r="DD63" t="s">
        <v>186</v>
      </c>
      <c r="DE63" t="s">
        <v>1102</v>
      </c>
      <c r="DF63" t="s">
        <v>447</v>
      </c>
      <c r="DG63">
        <v>100</v>
      </c>
      <c r="DH63">
        <v>850</v>
      </c>
      <c r="DL63" t="s">
        <v>178</v>
      </c>
      <c r="DN63">
        <v>4</v>
      </c>
      <c r="DV63">
        <v>0</v>
      </c>
      <c r="DW63">
        <v>0</v>
      </c>
      <c r="DX63">
        <v>0</v>
      </c>
      <c r="EA63" t="s">
        <v>1183</v>
      </c>
      <c r="EC63" t="s">
        <v>1184</v>
      </c>
      <c r="EE63" t="s">
        <v>1193</v>
      </c>
      <c r="EF63">
        <v>0</v>
      </c>
      <c r="EG63" t="s">
        <v>1246</v>
      </c>
      <c r="EI63">
        <v>4910</v>
      </c>
      <c r="EJ63">
        <v>1</v>
      </c>
      <c r="EK63" t="s">
        <v>1132</v>
      </c>
      <c r="EQ63">
        <v>0</v>
      </c>
      <c r="ET63">
        <v>0</v>
      </c>
      <c r="EU63">
        <v>750</v>
      </c>
      <c r="EV63">
        <v>0</v>
      </c>
      <c r="EW63">
        <v>0</v>
      </c>
      <c r="EX63">
        <v>0</v>
      </c>
      <c r="EY63">
        <v>0</v>
      </c>
      <c r="FE63">
        <v>0</v>
      </c>
      <c r="FF63">
        <v>0</v>
      </c>
      <c r="FG63">
        <v>0</v>
      </c>
      <c r="FI63">
        <v>0</v>
      </c>
      <c r="FM63">
        <v>0</v>
      </c>
      <c r="FO63">
        <v>0</v>
      </c>
      <c r="FQ63">
        <v>0</v>
      </c>
      <c r="FS63">
        <v>0</v>
      </c>
      <c r="FU63" s="38">
        <v>46203</v>
      </c>
      <c r="FY63">
        <v>0</v>
      </c>
      <c r="FZ63">
        <v>0</v>
      </c>
    </row>
    <row r="75" spans="16:16" x14ac:dyDescent="0.25">
      <c r="P75" t="s">
        <v>1247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CD958-64BC-4181-A81A-47818E409C8B}">
  <sheetPr codeName="Sheet4">
    <tabColor rgb="FFFF0000"/>
  </sheetPr>
  <dimension ref="B3:R37"/>
  <sheetViews>
    <sheetView topLeftCell="E1" zoomScale="90" zoomScaleNormal="90" workbookViewId="0">
      <selection activeCell="H29" sqref="H29"/>
    </sheetView>
  </sheetViews>
  <sheetFormatPr defaultRowHeight="15" x14ac:dyDescent="0.25"/>
  <cols>
    <col min="1" max="1" width="3.140625" customWidth="1"/>
    <col min="2" max="2" width="30.28515625" bestFit="1" customWidth="1"/>
    <col min="3" max="15" width="14.28515625" style="22" customWidth="1"/>
    <col min="16" max="16" width="13.85546875" style="22" customWidth="1"/>
    <col min="17" max="17" width="11.28515625" bestFit="1" customWidth="1"/>
  </cols>
  <sheetData>
    <row r="3" spans="2:16" x14ac:dyDescent="0.25">
      <c r="B3" t="s">
        <v>1029</v>
      </c>
      <c r="C3" s="71" t="s">
        <v>1248</v>
      </c>
      <c r="D3" s="71" t="s">
        <v>81</v>
      </c>
      <c r="E3" s="71" t="s">
        <v>82</v>
      </c>
      <c r="F3" s="71" t="s">
        <v>83</v>
      </c>
      <c r="G3" s="71" t="s">
        <v>84</v>
      </c>
      <c r="H3" s="71" t="s">
        <v>85</v>
      </c>
      <c r="I3" s="71" t="s">
        <v>86</v>
      </c>
      <c r="J3" s="71" t="s">
        <v>87</v>
      </c>
      <c r="K3" s="71" t="s">
        <v>88</v>
      </c>
      <c r="L3" s="71" t="s">
        <v>89</v>
      </c>
      <c r="M3" s="71" t="s">
        <v>90</v>
      </c>
      <c r="N3" s="71" t="s">
        <v>91</v>
      </c>
      <c r="O3" s="71" t="s">
        <v>92</v>
      </c>
      <c r="P3" s="22" t="s">
        <v>104</v>
      </c>
    </row>
    <row r="4" spans="2:16" x14ac:dyDescent="0.25">
      <c r="B4" t="s">
        <v>37</v>
      </c>
      <c r="C4" s="22">
        <f>+SUMIF('BASE FILE '!$Q:$Q,C$3,'BASE FILE '!$AW:$AW)</f>
        <v>0</v>
      </c>
      <c r="D4" s="22">
        <f>+SUMIF('BASE FILE '!$Q:$Q,D$3,'BASE FILE '!$AW:$AW)</f>
        <v>0</v>
      </c>
      <c r="E4" s="22">
        <f>+SUMIF('BASE FILE '!$Q:$Q,E$3,'BASE FILE '!$AW:$AW)</f>
        <v>0</v>
      </c>
      <c r="F4" s="22">
        <f>+SUMIF('BASE FILE '!$Q:$Q,F$3,'BASE FILE '!$AW:$AW)</f>
        <v>0</v>
      </c>
      <c r="G4" s="22">
        <f>+SUMIF('BASE FILE '!$Q:$Q,G$3,'BASE FILE '!$AW:$AW)</f>
        <v>0</v>
      </c>
      <c r="H4" s="22">
        <f>+SUMIF('BASE FILE '!$Q:$Q,H$3,'BASE FILE '!$AW:$AW)</f>
        <v>0</v>
      </c>
      <c r="I4" s="22">
        <f>+SUMIF('BASE FILE '!$Q:$Q,I$3,'BASE FILE '!$AW:$AW)</f>
        <v>0</v>
      </c>
      <c r="J4" s="22">
        <f>+SUMIF('BASE FILE '!$Q:$Q,J$3,'BASE FILE '!$AW:$AW)</f>
        <v>-2749.5</v>
      </c>
      <c r="K4" s="22">
        <f>+SUMIF('BASE FILE '!$Q:$Q,K$3,'BASE FILE '!$AW:$AW)</f>
        <v>-320</v>
      </c>
      <c r="L4" s="22">
        <f>+SUMIF('BASE FILE '!$Q:$Q,L$3,'BASE FILE '!$AW:$AW)</f>
        <v>0</v>
      </c>
      <c r="M4" s="22">
        <f>+SUMIF('BASE FILE '!$Q:$Q,M$3,'BASE FILE '!$AW:$AW)</f>
        <v>0</v>
      </c>
      <c r="N4" s="22">
        <f>+SUMIF('BASE FILE '!$Q:$Q,N$3,'BASE FILE '!$AW:$AW)</f>
        <v>0</v>
      </c>
      <c r="O4" s="22">
        <f>+SUMIF('BASE FILE '!$Q:$Q,O$3,'BASE FILE '!$AW:$AW)</f>
        <v>0</v>
      </c>
      <c r="P4" s="22">
        <f>+SUM(C4:O4)</f>
        <v>-3069.5</v>
      </c>
    </row>
    <row r="5" spans="2:16" x14ac:dyDescent="0.25">
      <c r="B5" t="s">
        <v>41</v>
      </c>
      <c r="C5" s="22">
        <f>+SUMIF('BASE FILE '!$Q:$Q,C$3,'BASE FILE '!$AX:$AX)</f>
        <v>0</v>
      </c>
      <c r="D5" s="22">
        <f>+SUMIF('BASE FILE '!$Q:$Q,D$3,'BASE FILE '!$AX:$AX)</f>
        <v>0</v>
      </c>
      <c r="E5" s="22">
        <f>+SUMIF('BASE FILE '!$Q:$Q,E$3,'BASE FILE '!$AX:$AX)</f>
        <v>0</v>
      </c>
      <c r="F5" s="22">
        <f>+SUMIF('BASE FILE '!$Q:$Q,F$3,'BASE FILE '!$AX:$AX)</f>
        <v>0</v>
      </c>
      <c r="G5" s="22">
        <f>+SUMIF('BASE FILE '!$Q:$Q,G$3,'BASE FILE '!$AX:$AX)</f>
        <v>-4</v>
      </c>
      <c r="H5" s="22">
        <f>+SUMIF('BASE FILE '!$Q:$Q,H$3,'BASE FILE '!$AX:$AX)</f>
        <v>0</v>
      </c>
      <c r="I5" s="22">
        <f>+SUMIF('BASE FILE '!$Q:$Q,I$3,'BASE FILE '!$AX:$AX)</f>
        <v>0</v>
      </c>
      <c r="J5" s="22">
        <f>+SUMIF('BASE FILE '!$Q:$Q,J$3,'BASE FILE '!$AX:$AX)</f>
        <v>-370</v>
      </c>
      <c r="K5" s="22">
        <f>+SUMIF('BASE FILE '!$Q:$Q,K$3,'BASE FILE '!$AX:$AX)</f>
        <v>-2880</v>
      </c>
      <c r="L5" s="22">
        <f>+SUMIF('BASE FILE '!$Q:$Q,L$3,'BASE FILE '!$AX:$AX)</f>
        <v>-320</v>
      </c>
      <c r="M5" s="22">
        <f>+SUMIF('BASE FILE '!$Q:$Q,M$3,'BASE FILE '!$AX:$AX)</f>
        <v>0</v>
      </c>
      <c r="N5" s="22">
        <f>+SUMIF('BASE FILE '!$Q:$Q,N$3,'BASE FILE '!$AX:$AX)</f>
        <v>0</v>
      </c>
      <c r="O5" s="22">
        <f>+SUMIF('BASE FILE '!$Q:$Q,O$3,'BASE FILE '!$AX:$AX)</f>
        <v>0</v>
      </c>
      <c r="P5" s="22">
        <f t="shared" ref="P5:P25" si="0">+SUM(C5:O5)</f>
        <v>-3574</v>
      </c>
    </row>
    <row r="6" spans="2:16" x14ac:dyDescent="0.25">
      <c r="B6" t="s">
        <v>44</v>
      </c>
      <c r="C6" s="22">
        <f>+SUMIF('BASE FILE '!$Q:$Q,C$3,'BASE FILE '!$AY:$AY)</f>
        <v>0</v>
      </c>
      <c r="D6" s="22">
        <f>+SUMIF('BASE FILE '!$Q:$Q,D$3,'BASE FILE '!$AY:$AY)</f>
        <v>0</v>
      </c>
      <c r="E6" s="22">
        <f>+SUMIF('BASE FILE '!$Q:$Q,E$3,'BASE FILE '!$AY:$AY)</f>
        <v>0</v>
      </c>
      <c r="F6" s="22">
        <f>+SUMIF('BASE FILE '!$Q:$Q,F$3,'BASE FILE '!$AY:$AY)</f>
        <v>0</v>
      </c>
      <c r="G6" s="22">
        <f>+SUMIF('BASE FILE '!$Q:$Q,G$3,'BASE FILE '!$AY:$AY)</f>
        <v>0</v>
      </c>
      <c r="H6" s="22">
        <f>+SUMIF('BASE FILE '!$Q:$Q,H$3,'BASE FILE '!$AY:$AY)</f>
        <v>0</v>
      </c>
      <c r="I6" s="22">
        <f>+SUMIF('BASE FILE '!$Q:$Q,I$3,'BASE FILE '!$AY:$AY)</f>
        <v>0</v>
      </c>
      <c r="J6" s="22">
        <f>+SUMIF('BASE FILE '!$Q:$Q,J$3,'BASE FILE '!$AY:$AY)</f>
        <v>-480</v>
      </c>
      <c r="K6" s="22">
        <f>+SUMIF('BASE FILE '!$Q:$Q,K$3,'BASE FILE '!$AY:$AY)</f>
        <v>-560</v>
      </c>
      <c r="L6" s="22">
        <f>+SUMIF('BASE FILE '!$Q:$Q,L$3,'BASE FILE '!$AY:$AY)</f>
        <v>-1360</v>
      </c>
      <c r="M6" s="22">
        <f>+SUMIF('BASE FILE '!$Q:$Q,M$3,'BASE FILE '!$AY:$AY)</f>
        <v>0</v>
      </c>
      <c r="N6" s="22">
        <f>+SUMIF('BASE FILE '!$Q:$Q,N$3,'BASE FILE '!$AY:$AY)</f>
        <v>0</v>
      </c>
      <c r="O6" s="22">
        <f>+SUMIF('BASE FILE '!$Q:$Q,O$3,'BASE FILE '!$AY:$AY)</f>
        <v>0</v>
      </c>
      <c r="P6" s="22">
        <f t="shared" si="0"/>
        <v>-2400</v>
      </c>
    </row>
    <row r="7" spans="2:16" x14ac:dyDescent="0.25">
      <c r="B7" t="s">
        <v>47</v>
      </c>
      <c r="C7" s="22">
        <f>+SUMIF('BASE FILE '!$Q:$Q,C$3,'BASE FILE '!$AZ:$AZ)</f>
        <v>0</v>
      </c>
      <c r="D7" s="22">
        <f>+SUMIF('BASE FILE '!$Q:$Q,D$3,'BASE FILE '!$AZ:$AZ)</f>
        <v>0</v>
      </c>
      <c r="E7" s="22">
        <f>+SUMIF('BASE FILE '!$Q:$Q,E$3,'BASE FILE '!$AZ:$AZ)</f>
        <v>0</v>
      </c>
      <c r="F7" s="22">
        <f>+SUMIF('BASE FILE '!$Q:$Q,F$3,'BASE FILE '!$AZ:$AZ)</f>
        <v>0</v>
      </c>
      <c r="G7" s="22">
        <f>+SUMIF('BASE FILE '!$Q:$Q,G$3,'BASE FILE '!$AZ:$AZ)</f>
        <v>0</v>
      </c>
      <c r="H7" s="22">
        <f>+SUMIF('BASE FILE '!$Q:$Q,H$3,'BASE FILE '!$AZ:$AZ)</f>
        <v>0</v>
      </c>
      <c r="I7" s="22">
        <f>+SUMIF('BASE FILE '!$Q:$Q,I$3,'BASE FILE '!$AZ:$AZ)</f>
        <v>0</v>
      </c>
      <c r="J7" s="22">
        <f>+SUMIF('BASE FILE '!$Q:$Q,J$3,'BASE FILE '!$AZ:$AZ)</f>
        <v>0</v>
      </c>
      <c r="K7" s="22">
        <f>+SUMIF('BASE FILE '!$Q:$Q,K$3,'BASE FILE '!$AZ:$AZ)</f>
        <v>-594</v>
      </c>
      <c r="L7" s="22">
        <f>+SUMIF('BASE FILE '!$Q:$Q,L$3,'BASE FILE '!$AZ:$AZ)</f>
        <v>-712.8</v>
      </c>
      <c r="M7" s="22">
        <f>+SUMIF('BASE FILE '!$Q:$Q,M$3,'BASE FILE '!$AZ:$AZ)</f>
        <v>-712.8</v>
      </c>
      <c r="N7" s="22">
        <f>+SUMIF('BASE FILE '!$Q:$Q,N$3,'BASE FILE '!$AZ:$AZ)</f>
        <v>-712.8</v>
      </c>
      <c r="O7" s="22">
        <f>+SUMIF('BASE FILE '!$Q:$Q,O$3,'BASE FILE '!$AZ:$AZ)</f>
        <v>-475.20000000000005</v>
      </c>
      <c r="P7" s="22">
        <f t="shared" si="0"/>
        <v>-3207.5999999999995</v>
      </c>
    </row>
    <row r="8" spans="2:16" x14ac:dyDescent="0.25">
      <c r="B8" t="s">
        <v>50</v>
      </c>
      <c r="C8" s="22">
        <f>+SUMIF('BASE FILE '!$Q:$Q,C$3,'BASE FILE '!$BA:$BA)</f>
        <v>0</v>
      </c>
      <c r="D8" s="22">
        <f>+SUMIF('BASE FILE '!$Q:$Q,D$3,'BASE FILE '!$BA:$BA)</f>
        <v>0</v>
      </c>
      <c r="E8" s="22">
        <f>+SUMIF('BASE FILE '!$Q:$Q,E$3,'BASE FILE '!$BA:$BA)</f>
        <v>0</v>
      </c>
      <c r="F8" s="22">
        <f>+SUMIF('BASE FILE '!$Q:$Q,F$3,'BASE FILE '!$BA:$BA)</f>
        <v>0</v>
      </c>
      <c r="G8" s="22">
        <f>+SUMIF('BASE FILE '!$Q:$Q,G$3,'BASE FILE '!$BA:$BA)</f>
        <v>0</v>
      </c>
      <c r="H8" s="22">
        <f>+SUMIF('BASE FILE '!$Q:$Q,H$3,'BASE FILE '!$BA:$BA)</f>
        <v>0</v>
      </c>
      <c r="I8" s="22">
        <f>+SUMIF('BASE FILE '!$Q:$Q,I$3,'BASE FILE '!$BA:$BA)</f>
        <v>0</v>
      </c>
      <c r="J8" s="22">
        <f>+SUMIF('BASE FILE '!$Q:$Q,J$3,'BASE FILE '!$BA:$BA)</f>
        <v>0</v>
      </c>
      <c r="K8" s="22">
        <f>+SUMIF('BASE FILE '!$Q:$Q,K$3,'BASE FILE '!$BA:$BA)</f>
        <v>0</v>
      </c>
      <c r="L8" s="22">
        <f>+SUMIF('BASE FILE '!$Q:$Q,L$3,'BASE FILE '!$BA:$BA)</f>
        <v>0</v>
      </c>
      <c r="M8" s="22">
        <f>+SUMIF('BASE FILE '!$Q:$Q,M$3,'BASE FILE '!$BA:$BA)</f>
        <v>0</v>
      </c>
      <c r="N8" s="22">
        <f>+SUMIF('BASE FILE '!$Q:$Q,N$3,'BASE FILE '!$BA:$BA)</f>
        <v>0</v>
      </c>
      <c r="O8" s="22">
        <f>+SUMIF('BASE FILE '!$Q:$Q,O$3,'BASE FILE '!$BA:$BA)</f>
        <v>0</v>
      </c>
      <c r="P8" s="22">
        <f t="shared" si="0"/>
        <v>0</v>
      </c>
    </row>
    <row r="9" spans="2:16" x14ac:dyDescent="0.25">
      <c r="B9" t="s">
        <v>52</v>
      </c>
      <c r="C9" s="22">
        <f>+SUMIF('BASE FILE '!$Q:$Q,C$3,'BASE FILE '!$BB:$BB)</f>
        <v>0</v>
      </c>
      <c r="D9" s="22">
        <f>+SUMIF('BASE FILE '!$Q:$Q,D$3,'BASE FILE '!$BB:$BB)</f>
        <v>0</v>
      </c>
      <c r="E9" s="22">
        <f>+SUMIF('BASE FILE '!$Q:$Q,E$3,'BASE FILE '!$BB:$BB)</f>
        <v>0</v>
      </c>
      <c r="F9" s="22">
        <f>+SUMIF('BASE FILE '!$Q:$Q,F$3,'BASE FILE '!$BB:$BB)</f>
        <v>0</v>
      </c>
      <c r="G9" s="22">
        <f>+SUMIF('BASE FILE '!$Q:$Q,G$3,'BASE FILE '!$BB:$BB)</f>
        <v>0</v>
      </c>
      <c r="H9" s="22">
        <f>+SUMIF('BASE FILE '!$Q:$Q,H$3,'BASE FILE '!$BB:$BB)</f>
        <v>0</v>
      </c>
      <c r="I9" s="22">
        <f>+SUMIF('BASE FILE '!$Q:$Q,I$3,'BASE FILE '!$BB:$BB)</f>
        <v>0</v>
      </c>
      <c r="J9" s="22">
        <f>+SUMIF('BASE FILE '!$Q:$Q,J$3,'BASE FILE '!$BB:$BB)</f>
        <v>0</v>
      </c>
      <c r="K9" s="22">
        <f>+SUMIF('BASE FILE '!$Q:$Q,K$3,'BASE FILE '!$BB:$BB)</f>
        <v>0</v>
      </c>
      <c r="L9" s="22">
        <f>+SUMIF('BASE FILE '!$Q:$Q,L$3,'BASE FILE '!$BB:$BB)</f>
        <v>0</v>
      </c>
      <c r="M9" s="22">
        <f>+SUMIF('BASE FILE '!$Q:$Q,M$3,'BASE FILE '!$BB:$BB)</f>
        <v>0</v>
      </c>
      <c r="N9" s="22">
        <f>+SUMIF('BASE FILE '!$Q:$Q,N$3,'BASE FILE '!$BB:$BB)</f>
        <v>0</v>
      </c>
      <c r="O9" s="22">
        <f>+SUMIF('BASE FILE '!$Q:$Q,O$3,'BASE FILE '!$BB:$BB)</f>
        <v>0</v>
      </c>
      <c r="P9" s="22">
        <f t="shared" si="0"/>
        <v>0</v>
      </c>
    </row>
    <row r="10" spans="2:16" x14ac:dyDescent="0.25">
      <c r="B10" t="s">
        <v>54</v>
      </c>
      <c r="C10" s="22">
        <f>+SUMIF('BASE FILE '!$Q:$Q,C$3,'BASE FILE '!$BC:$BC)</f>
        <v>0</v>
      </c>
      <c r="D10" s="22">
        <f>+SUMIF('BASE FILE '!$Q:$Q,D$3,'BASE FILE '!$BC:$BC)</f>
        <v>0</v>
      </c>
      <c r="E10" s="22">
        <f>+SUMIF('BASE FILE '!$Q:$Q,E$3,'BASE FILE '!$BC:$BC)</f>
        <v>0</v>
      </c>
      <c r="F10" s="22">
        <f>+SUMIF('BASE FILE '!$Q:$Q,F$3,'BASE FILE '!$BC:$BC)</f>
        <v>0</v>
      </c>
      <c r="G10" s="22">
        <f>+SUMIF('BASE FILE '!$Q:$Q,G$3,'BASE FILE '!$BC:$BC)</f>
        <v>0</v>
      </c>
      <c r="H10" s="22">
        <f>+SUMIF('BASE FILE '!$Q:$Q,H$3,'BASE FILE '!$BC:$BC)</f>
        <v>0</v>
      </c>
      <c r="I10" s="22">
        <f>+SUMIF('BASE FILE '!$Q:$Q,I$3,'BASE FILE '!$BC:$BC)</f>
        <v>0</v>
      </c>
      <c r="J10" s="22">
        <f>+SUMIF('BASE FILE '!$Q:$Q,J$3,'BASE FILE '!$BC:$BC)</f>
        <v>-224</v>
      </c>
      <c r="K10" s="22">
        <f>+SUMIF('BASE FILE '!$Q:$Q,K$3,'BASE FILE '!$BC:$BC)</f>
        <v>-910</v>
      </c>
      <c r="L10" s="22">
        <f>+SUMIF('BASE FILE '!$Q:$Q,L$3,'BASE FILE '!$BC:$BC)</f>
        <v>-1831.1999999999998</v>
      </c>
      <c r="M10" s="22">
        <f>+SUMIF('BASE FILE '!$Q:$Q,M$3,'BASE FILE '!$BC:$BC)</f>
        <v>-151.20000000000002</v>
      </c>
      <c r="N10" s="22">
        <f>+SUMIF('BASE FILE '!$Q:$Q,N$3,'BASE FILE '!$BC:$BC)</f>
        <v>-151.20000000000002</v>
      </c>
      <c r="O10" s="22">
        <f>+SUMIF('BASE FILE '!$Q:$Q,O$3,'BASE FILE '!$BC:$BC)</f>
        <v>-100.80000000000001</v>
      </c>
      <c r="P10" s="22">
        <f t="shared" si="0"/>
        <v>-3368.3999999999996</v>
      </c>
    </row>
    <row r="11" spans="2:16" x14ac:dyDescent="0.25">
      <c r="B11" t="s">
        <v>56</v>
      </c>
      <c r="C11" s="22">
        <f>+SUMIF('BASE FILE '!$Q:$Q,C$3,'BASE FILE '!$BD:$BD)</f>
        <v>0</v>
      </c>
      <c r="D11" s="22">
        <f>+SUMIF('BASE FILE '!$Q:$Q,D$3,'BASE FILE '!$BD:$BD)</f>
        <v>0</v>
      </c>
      <c r="E11" s="22">
        <f>+SUMIF('BASE FILE '!$Q:$Q,E$3,'BASE FILE '!$BD:$BD)</f>
        <v>0</v>
      </c>
      <c r="F11" s="22">
        <f>+SUMIF('BASE FILE '!$Q:$Q,F$3,'BASE FILE '!$BD:$BD)</f>
        <v>0</v>
      </c>
      <c r="G11" s="22">
        <f>+SUMIF('BASE FILE '!$Q:$Q,G$3,'BASE FILE '!$BD:$BD)</f>
        <v>0</v>
      </c>
      <c r="H11" s="22">
        <f>+SUMIF('BASE FILE '!$Q:$Q,H$3,'BASE FILE '!$BD:$BD)</f>
        <v>0</v>
      </c>
      <c r="I11" s="22">
        <f>+SUMIF('BASE FILE '!$Q:$Q,I$3,'BASE FILE '!$BD:$BD)</f>
        <v>0</v>
      </c>
      <c r="J11" s="22">
        <f>+SUMIF('BASE FILE '!$Q:$Q,J$3,'BASE FILE '!$BD:$BD)</f>
        <v>0</v>
      </c>
      <c r="K11" s="22">
        <f>+SUMIF('BASE FILE '!$Q:$Q,K$3,'BASE FILE '!$BD:$BD)</f>
        <v>-360</v>
      </c>
      <c r="L11" s="22">
        <f>+SUMIF('BASE FILE '!$Q:$Q,L$3,'BASE FILE '!$BD:$BD)</f>
        <v>-432</v>
      </c>
      <c r="M11" s="22">
        <f>+SUMIF('BASE FILE '!$Q:$Q,M$3,'BASE FILE '!$BD:$BD)</f>
        <v>-432</v>
      </c>
      <c r="N11" s="22">
        <f>+SUMIF('BASE FILE '!$Q:$Q,N$3,'BASE FILE '!$BD:$BD)</f>
        <v>-432</v>
      </c>
      <c r="O11" s="22">
        <f>+SUMIF('BASE FILE '!$Q:$Q,O$3,'BASE FILE '!$BD:$BD)</f>
        <v>-288</v>
      </c>
      <c r="P11" s="22">
        <f t="shared" si="0"/>
        <v>-1944</v>
      </c>
    </row>
    <row r="12" spans="2:16" x14ac:dyDescent="0.25">
      <c r="B12" t="s">
        <v>58</v>
      </c>
      <c r="C12" s="22">
        <f>+SUMIF('BASE FILE '!$Q:$Q,C$3,'BASE FILE '!$BE:$BE)</f>
        <v>0</v>
      </c>
      <c r="D12" s="22">
        <f>+SUMIF('BASE FILE '!$Q:$Q,D$3,'BASE FILE '!$BE:$BE)</f>
        <v>0</v>
      </c>
      <c r="E12" s="22">
        <f>+SUMIF('BASE FILE '!$Q:$Q,E$3,'BASE FILE '!$BE:$BE)</f>
        <v>0</v>
      </c>
      <c r="F12" s="22">
        <f>+SUMIF('BASE FILE '!$Q:$Q,F$3,'BASE FILE '!$BE:$BE)</f>
        <v>0</v>
      </c>
      <c r="G12" s="22">
        <f>+SUMIF('BASE FILE '!$Q:$Q,G$3,'BASE FILE '!$BE:$BE)</f>
        <v>0</v>
      </c>
      <c r="H12" s="22">
        <f>+SUMIF('BASE FILE '!$Q:$Q,H$3,'BASE FILE '!$BE:$BE)</f>
        <v>0</v>
      </c>
      <c r="I12" s="22">
        <f>+SUMIF('BASE FILE '!$Q:$Q,I$3,'BASE FILE '!$BE:$BE)</f>
        <v>0</v>
      </c>
      <c r="J12" s="22">
        <f>+SUMIF('BASE FILE '!$Q:$Q,J$3,'BASE FILE '!$BE:$BE)</f>
        <v>0</v>
      </c>
      <c r="K12" s="22">
        <f>+SUMIF('BASE FILE '!$Q:$Q,K$3,'BASE FILE '!$BE:$BE)</f>
        <v>0</v>
      </c>
      <c r="L12" s="22">
        <f>+SUMIF('BASE FILE '!$Q:$Q,L$3,'BASE FILE '!$BE:$BE)</f>
        <v>0</v>
      </c>
      <c r="M12" s="22">
        <f>+SUMIF('BASE FILE '!$Q:$Q,M$3,'BASE FILE '!$BE:$BE)</f>
        <v>0</v>
      </c>
      <c r="N12" s="22">
        <f>+SUMIF('BASE FILE '!$Q:$Q,N$3,'BASE FILE '!$BE:$BE)</f>
        <v>0</v>
      </c>
      <c r="O12" s="22">
        <f>+SUMIF('BASE FILE '!$Q:$Q,O$3,'BASE FILE '!$BE:$BE)</f>
        <v>0</v>
      </c>
      <c r="P12" s="22">
        <f t="shared" si="0"/>
        <v>0</v>
      </c>
    </row>
    <row r="13" spans="2:16" x14ac:dyDescent="0.25">
      <c r="B13" t="s">
        <v>60</v>
      </c>
      <c r="C13" s="22">
        <f>+SUMIF('BASE FILE '!$Q:$Q,C$3,'BASE FILE '!$BF:$BF)</f>
        <v>0</v>
      </c>
      <c r="D13" s="22">
        <f>+SUMIF('BASE FILE '!$Q:$Q,D$3,'BASE FILE '!$BF:$BF)</f>
        <v>0</v>
      </c>
      <c r="E13" s="22">
        <f>+SUMIF('BASE FILE '!$Q:$Q,E$3,'BASE FILE '!$BF:$BF)</f>
        <v>0</v>
      </c>
      <c r="F13" s="22">
        <f>+SUMIF('BASE FILE '!$Q:$Q,F$3,'BASE FILE '!$BF:$BF)</f>
        <v>0</v>
      </c>
      <c r="G13" s="22">
        <f>+SUMIF('BASE FILE '!$Q:$Q,G$3,'BASE FILE '!$BF:$BF)</f>
        <v>0</v>
      </c>
      <c r="H13" s="22">
        <f>+SUMIF('BASE FILE '!$Q:$Q,H$3,'BASE FILE '!$BF:$BF)</f>
        <v>0</v>
      </c>
      <c r="I13" s="22">
        <f>+SUMIF('BASE FILE '!$Q:$Q,I$3,'BASE FILE '!$BF:$BF)</f>
        <v>0</v>
      </c>
      <c r="J13" s="22">
        <f>+SUMIF('BASE FILE '!$Q:$Q,J$3,'BASE FILE '!$BF:$BF)</f>
        <v>0</v>
      </c>
      <c r="K13" s="22">
        <f>+SUMIF('BASE FILE '!$Q:$Q,K$3,'BASE FILE '!$BF:$BF)</f>
        <v>-270</v>
      </c>
      <c r="L13" s="22">
        <f>+SUMIF('BASE FILE '!$Q:$Q,L$3,'BASE FILE '!$BF:$BF)</f>
        <v>-323.99999999999994</v>
      </c>
      <c r="M13" s="22">
        <f>+SUMIF('BASE FILE '!$Q:$Q,M$3,'BASE FILE '!$BF:$BF)</f>
        <v>-323.99999999999994</v>
      </c>
      <c r="N13" s="22">
        <f>+SUMIF('BASE FILE '!$Q:$Q,N$3,'BASE FILE '!$BF:$BF)</f>
        <v>-323.99999999999994</v>
      </c>
      <c r="O13" s="22">
        <f>+SUMIF('BASE FILE '!$Q:$Q,O$3,'BASE FILE '!$BF:$BF)</f>
        <v>-216</v>
      </c>
      <c r="P13" s="22">
        <f t="shared" si="0"/>
        <v>-1458</v>
      </c>
    </row>
    <row r="14" spans="2:16" x14ac:dyDescent="0.25">
      <c r="B14" t="s">
        <v>61</v>
      </c>
      <c r="C14" s="22">
        <f>+SUMIF('BASE FILE '!$Q:$Q,C$3,'BASE FILE '!$BG:$BG)</f>
        <v>0</v>
      </c>
      <c r="D14" s="22">
        <f>+SUMIF('BASE FILE '!$Q:$Q,D$3,'BASE FILE '!$BG:$BG)</f>
        <v>0</v>
      </c>
      <c r="E14" s="22">
        <f>+SUMIF('BASE FILE '!$Q:$Q,E$3,'BASE FILE '!$BG:$BG)</f>
        <v>0</v>
      </c>
      <c r="F14" s="22">
        <f>+SUMIF('BASE FILE '!$Q:$Q,F$3,'BASE FILE '!$BG:$BG)</f>
        <v>0</v>
      </c>
      <c r="G14" s="22">
        <f>+SUMIF('BASE FILE '!$Q:$Q,G$3,'BASE FILE '!$BG:$BG)</f>
        <v>0</v>
      </c>
      <c r="H14" s="22">
        <f>+SUMIF('BASE FILE '!$Q:$Q,H$3,'BASE FILE '!$BG:$BG)</f>
        <v>0</v>
      </c>
      <c r="I14" s="22">
        <f>+SUMIF('BASE FILE '!$Q:$Q,I$3,'BASE FILE '!$BG:$BG)</f>
        <v>0</v>
      </c>
      <c r="J14" s="22">
        <f>+SUMIF('BASE FILE '!$Q:$Q,J$3,'BASE FILE '!$BG:$BG)</f>
        <v>0</v>
      </c>
      <c r="K14" s="22">
        <f>+SUMIF('BASE FILE '!$Q:$Q,K$3,'BASE FILE '!$BG:$BG)</f>
        <v>-36</v>
      </c>
      <c r="L14" s="22">
        <f>+SUMIF('BASE FILE '!$Q:$Q,L$3,'BASE FILE '!$BG:$BG)</f>
        <v>-43.2</v>
      </c>
      <c r="M14" s="22">
        <f>+SUMIF('BASE FILE '!$Q:$Q,M$3,'BASE FILE '!$BG:$BG)</f>
        <v>-43.2</v>
      </c>
      <c r="N14" s="22">
        <f>+SUMIF('BASE FILE '!$Q:$Q,N$3,'BASE FILE '!$BG:$BG)</f>
        <v>-43.2</v>
      </c>
      <c r="O14" s="22">
        <f>+SUMIF('BASE FILE '!$Q:$Q,O$3,'BASE FILE '!$BG:$BG)</f>
        <v>-28.800000000000004</v>
      </c>
      <c r="P14" s="22">
        <f t="shared" si="0"/>
        <v>-194.40000000000003</v>
      </c>
    </row>
    <row r="15" spans="2:16" x14ac:dyDescent="0.25">
      <c r="B15" t="s">
        <v>64</v>
      </c>
      <c r="C15" s="22">
        <f>+SUMIF('BASE FILE '!$Q:$Q,C$3,'BASE FILE '!$BH:$BH)</f>
        <v>0</v>
      </c>
      <c r="D15" s="22">
        <f>+SUMIF('BASE FILE '!$Q:$Q,D$3,'BASE FILE '!$BH:$BH)</f>
        <v>0</v>
      </c>
      <c r="E15" s="22">
        <f>+SUMIF('BASE FILE '!$Q:$Q,E$3,'BASE FILE '!$BH:$BH)</f>
        <v>0</v>
      </c>
      <c r="F15" s="22">
        <f>+SUMIF('BASE FILE '!$Q:$Q,F$3,'BASE FILE '!$BH:$BH)</f>
        <v>0</v>
      </c>
      <c r="G15" s="22">
        <f>+SUMIF('BASE FILE '!$Q:$Q,G$3,'BASE FILE '!$BH:$BH)</f>
        <v>0</v>
      </c>
      <c r="H15" s="22">
        <f>+SUMIF('BASE FILE '!$Q:$Q,H$3,'BASE FILE '!$BH:$BH)</f>
        <v>0</v>
      </c>
      <c r="I15" s="22">
        <f>+SUMIF('BASE FILE '!$Q:$Q,I$3,'BASE FILE '!$BH:$BH)</f>
        <v>-640</v>
      </c>
      <c r="J15" s="22">
        <f>+SUMIF('BASE FILE '!$Q:$Q,J$3,'BASE FILE '!$BH:$BH)</f>
        <v>-1536</v>
      </c>
      <c r="K15" s="22">
        <f>+SUMIF('BASE FILE '!$Q:$Q,K$3,'BASE FILE '!$BH:$BH)</f>
        <v>-1216</v>
      </c>
      <c r="L15" s="22">
        <f>+SUMIF('BASE FILE '!$Q:$Q,L$3,'BASE FILE '!$BH:$BH)</f>
        <v>-2400</v>
      </c>
      <c r="M15" s="22">
        <f>+SUMIF('BASE FILE '!$Q:$Q,M$3,'BASE FILE '!$BH:$BH)</f>
        <v>-640</v>
      </c>
      <c r="N15" s="22">
        <f>+SUMIF('BASE FILE '!$Q:$Q,N$3,'BASE FILE '!$BH:$BH)</f>
        <v>0</v>
      </c>
      <c r="O15" s="22">
        <f>+SUMIF('BASE FILE '!$Q:$Q,O$3,'BASE FILE '!$BH:$BH)</f>
        <v>0</v>
      </c>
      <c r="P15" s="22">
        <f t="shared" si="0"/>
        <v>-6432</v>
      </c>
    </row>
    <row r="16" spans="2:16" x14ac:dyDescent="0.25">
      <c r="B16" t="s">
        <v>66</v>
      </c>
      <c r="C16" s="22">
        <f>+SUMIF('BASE FILE '!$Q:$Q,C$3,'BASE FILE '!$BI:$BI)</f>
        <v>0</v>
      </c>
      <c r="D16" s="22">
        <f>+SUMIF('BASE FILE '!$Q:$Q,D$3,'BASE FILE '!$BI:$BI)</f>
        <v>0</v>
      </c>
      <c r="E16" s="22">
        <f>+SUMIF('BASE FILE '!$Q:$Q,E$3,'BASE FILE '!$BI:$BI)</f>
        <v>0</v>
      </c>
      <c r="F16" s="22">
        <f>+SUMIF('BASE FILE '!$Q:$Q,F$3,'BASE FILE '!$BI:$BI)</f>
        <v>0</v>
      </c>
      <c r="G16" s="22">
        <f>+SUMIF('BASE FILE '!$Q:$Q,G$3,'BASE FILE '!$BI:$BI)</f>
        <v>0</v>
      </c>
      <c r="H16" s="22">
        <f>+SUMIF('BASE FILE '!$Q:$Q,H$3,'BASE FILE '!$BI:$BI)</f>
        <v>0</v>
      </c>
      <c r="I16" s="22">
        <f>+SUMIF('BASE FILE '!$Q:$Q,I$3,'BASE FILE '!$BI:$BI)</f>
        <v>-320</v>
      </c>
      <c r="J16" s="22">
        <f>+SUMIF('BASE FILE '!$Q:$Q,J$3,'BASE FILE '!$BI:$BI)</f>
        <v>-960</v>
      </c>
      <c r="K16" s="22">
        <f>+SUMIF('BASE FILE '!$Q:$Q,K$3,'BASE FILE '!$BI:$BI)</f>
        <v>-1000</v>
      </c>
      <c r="L16" s="22">
        <f>+SUMIF('BASE FILE '!$Q:$Q,L$3,'BASE FILE '!$BI:$BI)</f>
        <v>-882</v>
      </c>
      <c r="M16" s="22">
        <f>+SUMIF('BASE FILE '!$Q:$Q,M$3,'BASE FILE '!$BI:$BI)</f>
        <v>-2682</v>
      </c>
      <c r="N16" s="22">
        <f>+SUMIF('BASE FILE '!$Q:$Q,N$3,'BASE FILE '!$BI:$BI)</f>
        <v>-432</v>
      </c>
      <c r="O16" s="22">
        <f>+SUMIF('BASE FILE '!$Q:$Q,O$3,'BASE FILE '!$BI:$BI)</f>
        <v>-288</v>
      </c>
      <c r="P16" s="22">
        <f t="shared" si="0"/>
        <v>-6564</v>
      </c>
    </row>
    <row r="17" spans="2:18" x14ac:dyDescent="0.25">
      <c r="B17" t="s">
        <v>67</v>
      </c>
      <c r="C17" s="22">
        <f>+SUMIF('BASE FILE '!$Q:$Q,C$3,'BASE FILE '!$BJ:$BJ)</f>
        <v>0</v>
      </c>
      <c r="D17" s="22">
        <f>+SUMIF('BASE FILE '!$Q:$Q,D$3,'BASE FILE '!$BJ:$BJ)</f>
        <v>0</v>
      </c>
      <c r="E17" s="22">
        <f>+SUMIF('BASE FILE '!$Q:$Q,E$3,'BASE FILE '!$BJ:$BJ)</f>
        <v>0</v>
      </c>
      <c r="F17" s="22">
        <f>+SUMIF('BASE FILE '!$Q:$Q,F$3,'BASE FILE '!$BJ:$BJ)</f>
        <v>0</v>
      </c>
      <c r="G17" s="22">
        <f>+SUMIF('BASE FILE '!$Q:$Q,G$3,'BASE FILE '!$BJ:$BJ)</f>
        <v>0</v>
      </c>
      <c r="H17" s="22">
        <f>+SUMIF('BASE FILE '!$Q:$Q,H$3,'BASE FILE '!$BJ:$BJ)</f>
        <v>0</v>
      </c>
      <c r="I17" s="22">
        <f>+SUMIF('BASE FILE '!$Q:$Q,I$3,'BASE FILE '!$BJ:$BJ)</f>
        <v>0</v>
      </c>
      <c r="J17" s="22">
        <f>+SUMIF('BASE FILE '!$Q:$Q,J$3,'BASE FILE '!$BJ:$BJ)</f>
        <v>0</v>
      </c>
      <c r="K17" s="22">
        <f>+SUMIF('BASE FILE '!$Q:$Q,K$3,'BASE FILE '!$BJ:$BJ)</f>
        <v>0</v>
      </c>
      <c r="L17" s="22">
        <f>+SUMIF('BASE FILE '!$Q:$Q,L$3,'BASE FILE '!$BJ:$BJ)</f>
        <v>0</v>
      </c>
      <c r="M17" s="22">
        <f>+SUMIF('BASE FILE '!$Q:$Q,M$3,'BASE FILE '!$BJ:$BJ)</f>
        <v>0</v>
      </c>
      <c r="N17" s="22">
        <f>+SUMIF('BASE FILE '!$Q:$Q,N$3,'BASE FILE '!$BJ:$BJ)</f>
        <v>0</v>
      </c>
      <c r="O17" s="22">
        <f>+SUMIF('BASE FILE '!$Q:$Q,O$3,'BASE FILE '!$BJ:$BJ)</f>
        <v>0</v>
      </c>
      <c r="P17" s="22">
        <f t="shared" si="0"/>
        <v>0</v>
      </c>
    </row>
    <row r="18" spans="2:18" x14ac:dyDescent="0.25">
      <c r="B18" t="s">
        <v>68</v>
      </c>
      <c r="C18" s="22">
        <f>+SUMIF('BASE FILE '!$Q:$Q,C$3,'BASE FILE '!$BK:$BK)</f>
        <v>0</v>
      </c>
      <c r="D18" s="22">
        <f>+SUMIF('BASE FILE '!$Q:$Q,D$3,'BASE FILE '!$BK:$BK)</f>
        <v>0</v>
      </c>
      <c r="E18" s="22">
        <f>+SUMIF('BASE FILE '!$Q:$Q,E$3,'BASE FILE '!$BK:$BK)</f>
        <v>0</v>
      </c>
      <c r="F18" s="22">
        <f>+SUMIF('BASE FILE '!$Q:$Q,F$3,'BASE FILE '!$BK:$BK)</f>
        <v>0</v>
      </c>
      <c r="G18" s="22">
        <f>+SUMIF('BASE FILE '!$Q:$Q,G$3,'BASE FILE '!$BK:$BK)</f>
        <v>0</v>
      </c>
      <c r="H18" s="22">
        <f>+SUMIF('BASE FILE '!$Q:$Q,H$3,'BASE FILE '!$BK:$BK)</f>
        <v>0</v>
      </c>
      <c r="I18" s="22">
        <f>+SUMIF('BASE FILE '!$Q:$Q,I$3,'BASE FILE '!$BK:$BK)</f>
        <v>0</v>
      </c>
      <c r="J18" s="22">
        <f>+SUMIF('BASE FILE '!$Q:$Q,J$3,'BASE FILE '!$BK:$BK)</f>
        <v>0</v>
      </c>
      <c r="K18" s="22">
        <f>+SUMIF('BASE FILE '!$Q:$Q,K$3,'BASE FILE '!$BK:$BK)</f>
        <v>-180</v>
      </c>
      <c r="L18" s="22">
        <f>+SUMIF('BASE FILE '!$Q:$Q,L$3,'BASE FILE '!$BK:$BK)</f>
        <v>0</v>
      </c>
      <c r="M18" s="22">
        <f>+SUMIF('BASE FILE '!$Q:$Q,M$3,'BASE FILE '!$BK:$BK)</f>
        <v>0</v>
      </c>
      <c r="N18" s="22">
        <f>+SUMIF('BASE FILE '!$Q:$Q,N$3,'BASE FILE '!$BK:$BK)</f>
        <v>0</v>
      </c>
      <c r="O18" s="22">
        <f>+SUMIF('BASE FILE '!$Q:$Q,O$3,'BASE FILE '!$BK:$BK)</f>
        <v>0</v>
      </c>
      <c r="P18" s="22">
        <f t="shared" si="0"/>
        <v>-180</v>
      </c>
    </row>
    <row r="19" spans="2:18" x14ac:dyDescent="0.25">
      <c r="B19" t="s">
        <v>69</v>
      </c>
      <c r="C19" s="22">
        <f>+SUMIF('BASE FILE '!$Q:$Q,C$3,'BASE FILE '!$BL:$BL)</f>
        <v>0</v>
      </c>
      <c r="D19" s="22">
        <f>+SUMIF('BASE FILE '!$Q:$Q,D$3,'BASE FILE '!$BL:$BL)</f>
        <v>0</v>
      </c>
      <c r="E19" s="22">
        <f>+SUMIF('BASE FILE '!$Q:$Q,E$3,'BASE FILE '!$BL:$BL)</f>
        <v>0</v>
      </c>
      <c r="F19" s="22">
        <f>+SUMIF('BASE FILE '!$Q:$Q,F$3,'BASE FILE '!$BL:$BL)</f>
        <v>0</v>
      </c>
      <c r="G19" s="22">
        <f>+SUMIF('BASE FILE '!$Q:$Q,G$3,'BASE FILE '!$BL:$BL)</f>
        <v>0</v>
      </c>
      <c r="H19" s="22">
        <f>+SUMIF('BASE FILE '!$Q:$Q,H$3,'BASE FILE '!$BL:$BL)</f>
        <v>0</v>
      </c>
      <c r="I19" s="22">
        <f>+SUMIF('BASE FILE '!$Q:$Q,I$3,'BASE FILE '!$BL:$BL)</f>
        <v>0</v>
      </c>
      <c r="J19" s="22">
        <f>+SUMIF('BASE FILE '!$Q:$Q,J$3,'BASE FILE '!$BL:$BL)</f>
        <v>0</v>
      </c>
      <c r="K19" s="22">
        <f>+SUMIF('BASE FILE '!$Q:$Q,K$3,'BASE FILE '!$BL:$BL)</f>
        <v>-54</v>
      </c>
      <c r="L19" s="22">
        <f>+SUMIF('BASE FILE '!$Q:$Q,L$3,'BASE FILE '!$BL:$BL)</f>
        <v>-64.8</v>
      </c>
      <c r="M19" s="22">
        <f>+SUMIF('BASE FILE '!$Q:$Q,M$3,'BASE FILE '!$BL:$BL)</f>
        <v>-64.8</v>
      </c>
      <c r="N19" s="22">
        <f>+SUMIF('BASE FILE '!$Q:$Q,N$3,'BASE FILE '!$BL:$BL)</f>
        <v>-64.8</v>
      </c>
      <c r="O19" s="22">
        <f>+SUMIF('BASE FILE '!$Q:$Q,O$3,'BASE FILE '!$BL:$BL)</f>
        <v>-43.2</v>
      </c>
      <c r="P19" s="22">
        <f t="shared" si="0"/>
        <v>-291.59999999999997</v>
      </c>
    </row>
    <row r="20" spans="2:18" x14ac:dyDescent="0.25">
      <c r="B20" t="s">
        <v>70</v>
      </c>
      <c r="C20" s="22">
        <f>+SUMIF('BASE FILE '!$Q:$Q,C$3,'BASE FILE '!$BN:$BN)</f>
        <v>0</v>
      </c>
      <c r="D20" s="22">
        <f>+SUMIF('BASE FILE '!$Q:$Q,D$3,'BASE FILE '!$BN:$BN)</f>
        <v>0</v>
      </c>
      <c r="E20" s="22">
        <f>+SUMIF('BASE FILE '!$Q:$Q,E$3,'BASE FILE '!$BN:$BN)</f>
        <v>0</v>
      </c>
      <c r="F20" s="22">
        <f>+SUMIF('BASE FILE '!$Q:$Q,F$3,'BASE FILE '!$BN:$BN)</f>
        <v>0</v>
      </c>
      <c r="G20" s="22">
        <f>+SUMIF('BASE FILE '!$Q:$Q,G$3,'BASE FILE '!$BN:$BN)</f>
        <v>0</v>
      </c>
      <c r="H20" s="22">
        <f>+SUMIF('BASE FILE '!$Q:$Q,H$3,'BASE FILE '!$BN:$BN)</f>
        <v>0</v>
      </c>
      <c r="I20" s="22">
        <f>+SUMIF('BASE FILE '!$Q:$Q,I$3,'BASE FILE '!$BN:$BN)</f>
        <v>-450</v>
      </c>
      <c r="J20" s="22">
        <f>+SUMIF('BASE FILE '!$Q:$Q,J$3,'BASE FILE '!$BN:$BN)</f>
        <v>0</v>
      </c>
      <c r="K20" s="22">
        <f>+SUMIF('BASE FILE '!$Q:$Q,K$3,'BASE FILE '!$BN:$BN)</f>
        <v>-180</v>
      </c>
      <c r="L20" s="22">
        <f>+SUMIF('BASE FILE '!$Q:$Q,L$3,'BASE FILE '!$BN:$BN)</f>
        <v>-1350</v>
      </c>
      <c r="M20" s="22">
        <f>+SUMIF('BASE FILE '!$Q:$Q,M$3,'BASE FILE '!$BN:$BN)</f>
        <v>-4203.75</v>
      </c>
      <c r="N20" s="22">
        <f>+SUMIF('BASE FILE '!$Q:$Q,N$3,'BASE FILE '!$BN:$BN)</f>
        <v>-2250</v>
      </c>
      <c r="O20" s="22">
        <f>+SUMIF('BASE FILE '!$Q:$Q,O$3,'BASE FILE '!$BN:$BN)</f>
        <v>0</v>
      </c>
      <c r="P20" s="22">
        <f t="shared" si="0"/>
        <v>-8433.75</v>
      </c>
    </row>
    <row r="21" spans="2:18" x14ac:dyDescent="0.25">
      <c r="B21" t="s">
        <v>71</v>
      </c>
      <c r="C21" s="22">
        <f>+SUMIF('BASE FILE '!$Q:$Q,C$3,'BASE FILE '!$BO:$BO)</f>
        <v>0</v>
      </c>
      <c r="D21" s="22">
        <f>+SUMIF('BASE FILE '!$Q:$Q,D$3,'BASE FILE '!$BO:$BO)</f>
        <v>0</v>
      </c>
      <c r="E21" s="22">
        <f>+SUMIF('BASE FILE '!$Q:$Q,E$3,'BASE FILE '!$BO:$BO)</f>
        <v>0</v>
      </c>
      <c r="F21" s="22">
        <f>+SUMIF('BASE FILE '!$Q:$Q,F$3,'BASE FILE '!$BO:$BO)</f>
        <v>0</v>
      </c>
      <c r="G21" s="22">
        <f>+SUMIF('BASE FILE '!$Q:$Q,G$3,'BASE FILE '!$BO:$BO)</f>
        <v>0</v>
      </c>
      <c r="H21" s="22">
        <f>+SUMIF('BASE FILE '!$Q:$Q,H$3,'BASE FILE '!$BO:$BO)</f>
        <v>0</v>
      </c>
      <c r="I21" s="22">
        <f>+SUMIF('BASE FILE '!$Q:$Q,I$3,'BASE FILE '!$BO:$BO)</f>
        <v>-1350</v>
      </c>
      <c r="J21" s="22">
        <f>+SUMIF('BASE FILE '!$Q:$Q,J$3,'BASE FILE '!$BO:$BO)</f>
        <v>0</v>
      </c>
      <c r="K21" s="22">
        <f>+SUMIF('BASE FILE '!$Q:$Q,K$3,'BASE FILE '!$BO:$BO)</f>
        <v>0</v>
      </c>
      <c r="L21" s="22">
        <f>+SUMIF('BASE FILE '!$Q:$Q,L$3,'BASE FILE '!$BO:$BO)</f>
        <v>0</v>
      </c>
      <c r="M21" s="22">
        <f>+SUMIF('BASE FILE '!$Q:$Q,M$3,'BASE FILE '!$BO:$BO)</f>
        <v>-3161.25</v>
      </c>
      <c r="N21" s="22">
        <f>+SUMIF('BASE FILE '!$Q:$Q,N$3,'BASE FILE '!$BO:$BO)</f>
        <v>-1350</v>
      </c>
      <c r="O21" s="22">
        <f>+SUMIF('BASE FILE '!$Q:$Q,O$3,'BASE FILE '!$BO:$BO)</f>
        <v>0</v>
      </c>
      <c r="P21" s="22">
        <f t="shared" si="0"/>
        <v>-5861.25</v>
      </c>
    </row>
    <row r="22" spans="2:18" x14ac:dyDescent="0.25">
      <c r="B22" t="s">
        <v>72</v>
      </c>
      <c r="C22" s="22">
        <f>+SUMIF('BASE FILE '!$Q:$Q,C$3,'BASE FILE '!$BP:$BP)</f>
        <v>0</v>
      </c>
      <c r="D22" s="22">
        <f>+SUMIF('BASE FILE '!$Q:$Q,D$3,'BASE FILE '!$BP:$BP)</f>
        <v>0</v>
      </c>
      <c r="E22" s="22">
        <f>+SUMIF('BASE FILE '!$Q:$Q,E$3,'BASE FILE '!$BP:$BP)</f>
        <v>0</v>
      </c>
      <c r="F22" s="22">
        <f>+SUMIF('BASE FILE '!$Q:$Q,F$3,'BASE FILE '!$BP:$BP)</f>
        <v>0</v>
      </c>
      <c r="G22" s="22">
        <f>+SUMIF('BASE FILE '!$Q:$Q,G$3,'BASE FILE '!$BP:$BP)</f>
        <v>0</v>
      </c>
      <c r="H22" s="22">
        <f>+SUMIF('BASE FILE '!$Q:$Q,H$3,'BASE FILE '!$BP:$BP)</f>
        <v>0</v>
      </c>
      <c r="I22" s="22">
        <f>+SUMIF('BASE FILE '!$Q:$Q,I$3,'BASE FILE '!$BP:$BP)</f>
        <v>0</v>
      </c>
      <c r="J22" s="22">
        <f>+SUMIF('BASE FILE '!$Q:$Q,J$3,'BASE FILE '!$BP:$BP)</f>
        <v>0</v>
      </c>
      <c r="K22" s="22">
        <f>+SUMIF('BASE FILE '!$Q:$Q,K$3,'BASE FILE '!$BP:$BP)</f>
        <v>0</v>
      </c>
      <c r="L22" s="22">
        <f>+SUMIF('BASE FILE '!$Q:$Q,L$3,'BASE FILE '!$BP:$BP)</f>
        <v>-640</v>
      </c>
      <c r="M22" s="22">
        <f>+SUMIF('BASE FILE '!$Q:$Q,M$3,'BASE FILE '!$BP:$BP)</f>
        <v>0</v>
      </c>
      <c r="N22" s="22">
        <f>+SUMIF('BASE FILE '!$Q:$Q,N$3,'BASE FILE '!$BP:$BP)</f>
        <v>0</v>
      </c>
      <c r="O22" s="22">
        <f>+SUMIF('BASE FILE '!$Q:$Q,O$3,'BASE FILE '!$BP:$BP)</f>
        <v>0</v>
      </c>
      <c r="P22" s="22">
        <f t="shared" si="0"/>
        <v>-640</v>
      </c>
    </row>
    <row r="23" spans="2:18" x14ac:dyDescent="0.25">
      <c r="B23" t="s">
        <v>73</v>
      </c>
      <c r="C23" s="22">
        <f>+SUMIF('BASE FILE '!$Q:$Q,C$3,'BASE FILE '!$BQ:$BQ)</f>
        <v>0</v>
      </c>
      <c r="D23" s="22">
        <f>+SUMIF('BASE FILE '!$Q:$Q,D$3,'BASE FILE '!$BQ:$BQ)</f>
        <v>0</v>
      </c>
      <c r="E23" s="22">
        <f>+SUMIF('BASE FILE '!$Q:$Q,E$3,'BASE FILE '!$BQ:$BQ)</f>
        <v>0</v>
      </c>
      <c r="F23" s="22">
        <f>+SUMIF('BASE FILE '!$Q:$Q,F$3,'BASE FILE '!$BQ:$BQ)</f>
        <v>0</v>
      </c>
      <c r="G23" s="22">
        <f>+SUMIF('BASE FILE '!$Q:$Q,G$3,'BASE FILE '!$BQ:$BQ)</f>
        <v>0</v>
      </c>
      <c r="H23" s="22">
        <f>+SUMIF('BASE FILE '!$Q:$Q,H$3,'BASE FILE '!$BQ:$BQ)</f>
        <v>0</v>
      </c>
      <c r="I23" s="22">
        <f>+SUMIF('BASE FILE '!$Q:$Q,I$3,'BASE FILE '!$BQ:$BQ)</f>
        <v>0</v>
      </c>
      <c r="J23" s="22">
        <f>+SUMIF('BASE FILE '!$Q:$Q,J$3,'BASE FILE '!$BQ:$BQ)</f>
        <v>0</v>
      </c>
      <c r="K23" s="22">
        <f>+SUMIF('BASE FILE '!$Q:$Q,K$3,'BASE FILE '!$BQ:$BQ)</f>
        <v>0</v>
      </c>
      <c r="L23" s="22">
        <f>+SUMIF('BASE FILE '!$Q:$Q,L$3,'BASE FILE '!$BQ:$BQ)</f>
        <v>0</v>
      </c>
      <c r="M23" s="22">
        <f>+SUMIF('BASE FILE '!$Q:$Q,M$3,'BASE FILE '!$BQ:$BQ)</f>
        <v>0</v>
      </c>
      <c r="N23" s="22">
        <f>+SUMIF('BASE FILE '!$Q:$Q,N$3,'BASE FILE '!$BQ:$BQ)</f>
        <v>0</v>
      </c>
      <c r="O23" s="22">
        <f>+SUMIF('BASE FILE '!$Q:$Q,O$3,'BASE FILE '!$BQ:$BQ)</f>
        <v>0</v>
      </c>
      <c r="P23" s="22">
        <f t="shared" si="0"/>
        <v>0</v>
      </c>
    </row>
    <row r="24" spans="2:18" x14ac:dyDescent="0.25">
      <c r="B24" t="s">
        <v>74</v>
      </c>
      <c r="C24" s="22">
        <f>+SUMIF('BASE FILE '!$Q:$Q,C$3,'BASE FILE '!$BR:$BR)</f>
        <v>0</v>
      </c>
      <c r="D24" s="22">
        <f>+SUMIF('BASE FILE '!$Q:$Q,D$3,'BASE FILE '!$BR:$BR)</f>
        <v>0</v>
      </c>
      <c r="E24" s="22">
        <f>+SUMIF('BASE FILE '!$Q:$Q,E$3,'BASE FILE '!$BR:$BR)</f>
        <v>0</v>
      </c>
      <c r="F24" s="22">
        <f>+SUMIF('BASE FILE '!$Q:$Q,F$3,'BASE FILE '!$BR:$BR)</f>
        <v>0</v>
      </c>
      <c r="G24" s="22">
        <f>+SUMIF('BASE FILE '!$Q:$Q,G$3,'BASE FILE '!$BR:$BR)</f>
        <v>0</v>
      </c>
      <c r="H24" s="22">
        <f>+SUMIF('BASE FILE '!$Q:$Q,H$3,'BASE FILE '!$BR:$BR)</f>
        <v>0</v>
      </c>
      <c r="I24" s="22">
        <f>+SUMIF('BASE FILE '!$Q:$Q,I$3,'BASE FILE '!$BR:$BR)</f>
        <v>0</v>
      </c>
      <c r="J24" s="22">
        <f>+SUMIF('BASE FILE '!$Q:$Q,J$3,'BASE FILE '!$BR:$BR)</f>
        <v>0</v>
      </c>
      <c r="K24" s="22">
        <f>+SUMIF('BASE FILE '!$Q:$Q,K$3,'BASE FILE '!$BR:$BR)</f>
        <v>0</v>
      </c>
      <c r="L24" s="22">
        <f>+SUMIF('BASE FILE '!$Q:$Q,L$3,'BASE FILE '!$BR:$BR)</f>
        <v>0</v>
      </c>
      <c r="M24" s="22">
        <f>+SUMIF('BASE FILE '!$Q:$Q,M$3,'BASE FILE '!$BR:$BR)</f>
        <v>0</v>
      </c>
      <c r="N24" s="22">
        <f>+SUMIF('BASE FILE '!$Q:$Q,N$3,'BASE FILE '!$BR:$BR)</f>
        <v>0</v>
      </c>
      <c r="O24" s="22">
        <f>+SUMIF('BASE FILE '!$Q:$Q,O$3,'BASE FILE '!$BR:$BR)</f>
        <v>0</v>
      </c>
      <c r="P24" s="22">
        <f t="shared" si="0"/>
        <v>0</v>
      </c>
    </row>
    <row r="25" spans="2:18" x14ac:dyDescent="0.25">
      <c r="B25" t="s">
        <v>75</v>
      </c>
      <c r="C25" s="22">
        <f>+SUMIF('BASE FILE '!$Q:$Q,C$3,'BASE FILE '!$BS:$BS)</f>
        <v>0</v>
      </c>
      <c r="D25" s="22">
        <f>+SUMIF('BASE FILE '!$Q:$Q,D$3,'BASE FILE '!$BS:$BS)</f>
        <v>0</v>
      </c>
      <c r="E25" s="22">
        <f>+SUMIF('BASE FILE '!$Q:$Q,E$3,'BASE FILE '!$BS:$BS)</f>
        <v>0</v>
      </c>
      <c r="F25" s="22">
        <f>+SUMIF('BASE FILE '!$Q:$Q,F$3,'BASE FILE '!$BS:$BS)</f>
        <v>0</v>
      </c>
      <c r="G25" s="22">
        <f>+SUMIF('BASE FILE '!$Q:$Q,G$3,'BASE FILE '!$BS:$BS)</f>
        <v>0</v>
      </c>
      <c r="H25" s="22">
        <f>+SUMIF('BASE FILE '!$Q:$Q,H$3,'BASE FILE '!$BS:$BS)</f>
        <v>0</v>
      </c>
      <c r="I25" s="22">
        <f>+SUMIF('BASE FILE '!$Q:$Q,I$3,'BASE FILE '!$BS:$BS)</f>
        <v>0</v>
      </c>
      <c r="J25" s="22">
        <f>+SUMIF('BASE FILE '!$Q:$Q,J$3,'BASE FILE '!$BS:$BS)</f>
        <v>0</v>
      </c>
      <c r="K25" s="22">
        <f>+SUMIF('BASE FILE '!$Q:$Q,K$3,'BASE FILE '!$BS:$BS)</f>
        <v>0</v>
      </c>
      <c r="L25" s="22">
        <f>+SUMIF('BASE FILE '!$Q:$Q,L$3,'BASE FILE '!$BS:$BS)</f>
        <v>0</v>
      </c>
      <c r="M25" s="22">
        <f>+SUMIF('BASE FILE '!$Q:$Q,M$3,'BASE FILE '!$BS:$BS)</f>
        <v>0</v>
      </c>
      <c r="N25" s="22">
        <f>+SUMIF('BASE FILE '!$Q:$Q,N$3,'BASE FILE '!$BS:$BS)</f>
        <v>0</v>
      </c>
      <c r="O25" s="22">
        <f>+SUMIF('BASE FILE '!$Q:$Q,O$3,'BASE FILE '!$BS:$BS)</f>
        <v>0</v>
      </c>
      <c r="P25" s="22">
        <f t="shared" si="0"/>
        <v>0</v>
      </c>
    </row>
    <row r="26" spans="2:18" x14ac:dyDescent="0.25">
      <c r="B26" s="72" t="s">
        <v>59</v>
      </c>
      <c r="C26" s="73">
        <f>SUM(C4:C25)</f>
        <v>0</v>
      </c>
      <c r="D26" s="73">
        <f>SUM(D4:D25)</f>
        <v>0</v>
      </c>
      <c r="E26" s="73">
        <f t="shared" ref="E26:O26" si="1">SUM(E4:E25)</f>
        <v>0</v>
      </c>
      <c r="F26" s="73">
        <f t="shared" si="1"/>
        <v>0</v>
      </c>
      <c r="G26" s="73">
        <f t="shared" si="1"/>
        <v>-4</v>
      </c>
      <c r="H26" s="73">
        <f t="shared" si="1"/>
        <v>0</v>
      </c>
      <c r="I26" s="73">
        <f t="shared" si="1"/>
        <v>-2760</v>
      </c>
      <c r="J26" s="73">
        <f t="shared" si="1"/>
        <v>-6319.5</v>
      </c>
      <c r="K26" s="73">
        <f t="shared" si="1"/>
        <v>-8560</v>
      </c>
      <c r="L26" s="73">
        <f t="shared" si="1"/>
        <v>-10360</v>
      </c>
      <c r="M26" s="73">
        <f t="shared" si="1"/>
        <v>-12415</v>
      </c>
      <c r="N26" s="73">
        <f t="shared" si="1"/>
        <v>-5760</v>
      </c>
      <c r="O26" s="73">
        <f t="shared" si="1"/>
        <v>-1440</v>
      </c>
      <c r="P26" s="73">
        <f>+SUM(P4:P25)</f>
        <v>-47618.5</v>
      </c>
      <c r="Q26" s="70">
        <f>ROUND(P26*60/1000,0)</f>
        <v>-2857</v>
      </c>
      <c r="R26" s="34">
        <f>Q26-SUM('BASE FILE '!$K2:K499457)</f>
        <v>1.3100000000004002</v>
      </c>
    </row>
    <row r="27" spans="2:18" x14ac:dyDescent="0.25">
      <c r="B27" t="s">
        <v>116</v>
      </c>
      <c r="C27" s="22">
        <f>+SUMIF('BASE FILE '!$Q:$Q,C$3,'BASE FILE '!$L:$L)</f>
        <v>0</v>
      </c>
      <c r="D27" s="22">
        <f>+SUMIF('BASE FILE '!$Q:$Q,D$3,'BASE FILE '!$L:$L)</f>
        <v>0</v>
      </c>
      <c r="E27" s="22">
        <f>+SUMIF('BASE FILE '!$Q:$Q,E$3,'BASE FILE '!$L:$L)</f>
        <v>0</v>
      </c>
      <c r="F27" s="22">
        <f>+SUMIF('BASE FILE '!$Q:$Q,F$3,'BASE FILE '!$L:$L)</f>
        <v>0</v>
      </c>
      <c r="G27" s="22">
        <f>+SUMIF('BASE FILE '!$Q:$Q,G$3,'BASE FILE '!$L:$L)</f>
        <v>-8</v>
      </c>
      <c r="H27" s="22">
        <f>+SUMIF('BASE FILE '!$Q:$Q,H$3,'BASE FILE '!$L:$L)</f>
        <v>0</v>
      </c>
      <c r="I27" s="22">
        <f>+SUMIF('BASE FILE '!$Q:$Q,I$3,'BASE FILE '!$L:$L)</f>
        <v>-3400</v>
      </c>
      <c r="J27" s="22">
        <f>+SUMIF('BASE FILE '!$Q:$Q,J$3,'BASE FILE '!$L:$L)</f>
        <v>-7124</v>
      </c>
      <c r="K27" s="22">
        <f>+SUMIF('BASE FILE '!$Q:$Q,K$3,'BASE FILE '!$L:$L)</f>
        <v>-8560</v>
      </c>
      <c r="L27" s="22">
        <f>+SUMIF('BASE FILE '!$Q:$Q,L$3,'BASE FILE '!$L:$L)</f>
        <v>-10360</v>
      </c>
      <c r="M27" s="22">
        <f>+SUMIF('BASE FILE '!$Q:$Q,M$3,'BASE FILE '!$L:$L)</f>
        <v>-12415</v>
      </c>
    </row>
    <row r="28" spans="2:18" x14ac:dyDescent="0.25">
      <c r="Q28" s="14"/>
    </row>
    <row r="29" spans="2:18" x14ac:dyDescent="0.25">
      <c r="P29" s="43"/>
    </row>
    <row r="37" spans="3:3" x14ac:dyDescent="0.25">
      <c r="C37" s="43"/>
    </row>
  </sheetData>
  <phoneticPr fontId="37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050E8-5C8A-4CEE-826A-EA727D6C74E2}">
  <sheetPr>
    <tabColor rgb="FFFF0000"/>
  </sheetPr>
  <dimension ref="A1:T63"/>
  <sheetViews>
    <sheetView topLeftCell="A31" zoomScale="70" zoomScaleNormal="70" workbookViewId="0">
      <selection activeCell="M112" sqref="M112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7.42578125" bestFit="1" customWidth="1"/>
    <col min="4" max="4" width="21" bestFit="1" customWidth="1"/>
    <col min="5" max="5" width="17.7109375" bestFit="1" customWidth="1"/>
    <col min="6" max="6" width="17.42578125" bestFit="1" customWidth="1"/>
    <col min="7" max="7" width="15.7109375" bestFit="1" customWidth="1"/>
    <col min="8" max="8" width="15.85546875" bestFit="1" customWidth="1"/>
    <col min="9" max="9" width="10" bestFit="1" customWidth="1"/>
    <col min="10" max="11" width="13" bestFit="1" customWidth="1"/>
    <col min="12" max="12" width="11.7109375" bestFit="1" customWidth="1"/>
    <col min="13" max="13" width="23.42578125" bestFit="1" customWidth="1"/>
    <col min="14" max="14" width="32.140625" bestFit="1" customWidth="1"/>
    <col min="15" max="15" width="11.140625" bestFit="1" customWidth="1"/>
    <col min="16" max="16" width="15.28515625" bestFit="1" customWidth="1"/>
    <col min="17" max="17" width="63.140625" bestFit="1" customWidth="1"/>
    <col min="18" max="18" width="13.42578125" bestFit="1" customWidth="1"/>
    <col min="19" max="19" width="20.140625" bestFit="1" customWidth="1"/>
    <col min="20" max="20" width="18.140625" bestFit="1" customWidth="1"/>
  </cols>
  <sheetData>
    <row r="1" spans="1:20" x14ac:dyDescent="0.25">
      <c r="A1" t="s">
        <v>117</v>
      </c>
      <c r="B1" t="s">
        <v>118</v>
      </c>
      <c r="C1" t="s">
        <v>119</v>
      </c>
      <c r="D1" t="s">
        <v>120</v>
      </c>
      <c r="E1" t="s">
        <v>121</v>
      </c>
      <c r="F1" t="s">
        <v>124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</row>
    <row r="2" spans="1:20" x14ac:dyDescent="0.25">
      <c r="A2" t="s">
        <v>167</v>
      </c>
      <c r="B2" t="s">
        <v>168</v>
      </c>
      <c r="C2" t="s">
        <v>179</v>
      </c>
      <c r="D2" t="s">
        <v>170</v>
      </c>
      <c r="E2" t="s">
        <v>247</v>
      </c>
      <c r="F2" t="s">
        <v>179</v>
      </c>
      <c r="G2" t="s">
        <v>248</v>
      </c>
      <c r="H2">
        <v>46140</v>
      </c>
      <c r="I2">
        <v>-1.8</v>
      </c>
      <c r="J2">
        <v>-60</v>
      </c>
      <c r="K2" t="s">
        <v>173</v>
      </c>
      <c r="L2" t="s">
        <v>174</v>
      </c>
      <c r="M2" t="s">
        <v>189</v>
      </c>
      <c r="N2" t="s">
        <v>219</v>
      </c>
      <c r="O2">
        <v>216.5</v>
      </c>
      <c r="P2">
        <v>216.5</v>
      </c>
      <c r="Q2" t="s">
        <v>249</v>
      </c>
      <c r="R2" t="s">
        <v>186</v>
      </c>
    </row>
    <row r="3" spans="1:20" x14ac:dyDescent="0.25">
      <c r="A3" t="s">
        <v>167</v>
      </c>
      <c r="B3" t="s">
        <v>168</v>
      </c>
      <c r="C3" t="s">
        <v>179</v>
      </c>
      <c r="D3" t="s">
        <v>170</v>
      </c>
      <c r="E3" t="s">
        <v>291</v>
      </c>
      <c r="F3" t="s">
        <v>179</v>
      </c>
      <c r="G3" t="s">
        <v>292</v>
      </c>
      <c r="H3">
        <v>46160</v>
      </c>
      <c r="I3">
        <v>-0.96</v>
      </c>
      <c r="J3">
        <v>-32</v>
      </c>
      <c r="K3" t="s">
        <v>286</v>
      </c>
      <c r="L3" t="s">
        <v>293</v>
      </c>
      <c r="M3" t="s">
        <v>294</v>
      </c>
      <c r="N3" t="s">
        <v>219</v>
      </c>
      <c r="O3">
        <v>197.94</v>
      </c>
      <c r="P3">
        <v>186.10239999999999</v>
      </c>
      <c r="Q3" t="s">
        <v>295</v>
      </c>
      <c r="R3" t="s">
        <v>186</v>
      </c>
      <c r="T3" t="s">
        <v>207</v>
      </c>
    </row>
    <row r="4" spans="1:20" x14ac:dyDescent="0.25">
      <c r="A4" t="s">
        <v>167</v>
      </c>
      <c r="B4" t="s">
        <v>168</v>
      </c>
      <c r="C4" t="s">
        <v>179</v>
      </c>
      <c r="D4" t="s">
        <v>170</v>
      </c>
      <c r="E4" t="s">
        <v>296</v>
      </c>
      <c r="F4" t="s">
        <v>179</v>
      </c>
      <c r="G4" t="s">
        <v>292</v>
      </c>
      <c r="H4">
        <v>46160</v>
      </c>
      <c r="I4">
        <v>-0.96</v>
      </c>
      <c r="J4">
        <v>-32</v>
      </c>
      <c r="K4" t="s">
        <v>286</v>
      </c>
      <c r="L4" t="s">
        <v>293</v>
      </c>
      <c r="M4" t="s">
        <v>294</v>
      </c>
      <c r="N4" t="s">
        <v>219</v>
      </c>
      <c r="O4">
        <v>197.94</v>
      </c>
      <c r="P4">
        <v>186.10239999999999</v>
      </c>
      <c r="Q4" t="s">
        <v>297</v>
      </c>
      <c r="R4" t="s">
        <v>186</v>
      </c>
      <c r="T4" t="s">
        <v>207</v>
      </c>
    </row>
    <row r="5" spans="1:20" x14ac:dyDescent="0.25">
      <c r="A5" t="s">
        <v>167</v>
      </c>
      <c r="B5" t="s">
        <v>168</v>
      </c>
      <c r="C5" t="s">
        <v>179</v>
      </c>
      <c r="D5" t="s">
        <v>170</v>
      </c>
      <c r="E5" t="s">
        <v>191</v>
      </c>
      <c r="F5" t="s">
        <v>179</v>
      </c>
      <c r="G5" t="s">
        <v>188</v>
      </c>
      <c r="H5">
        <v>45971</v>
      </c>
      <c r="I5">
        <v>-19.2</v>
      </c>
      <c r="J5">
        <v>-320</v>
      </c>
      <c r="K5" t="s">
        <v>173</v>
      </c>
      <c r="L5" t="s">
        <v>174</v>
      </c>
      <c r="M5" t="s">
        <v>189</v>
      </c>
      <c r="N5" t="s">
        <v>219</v>
      </c>
      <c r="O5">
        <v>175</v>
      </c>
      <c r="P5">
        <v>161.00290000000001</v>
      </c>
      <c r="Q5" t="s">
        <v>190</v>
      </c>
      <c r="R5" t="s">
        <v>186</v>
      </c>
      <c r="S5" t="s">
        <v>206</v>
      </c>
      <c r="T5" t="s">
        <v>323</v>
      </c>
    </row>
    <row r="6" spans="1:20" x14ac:dyDescent="0.25">
      <c r="A6" t="s">
        <v>167</v>
      </c>
      <c r="B6" t="s">
        <v>168</v>
      </c>
      <c r="C6" t="s">
        <v>179</v>
      </c>
      <c r="D6" t="s">
        <v>170</v>
      </c>
      <c r="E6" t="s">
        <v>191</v>
      </c>
      <c r="F6" t="s">
        <v>179</v>
      </c>
      <c r="G6" t="s">
        <v>188</v>
      </c>
      <c r="H6">
        <v>45971</v>
      </c>
      <c r="I6">
        <v>-19.2</v>
      </c>
      <c r="J6">
        <v>-320</v>
      </c>
      <c r="K6" t="s">
        <v>173</v>
      </c>
      <c r="L6" t="s">
        <v>174</v>
      </c>
      <c r="M6" t="s">
        <v>189</v>
      </c>
      <c r="N6" t="s">
        <v>219</v>
      </c>
      <c r="O6">
        <v>175</v>
      </c>
      <c r="P6">
        <v>161.00290000000001</v>
      </c>
      <c r="Q6" t="s">
        <v>190</v>
      </c>
      <c r="R6" t="s">
        <v>186</v>
      </c>
      <c r="S6" t="s">
        <v>206</v>
      </c>
      <c r="T6" t="s">
        <v>323</v>
      </c>
    </row>
    <row r="7" spans="1:20" x14ac:dyDescent="0.25">
      <c r="A7" t="s">
        <v>167</v>
      </c>
      <c r="B7" t="s">
        <v>168</v>
      </c>
      <c r="C7" t="s">
        <v>179</v>
      </c>
      <c r="D7" t="s">
        <v>170</v>
      </c>
      <c r="E7" t="s">
        <v>221</v>
      </c>
      <c r="F7" t="s">
        <v>179</v>
      </c>
      <c r="G7" t="s">
        <v>222</v>
      </c>
      <c r="H7">
        <v>46140</v>
      </c>
      <c r="I7">
        <v>-38.4</v>
      </c>
      <c r="J7">
        <v>-1280</v>
      </c>
      <c r="K7" t="s">
        <v>173</v>
      </c>
      <c r="L7" t="s">
        <v>174</v>
      </c>
      <c r="M7" t="s">
        <v>189</v>
      </c>
      <c r="N7" t="s">
        <v>223</v>
      </c>
      <c r="O7">
        <v>56</v>
      </c>
      <c r="P7">
        <v>50.5047</v>
      </c>
      <c r="Q7" t="s">
        <v>220</v>
      </c>
      <c r="R7" t="s">
        <v>186</v>
      </c>
    </row>
    <row r="8" spans="1:20" x14ac:dyDescent="0.25">
      <c r="A8" t="s">
        <v>167</v>
      </c>
      <c r="B8" t="s">
        <v>168</v>
      </c>
      <c r="C8" t="s">
        <v>179</v>
      </c>
      <c r="D8" t="s">
        <v>170</v>
      </c>
      <c r="E8" t="s">
        <v>235</v>
      </c>
      <c r="F8" t="s">
        <v>179</v>
      </c>
      <c r="G8" t="s">
        <v>181</v>
      </c>
      <c r="H8">
        <v>46148</v>
      </c>
      <c r="I8">
        <v>-19.2</v>
      </c>
      <c r="J8">
        <v>-320</v>
      </c>
      <c r="K8" t="s">
        <v>182</v>
      </c>
      <c r="L8" t="s">
        <v>183</v>
      </c>
      <c r="M8" t="s">
        <v>184</v>
      </c>
      <c r="N8" t="s">
        <v>219</v>
      </c>
      <c r="O8">
        <v>57</v>
      </c>
      <c r="P8">
        <v>50.002200000000002</v>
      </c>
      <c r="Q8" t="s">
        <v>185</v>
      </c>
      <c r="R8" t="s">
        <v>186</v>
      </c>
    </row>
    <row r="9" spans="1:20" x14ac:dyDescent="0.25">
      <c r="A9" t="s">
        <v>167</v>
      </c>
      <c r="B9" t="s">
        <v>168</v>
      </c>
      <c r="C9" t="s">
        <v>179</v>
      </c>
      <c r="D9" t="s">
        <v>170</v>
      </c>
      <c r="E9" t="s">
        <v>226</v>
      </c>
      <c r="F9" t="s">
        <v>179</v>
      </c>
      <c r="G9" t="s">
        <v>227</v>
      </c>
      <c r="H9">
        <v>46150</v>
      </c>
      <c r="I9">
        <v>-19.2</v>
      </c>
      <c r="J9">
        <v>-320</v>
      </c>
      <c r="K9" t="s">
        <v>173</v>
      </c>
      <c r="L9" t="s">
        <v>174</v>
      </c>
      <c r="M9" t="s">
        <v>205</v>
      </c>
      <c r="N9" t="s">
        <v>219</v>
      </c>
      <c r="O9">
        <v>60</v>
      </c>
      <c r="P9">
        <v>55.195500000000003</v>
      </c>
      <c r="Q9" t="s">
        <v>48</v>
      </c>
      <c r="R9" t="s">
        <v>186</v>
      </c>
      <c r="S9" t="s">
        <v>228</v>
      </c>
    </row>
    <row r="10" spans="1:20" x14ac:dyDescent="0.25">
      <c r="A10" t="s">
        <v>167</v>
      </c>
      <c r="B10" t="s">
        <v>168</v>
      </c>
      <c r="C10" t="s">
        <v>179</v>
      </c>
      <c r="D10" t="s">
        <v>170</v>
      </c>
      <c r="E10" t="s">
        <v>229</v>
      </c>
      <c r="F10" t="s">
        <v>179</v>
      </c>
      <c r="G10" t="s">
        <v>227</v>
      </c>
      <c r="H10">
        <v>46150</v>
      </c>
      <c r="I10">
        <v>-19.2</v>
      </c>
      <c r="J10">
        <v>-320</v>
      </c>
      <c r="K10" t="s">
        <v>173</v>
      </c>
      <c r="L10" t="s">
        <v>174</v>
      </c>
      <c r="M10" t="s">
        <v>205</v>
      </c>
      <c r="N10" t="s">
        <v>219</v>
      </c>
      <c r="O10">
        <v>60</v>
      </c>
      <c r="P10">
        <v>55.195500000000003</v>
      </c>
      <c r="Q10" t="s">
        <v>48</v>
      </c>
      <c r="R10" t="s">
        <v>186</v>
      </c>
      <c r="S10" t="s">
        <v>228</v>
      </c>
    </row>
    <row r="11" spans="1:20" x14ac:dyDescent="0.25">
      <c r="A11" t="s">
        <v>167</v>
      </c>
      <c r="B11" t="s">
        <v>168</v>
      </c>
      <c r="C11" t="s">
        <v>179</v>
      </c>
      <c r="D11" t="s">
        <v>170</v>
      </c>
      <c r="E11" t="s">
        <v>284</v>
      </c>
      <c r="F11" t="s">
        <v>179</v>
      </c>
      <c r="G11" t="s">
        <v>285</v>
      </c>
      <c r="H11">
        <v>46157</v>
      </c>
      <c r="I11">
        <v>-19.2</v>
      </c>
      <c r="J11">
        <v>-320</v>
      </c>
      <c r="K11" t="s">
        <v>286</v>
      </c>
      <c r="L11" t="s">
        <v>183</v>
      </c>
      <c r="M11" t="s">
        <v>277</v>
      </c>
      <c r="N11" t="s">
        <v>231</v>
      </c>
      <c r="O11">
        <v>125</v>
      </c>
      <c r="P11">
        <v>88.179100000000005</v>
      </c>
      <c r="Q11" t="s">
        <v>287</v>
      </c>
      <c r="R11" t="s">
        <v>186</v>
      </c>
    </row>
    <row r="12" spans="1:20" x14ac:dyDescent="0.25">
      <c r="A12" t="s">
        <v>167</v>
      </c>
      <c r="B12" t="s">
        <v>168</v>
      </c>
      <c r="C12" t="s">
        <v>179</v>
      </c>
      <c r="D12" t="s">
        <v>170</v>
      </c>
      <c r="E12" t="s">
        <v>280</v>
      </c>
      <c r="F12" t="s">
        <v>179</v>
      </c>
      <c r="G12" t="s">
        <v>281</v>
      </c>
      <c r="H12">
        <v>46157</v>
      </c>
      <c r="I12">
        <v>-19.2</v>
      </c>
      <c r="J12">
        <v>-320</v>
      </c>
      <c r="K12" t="s">
        <v>182</v>
      </c>
      <c r="L12" t="s">
        <v>282</v>
      </c>
      <c r="M12" t="s">
        <v>189</v>
      </c>
      <c r="N12" t="s">
        <v>219</v>
      </c>
      <c r="O12">
        <v>102.67149999999999</v>
      </c>
      <c r="P12">
        <v>99.687299999999993</v>
      </c>
      <c r="Q12" t="s">
        <v>283</v>
      </c>
      <c r="R12" t="s">
        <v>186</v>
      </c>
    </row>
    <row r="13" spans="1:20" x14ac:dyDescent="0.25">
      <c r="A13" t="s">
        <v>167</v>
      </c>
      <c r="B13" t="s">
        <v>168</v>
      </c>
      <c r="C13" t="s">
        <v>179</v>
      </c>
      <c r="D13" t="s">
        <v>170</v>
      </c>
      <c r="E13" t="s">
        <v>304</v>
      </c>
      <c r="F13" t="s">
        <v>179</v>
      </c>
      <c r="G13" t="s">
        <v>305</v>
      </c>
      <c r="H13">
        <v>46163</v>
      </c>
      <c r="I13">
        <v>-19.2</v>
      </c>
      <c r="J13">
        <v>-320</v>
      </c>
      <c r="K13" t="s">
        <v>173</v>
      </c>
      <c r="L13" t="s">
        <v>174</v>
      </c>
      <c r="M13" t="s">
        <v>306</v>
      </c>
      <c r="N13" t="s">
        <v>219</v>
      </c>
      <c r="O13">
        <v>95</v>
      </c>
      <c r="P13">
        <v>95</v>
      </c>
      <c r="Q13" t="s">
        <v>283</v>
      </c>
      <c r="R13" t="s">
        <v>232</v>
      </c>
      <c r="T13" t="s">
        <v>207</v>
      </c>
    </row>
    <row r="14" spans="1:20" x14ac:dyDescent="0.25">
      <c r="A14" t="s">
        <v>167</v>
      </c>
      <c r="B14" t="s">
        <v>168</v>
      </c>
      <c r="C14" t="s">
        <v>179</v>
      </c>
      <c r="D14" t="s">
        <v>170</v>
      </c>
      <c r="E14" t="s">
        <v>317</v>
      </c>
      <c r="F14" t="s">
        <v>179</v>
      </c>
      <c r="G14" t="s">
        <v>237</v>
      </c>
      <c r="H14">
        <v>46178</v>
      </c>
      <c r="I14">
        <v>-19.2</v>
      </c>
      <c r="J14">
        <v>-320</v>
      </c>
      <c r="K14" t="s">
        <v>319</v>
      </c>
      <c r="L14" t="s">
        <v>320</v>
      </c>
      <c r="M14" t="s">
        <v>311</v>
      </c>
      <c r="N14" t="s">
        <v>278</v>
      </c>
      <c r="O14">
        <v>102.4</v>
      </c>
      <c r="P14">
        <v>94.131799999999998</v>
      </c>
      <c r="Q14" t="s">
        <v>283</v>
      </c>
      <c r="R14" t="s">
        <v>232</v>
      </c>
    </row>
    <row r="15" spans="1:20" x14ac:dyDescent="0.25">
      <c r="A15" t="s">
        <v>167</v>
      </c>
      <c r="B15" t="s">
        <v>168</v>
      </c>
      <c r="C15" t="s">
        <v>179</v>
      </c>
      <c r="D15" t="s">
        <v>170</v>
      </c>
      <c r="E15" t="s">
        <v>324</v>
      </c>
      <c r="F15" t="s">
        <v>179</v>
      </c>
      <c r="G15" t="s">
        <v>172</v>
      </c>
      <c r="H15">
        <v>46183</v>
      </c>
      <c r="I15">
        <v>-18.899999999999999</v>
      </c>
      <c r="J15">
        <v>-315</v>
      </c>
      <c r="K15" t="s">
        <v>173</v>
      </c>
      <c r="L15" t="s">
        <v>174</v>
      </c>
      <c r="M15" t="s">
        <v>175</v>
      </c>
      <c r="N15" t="s">
        <v>219</v>
      </c>
      <c r="O15">
        <v>95</v>
      </c>
      <c r="P15">
        <v>95</v>
      </c>
      <c r="Q15" t="s">
        <v>283</v>
      </c>
      <c r="R15" t="s">
        <v>186</v>
      </c>
      <c r="T15" t="s">
        <v>207</v>
      </c>
    </row>
    <row r="16" spans="1:20" x14ac:dyDescent="0.25">
      <c r="A16" t="s">
        <v>167</v>
      </c>
      <c r="B16" t="s">
        <v>168</v>
      </c>
      <c r="C16" t="s">
        <v>179</v>
      </c>
      <c r="D16" t="s">
        <v>170</v>
      </c>
      <c r="E16" t="s">
        <v>327</v>
      </c>
      <c r="F16" t="s">
        <v>179</v>
      </c>
      <c r="G16" t="s">
        <v>285</v>
      </c>
      <c r="H16">
        <v>46188</v>
      </c>
      <c r="I16">
        <v>-19.2</v>
      </c>
      <c r="J16">
        <v>-320</v>
      </c>
      <c r="K16" t="s">
        <v>286</v>
      </c>
      <c r="L16" t="s">
        <v>328</v>
      </c>
      <c r="M16" t="s">
        <v>329</v>
      </c>
      <c r="N16" t="s">
        <v>278</v>
      </c>
      <c r="O16">
        <v>127</v>
      </c>
      <c r="P16">
        <v>92.183199999999999</v>
      </c>
      <c r="Q16" t="s">
        <v>330</v>
      </c>
      <c r="R16" t="s">
        <v>232</v>
      </c>
      <c r="S16" t="s">
        <v>206</v>
      </c>
    </row>
    <row r="17" spans="1:20" x14ac:dyDescent="0.25">
      <c r="A17" t="s">
        <v>167</v>
      </c>
      <c r="B17" t="s">
        <v>168</v>
      </c>
      <c r="C17" t="s">
        <v>179</v>
      </c>
      <c r="D17" t="s">
        <v>170</v>
      </c>
      <c r="E17" t="s">
        <v>497</v>
      </c>
      <c r="F17" t="s">
        <v>179</v>
      </c>
      <c r="G17" t="s">
        <v>305</v>
      </c>
      <c r="H17">
        <v>45590</v>
      </c>
      <c r="I17">
        <v>-1.2</v>
      </c>
      <c r="J17">
        <v>-1200</v>
      </c>
      <c r="K17" t="s">
        <v>1284</v>
      </c>
      <c r="L17" t="s">
        <v>238</v>
      </c>
      <c r="M17" t="s">
        <v>1285</v>
      </c>
      <c r="N17" t="s">
        <v>1287</v>
      </c>
      <c r="O17">
        <v>34.29</v>
      </c>
      <c r="P17">
        <v>21.293500000000002</v>
      </c>
      <c r="Q17" t="s">
        <v>1288</v>
      </c>
      <c r="R17" t="s">
        <v>1289</v>
      </c>
      <c r="T17" t="s">
        <v>512</v>
      </c>
    </row>
    <row r="18" spans="1:20" x14ac:dyDescent="0.25">
      <c r="A18" t="s">
        <v>167</v>
      </c>
      <c r="B18" t="s">
        <v>168</v>
      </c>
      <c r="C18" t="s">
        <v>179</v>
      </c>
      <c r="D18" t="s">
        <v>170</v>
      </c>
      <c r="E18" t="s">
        <v>322</v>
      </c>
      <c r="F18" t="s">
        <v>179</v>
      </c>
      <c r="G18" t="s">
        <v>188</v>
      </c>
      <c r="H18">
        <v>45971</v>
      </c>
      <c r="I18">
        <v>-172.8</v>
      </c>
      <c r="J18">
        <v>-2880</v>
      </c>
      <c r="K18" t="s">
        <v>173</v>
      </c>
      <c r="L18" t="s">
        <v>174</v>
      </c>
      <c r="M18" t="s">
        <v>189</v>
      </c>
      <c r="N18" t="s">
        <v>231</v>
      </c>
      <c r="O18">
        <v>175</v>
      </c>
      <c r="P18">
        <v>161.00290000000001</v>
      </c>
      <c r="Q18" t="s">
        <v>194</v>
      </c>
      <c r="R18" t="s">
        <v>232</v>
      </c>
      <c r="S18" t="s">
        <v>206</v>
      </c>
      <c r="T18" t="s">
        <v>323</v>
      </c>
    </row>
    <row r="19" spans="1:20" x14ac:dyDescent="0.25">
      <c r="A19" t="s">
        <v>167</v>
      </c>
      <c r="B19" t="s">
        <v>168</v>
      </c>
      <c r="C19" t="s">
        <v>179</v>
      </c>
      <c r="D19" t="s">
        <v>170</v>
      </c>
      <c r="E19" t="s">
        <v>192</v>
      </c>
      <c r="F19" t="s">
        <v>179</v>
      </c>
      <c r="G19" t="s">
        <v>188</v>
      </c>
      <c r="H19">
        <v>45971</v>
      </c>
      <c r="I19">
        <v>-134.4</v>
      </c>
      <c r="J19">
        <v>-2240</v>
      </c>
      <c r="K19" t="s">
        <v>173</v>
      </c>
      <c r="L19" t="s">
        <v>174</v>
      </c>
      <c r="M19" t="s">
        <v>189</v>
      </c>
      <c r="N19" t="s">
        <v>231</v>
      </c>
      <c r="O19">
        <v>175</v>
      </c>
      <c r="P19">
        <v>161.00290000000001</v>
      </c>
      <c r="Q19" t="s">
        <v>190</v>
      </c>
      <c r="R19" t="s">
        <v>232</v>
      </c>
      <c r="S19" t="s">
        <v>206</v>
      </c>
      <c r="T19" t="s">
        <v>323</v>
      </c>
    </row>
    <row r="20" spans="1:20" x14ac:dyDescent="0.25">
      <c r="A20" t="s">
        <v>167</v>
      </c>
      <c r="B20" t="s">
        <v>168</v>
      </c>
      <c r="C20" t="s">
        <v>179</v>
      </c>
      <c r="D20" t="s">
        <v>170</v>
      </c>
      <c r="E20" t="s">
        <v>230</v>
      </c>
      <c r="F20" t="s">
        <v>179</v>
      </c>
      <c r="G20" t="s">
        <v>227</v>
      </c>
      <c r="H20">
        <v>46150</v>
      </c>
      <c r="I20">
        <v>-19.2</v>
      </c>
      <c r="J20">
        <v>-320</v>
      </c>
      <c r="K20" t="s">
        <v>173</v>
      </c>
      <c r="L20" t="s">
        <v>174</v>
      </c>
      <c r="M20" t="s">
        <v>205</v>
      </c>
      <c r="N20" t="s">
        <v>231</v>
      </c>
      <c r="O20">
        <v>70</v>
      </c>
      <c r="P20">
        <v>65.200900000000004</v>
      </c>
      <c r="Q20" t="s">
        <v>48</v>
      </c>
      <c r="R20" t="s">
        <v>232</v>
      </c>
      <c r="S20" t="s">
        <v>228</v>
      </c>
    </row>
    <row r="21" spans="1:20" x14ac:dyDescent="0.25">
      <c r="A21" t="s">
        <v>167</v>
      </c>
      <c r="B21" t="s">
        <v>168</v>
      </c>
      <c r="C21" t="s">
        <v>179</v>
      </c>
      <c r="D21" t="s">
        <v>170</v>
      </c>
      <c r="E21" t="s">
        <v>193</v>
      </c>
      <c r="F21" t="s">
        <v>179</v>
      </c>
      <c r="G21" t="s">
        <v>188</v>
      </c>
      <c r="H21">
        <v>45971</v>
      </c>
      <c r="I21">
        <v>-134.4</v>
      </c>
      <c r="J21">
        <v>-2240</v>
      </c>
      <c r="K21" t="s">
        <v>173</v>
      </c>
      <c r="L21" t="s">
        <v>174</v>
      </c>
      <c r="M21" t="s">
        <v>189</v>
      </c>
      <c r="N21" t="s">
        <v>278</v>
      </c>
      <c r="O21">
        <v>175</v>
      </c>
      <c r="P21">
        <v>161.00290000000001</v>
      </c>
      <c r="Q21" t="s">
        <v>194</v>
      </c>
      <c r="R21" t="s">
        <v>232</v>
      </c>
      <c r="S21" t="s">
        <v>206</v>
      </c>
      <c r="T21" t="s">
        <v>323</v>
      </c>
    </row>
    <row r="22" spans="1:20" x14ac:dyDescent="0.25">
      <c r="A22" t="s">
        <v>167</v>
      </c>
      <c r="B22" t="s">
        <v>168</v>
      </c>
      <c r="C22" t="s">
        <v>179</v>
      </c>
      <c r="D22" t="s">
        <v>170</v>
      </c>
      <c r="E22" t="s">
        <v>201</v>
      </c>
      <c r="F22" t="s">
        <v>179</v>
      </c>
      <c r="G22" t="s">
        <v>188</v>
      </c>
      <c r="H22">
        <v>45971</v>
      </c>
      <c r="I22">
        <v>-153.6</v>
      </c>
      <c r="J22">
        <v>-2560</v>
      </c>
      <c r="K22" t="s">
        <v>173</v>
      </c>
      <c r="L22" t="s">
        <v>174</v>
      </c>
      <c r="M22" t="s">
        <v>189</v>
      </c>
      <c r="N22" t="s">
        <v>278</v>
      </c>
      <c r="O22">
        <v>175</v>
      </c>
      <c r="P22">
        <v>161.00290000000001</v>
      </c>
      <c r="Q22" t="s">
        <v>190</v>
      </c>
      <c r="R22" t="s">
        <v>232</v>
      </c>
      <c r="S22" t="s">
        <v>206</v>
      </c>
      <c r="T22" t="s">
        <v>323</v>
      </c>
    </row>
    <row r="23" spans="1:20" x14ac:dyDescent="0.25">
      <c r="A23" t="s">
        <v>167</v>
      </c>
      <c r="B23" t="s">
        <v>168</v>
      </c>
      <c r="C23" t="s">
        <v>179</v>
      </c>
      <c r="D23" t="s">
        <v>170</v>
      </c>
      <c r="E23" t="s">
        <v>244</v>
      </c>
      <c r="F23" t="s">
        <v>179</v>
      </c>
      <c r="G23" t="s">
        <v>245</v>
      </c>
      <c r="H23">
        <v>46067</v>
      </c>
      <c r="I23">
        <v>-19.2</v>
      </c>
      <c r="J23">
        <v>-320</v>
      </c>
      <c r="K23" t="s">
        <v>173</v>
      </c>
      <c r="L23" t="s">
        <v>174</v>
      </c>
      <c r="M23" t="s">
        <v>205</v>
      </c>
      <c r="N23" t="s">
        <v>278</v>
      </c>
      <c r="O23">
        <v>65</v>
      </c>
      <c r="P23">
        <v>64.296000000000006</v>
      </c>
      <c r="Q23" t="s">
        <v>246</v>
      </c>
      <c r="R23" t="s">
        <v>232</v>
      </c>
      <c r="S23" t="s">
        <v>228</v>
      </c>
    </row>
    <row r="24" spans="1:20" x14ac:dyDescent="0.25">
      <c r="A24" t="s">
        <v>167</v>
      </c>
      <c r="B24" t="s">
        <v>168</v>
      </c>
      <c r="C24" t="s">
        <v>179</v>
      </c>
      <c r="D24" t="s">
        <v>170</v>
      </c>
      <c r="E24" t="s">
        <v>313</v>
      </c>
      <c r="F24" t="s">
        <v>179</v>
      </c>
      <c r="G24" t="s">
        <v>227</v>
      </c>
      <c r="H24">
        <v>46178</v>
      </c>
      <c r="I24">
        <v>-19.2</v>
      </c>
      <c r="J24">
        <v>-320</v>
      </c>
      <c r="K24" t="s">
        <v>173</v>
      </c>
      <c r="L24" t="s">
        <v>174</v>
      </c>
      <c r="M24" t="s">
        <v>205</v>
      </c>
      <c r="N24" t="s">
        <v>314</v>
      </c>
      <c r="O24">
        <v>75</v>
      </c>
      <c r="P24">
        <v>71.002899999999997</v>
      </c>
      <c r="Q24" t="s">
        <v>48</v>
      </c>
      <c r="R24" t="s">
        <v>315</v>
      </c>
      <c r="S24" t="s">
        <v>228</v>
      </c>
    </row>
    <row r="25" spans="1:20" x14ac:dyDescent="0.25">
      <c r="A25" t="s">
        <v>167</v>
      </c>
      <c r="B25" t="s">
        <v>168</v>
      </c>
      <c r="C25" t="s">
        <v>179</v>
      </c>
      <c r="D25" t="s">
        <v>170</v>
      </c>
      <c r="E25" t="s">
        <v>316</v>
      </c>
      <c r="F25" t="s">
        <v>179</v>
      </c>
      <c r="G25" t="s">
        <v>227</v>
      </c>
      <c r="H25">
        <v>46178</v>
      </c>
      <c r="I25">
        <v>-19.2</v>
      </c>
      <c r="J25">
        <v>-320</v>
      </c>
      <c r="K25" t="s">
        <v>173</v>
      </c>
      <c r="L25" t="s">
        <v>174</v>
      </c>
      <c r="M25" t="s">
        <v>205</v>
      </c>
      <c r="N25" t="s">
        <v>314</v>
      </c>
      <c r="O25">
        <v>75</v>
      </c>
      <c r="P25">
        <v>71.002899999999997</v>
      </c>
      <c r="Q25" t="s">
        <v>48</v>
      </c>
      <c r="R25" t="s">
        <v>315</v>
      </c>
      <c r="S25" t="s">
        <v>228</v>
      </c>
    </row>
    <row r="26" spans="1:20" x14ac:dyDescent="0.25">
      <c r="A26" t="s">
        <v>167</v>
      </c>
      <c r="B26" t="s">
        <v>168</v>
      </c>
      <c r="C26" t="s">
        <v>195</v>
      </c>
      <c r="D26" t="s">
        <v>170</v>
      </c>
      <c r="E26" t="s">
        <v>252</v>
      </c>
      <c r="F26" t="s">
        <v>195</v>
      </c>
      <c r="G26" t="s">
        <v>253</v>
      </c>
      <c r="H26">
        <v>46140</v>
      </c>
      <c r="I26">
        <v>-0.09</v>
      </c>
      <c r="J26">
        <v>-3</v>
      </c>
      <c r="K26" t="s">
        <v>173</v>
      </c>
      <c r="L26" t="s">
        <v>174</v>
      </c>
      <c r="M26" t="s">
        <v>254</v>
      </c>
      <c r="N26" t="s">
        <v>219</v>
      </c>
      <c r="O26">
        <v>369.21570000000003</v>
      </c>
      <c r="P26">
        <v>369.21570000000003</v>
      </c>
      <c r="Q26" t="s">
        <v>255</v>
      </c>
      <c r="R26" t="s">
        <v>186</v>
      </c>
      <c r="T26" t="s">
        <v>207</v>
      </c>
    </row>
    <row r="27" spans="1:20" x14ac:dyDescent="0.25">
      <c r="A27" t="s">
        <v>167</v>
      </c>
      <c r="B27" t="s">
        <v>168</v>
      </c>
      <c r="C27" t="s">
        <v>195</v>
      </c>
      <c r="D27" t="s">
        <v>170</v>
      </c>
      <c r="E27" t="s">
        <v>256</v>
      </c>
      <c r="F27" t="s">
        <v>195</v>
      </c>
      <c r="G27" t="s">
        <v>253</v>
      </c>
      <c r="H27">
        <v>46140</v>
      </c>
      <c r="I27">
        <v>-0.09</v>
      </c>
      <c r="J27">
        <v>-3</v>
      </c>
      <c r="K27" t="s">
        <v>173</v>
      </c>
      <c r="L27" t="s">
        <v>174</v>
      </c>
      <c r="M27" t="s">
        <v>254</v>
      </c>
      <c r="N27" t="s">
        <v>219</v>
      </c>
      <c r="O27">
        <v>301.17610000000002</v>
      </c>
      <c r="P27">
        <v>301.17610000000002</v>
      </c>
      <c r="Q27" t="s">
        <v>257</v>
      </c>
      <c r="R27" t="s">
        <v>186</v>
      </c>
      <c r="T27" t="s">
        <v>207</v>
      </c>
    </row>
    <row r="28" spans="1:20" x14ac:dyDescent="0.25">
      <c r="A28" t="s">
        <v>167</v>
      </c>
      <c r="B28" t="s">
        <v>168</v>
      </c>
      <c r="C28" t="s">
        <v>195</v>
      </c>
      <c r="D28" t="s">
        <v>170</v>
      </c>
      <c r="E28" t="s">
        <v>250</v>
      </c>
      <c r="F28" t="s">
        <v>195</v>
      </c>
      <c r="G28" t="s">
        <v>248</v>
      </c>
      <c r="H28">
        <v>46140</v>
      </c>
      <c r="I28">
        <v>-1.56</v>
      </c>
      <c r="J28">
        <v>-52</v>
      </c>
      <c r="K28" t="s">
        <v>173</v>
      </c>
      <c r="L28" t="s">
        <v>174</v>
      </c>
      <c r="M28" t="s">
        <v>189</v>
      </c>
      <c r="N28" t="s">
        <v>219</v>
      </c>
      <c r="O28">
        <v>205.5</v>
      </c>
      <c r="P28">
        <v>205.5</v>
      </c>
      <c r="Q28" t="s">
        <v>251</v>
      </c>
      <c r="R28" t="s">
        <v>186</v>
      </c>
    </row>
    <row r="29" spans="1:20" x14ac:dyDescent="0.25">
      <c r="A29" t="s">
        <v>167</v>
      </c>
      <c r="B29" t="s">
        <v>168</v>
      </c>
      <c r="C29" t="s">
        <v>195</v>
      </c>
      <c r="D29" t="s">
        <v>170</v>
      </c>
      <c r="E29" t="s">
        <v>298</v>
      </c>
      <c r="F29" t="s">
        <v>195</v>
      </c>
      <c r="G29" t="s">
        <v>292</v>
      </c>
      <c r="H29">
        <v>46160</v>
      </c>
      <c r="I29">
        <v>-3</v>
      </c>
      <c r="J29">
        <v>-100</v>
      </c>
      <c r="K29" t="s">
        <v>286</v>
      </c>
      <c r="L29" t="s">
        <v>293</v>
      </c>
      <c r="M29" t="s">
        <v>294</v>
      </c>
      <c r="N29" t="s">
        <v>219</v>
      </c>
      <c r="O29">
        <v>97.94</v>
      </c>
      <c r="P29">
        <v>86.102400000000003</v>
      </c>
      <c r="Q29" t="s">
        <v>299</v>
      </c>
      <c r="R29" t="s">
        <v>186</v>
      </c>
      <c r="T29" t="s">
        <v>207</v>
      </c>
    </row>
    <row r="30" spans="1:20" x14ac:dyDescent="0.25">
      <c r="A30" t="s">
        <v>167</v>
      </c>
      <c r="B30" t="s">
        <v>168</v>
      </c>
      <c r="C30" t="s">
        <v>195</v>
      </c>
      <c r="D30" t="s">
        <v>170</v>
      </c>
      <c r="E30" t="s">
        <v>312</v>
      </c>
      <c r="F30" t="s">
        <v>195</v>
      </c>
      <c r="G30" t="s">
        <v>237</v>
      </c>
      <c r="H30">
        <v>46105</v>
      </c>
      <c r="I30">
        <v>-19.2</v>
      </c>
      <c r="J30">
        <v>-320</v>
      </c>
      <c r="K30" t="s">
        <v>173</v>
      </c>
      <c r="L30" t="s">
        <v>174</v>
      </c>
      <c r="M30" t="s">
        <v>184</v>
      </c>
      <c r="N30" t="s">
        <v>263</v>
      </c>
      <c r="O30">
        <v>35</v>
      </c>
      <c r="P30">
        <v>35</v>
      </c>
      <c r="Q30" t="s">
        <v>51</v>
      </c>
      <c r="R30" t="s">
        <v>232</v>
      </c>
    </row>
    <row r="31" spans="1:20" x14ac:dyDescent="0.25">
      <c r="A31" t="s">
        <v>167</v>
      </c>
      <c r="B31" t="s">
        <v>168</v>
      </c>
      <c r="C31" t="s">
        <v>195</v>
      </c>
      <c r="D31" t="s">
        <v>170</v>
      </c>
      <c r="E31" t="s">
        <v>241</v>
      </c>
      <c r="F31" t="s">
        <v>195</v>
      </c>
      <c r="G31" t="s">
        <v>242</v>
      </c>
      <c r="H31">
        <v>46133</v>
      </c>
      <c r="I31">
        <v>-108</v>
      </c>
      <c r="J31">
        <v>-1800</v>
      </c>
      <c r="K31" t="s">
        <v>173</v>
      </c>
      <c r="L31" t="s">
        <v>174</v>
      </c>
      <c r="M31" t="s">
        <v>189</v>
      </c>
      <c r="N31" t="s">
        <v>219</v>
      </c>
      <c r="O31">
        <v>44</v>
      </c>
      <c r="P31">
        <v>29.4849</v>
      </c>
      <c r="Q31" t="s">
        <v>51</v>
      </c>
      <c r="R31" t="s">
        <v>186</v>
      </c>
    </row>
    <row r="32" spans="1:20" x14ac:dyDescent="0.25">
      <c r="A32" t="s">
        <v>167</v>
      </c>
      <c r="B32" t="s">
        <v>168</v>
      </c>
      <c r="C32" t="s">
        <v>195</v>
      </c>
      <c r="D32" t="s">
        <v>170</v>
      </c>
      <c r="E32" t="s">
        <v>239</v>
      </c>
      <c r="F32" t="s">
        <v>195</v>
      </c>
      <c r="G32" t="s">
        <v>181</v>
      </c>
      <c r="H32">
        <v>46148</v>
      </c>
      <c r="I32">
        <v>-38.4</v>
      </c>
      <c r="J32">
        <v>-640</v>
      </c>
      <c r="K32" t="s">
        <v>182</v>
      </c>
      <c r="L32" t="s">
        <v>183</v>
      </c>
      <c r="M32" t="s">
        <v>184</v>
      </c>
      <c r="N32" t="s">
        <v>219</v>
      </c>
      <c r="O32">
        <v>44</v>
      </c>
      <c r="P32">
        <v>25.002199999999998</v>
      </c>
      <c r="Q32" t="s">
        <v>240</v>
      </c>
      <c r="R32" t="s">
        <v>186</v>
      </c>
    </row>
    <row r="33" spans="1:19" x14ac:dyDescent="0.25">
      <c r="A33" t="s">
        <v>167</v>
      </c>
      <c r="B33" t="s">
        <v>168</v>
      </c>
      <c r="C33" t="s">
        <v>195</v>
      </c>
      <c r="D33" t="s">
        <v>170</v>
      </c>
      <c r="E33" t="s">
        <v>264</v>
      </c>
      <c r="F33" t="s">
        <v>195</v>
      </c>
      <c r="G33" t="s">
        <v>262</v>
      </c>
      <c r="H33">
        <v>46149</v>
      </c>
      <c r="I33">
        <v>-19.2</v>
      </c>
      <c r="J33">
        <v>-320</v>
      </c>
      <c r="K33" t="s">
        <v>182</v>
      </c>
      <c r="L33" t="s">
        <v>1205</v>
      </c>
      <c r="M33" t="s">
        <v>1206</v>
      </c>
      <c r="N33" t="s">
        <v>219</v>
      </c>
      <c r="O33">
        <v>50</v>
      </c>
      <c r="P33">
        <v>37.5</v>
      </c>
      <c r="Q33" t="s">
        <v>240</v>
      </c>
      <c r="R33" t="s">
        <v>232</v>
      </c>
    </row>
    <row r="34" spans="1:19" x14ac:dyDescent="0.25">
      <c r="A34" t="s">
        <v>167</v>
      </c>
      <c r="B34" t="s">
        <v>168</v>
      </c>
      <c r="C34" t="s">
        <v>195</v>
      </c>
      <c r="D34" t="s">
        <v>170</v>
      </c>
      <c r="E34" t="s">
        <v>310</v>
      </c>
      <c r="F34" t="s">
        <v>195</v>
      </c>
      <c r="G34" t="s">
        <v>285</v>
      </c>
      <c r="H34">
        <v>46174</v>
      </c>
      <c r="I34">
        <v>-19.2</v>
      </c>
      <c r="J34">
        <v>-320</v>
      </c>
      <c r="K34" t="s">
        <v>286</v>
      </c>
      <c r="L34" t="s">
        <v>183</v>
      </c>
      <c r="M34" t="s">
        <v>311</v>
      </c>
      <c r="N34" t="s">
        <v>231</v>
      </c>
      <c r="O34">
        <v>70</v>
      </c>
      <c r="P34">
        <v>35.295099999999998</v>
      </c>
      <c r="Q34" t="s">
        <v>240</v>
      </c>
      <c r="R34" t="s">
        <v>232</v>
      </c>
    </row>
    <row r="35" spans="1:19" x14ac:dyDescent="0.25">
      <c r="A35" t="s">
        <v>167</v>
      </c>
      <c r="B35" t="s">
        <v>168</v>
      </c>
      <c r="C35" t="s">
        <v>195</v>
      </c>
      <c r="D35" t="s">
        <v>170</v>
      </c>
      <c r="E35" t="s">
        <v>202</v>
      </c>
      <c r="F35" t="s">
        <v>195</v>
      </c>
      <c r="G35" t="s">
        <v>197</v>
      </c>
      <c r="H35">
        <v>46042</v>
      </c>
      <c r="I35">
        <v>-64.8</v>
      </c>
      <c r="J35">
        <v>-1080</v>
      </c>
      <c r="K35" t="s">
        <v>173</v>
      </c>
      <c r="L35" t="s">
        <v>174</v>
      </c>
      <c r="M35" t="s">
        <v>189</v>
      </c>
      <c r="N35" t="s">
        <v>231</v>
      </c>
      <c r="O35">
        <v>123</v>
      </c>
      <c r="P35">
        <v>111.0001</v>
      </c>
      <c r="Q35" t="s">
        <v>198</v>
      </c>
      <c r="R35" t="s">
        <v>315</v>
      </c>
      <c r="S35" t="s">
        <v>234</v>
      </c>
    </row>
    <row r="36" spans="1:19" x14ac:dyDescent="0.25">
      <c r="A36" t="s">
        <v>167</v>
      </c>
      <c r="B36" t="s">
        <v>168</v>
      </c>
      <c r="C36" t="s">
        <v>195</v>
      </c>
      <c r="D36" t="s">
        <v>170</v>
      </c>
      <c r="E36" t="s">
        <v>208</v>
      </c>
      <c r="F36" t="s">
        <v>195</v>
      </c>
      <c r="G36" t="s">
        <v>197</v>
      </c>
      <c r="H36">
        <v>46042</v>
      </c>
      <c r="I36">
        <v>-43.2</v>
      </c>
      <c r="J36">
        <v>-720</v>
      </c>
      <c r="K36" t="s">
        <v>173</v>
      </c>
      <c r="L36" t="s">
        <v>174</v>
      </c>
      <c r="M36" t="s">
        <v>189</v>
      </c>
      <c r="N36" t="s">
        <v>231</v>
      </c>
      <c r="O36">
        <v>113</v>
      </c>
      <c r="P36">
        <v>101.0001</v>
      </c>
      <c r="Q36" t="s">
        <v>200</v>
      </c>
      <c r="R36" t="s">
        <v>315</v>
      </c>
      <c r="S36" t="s">
        <v>234</v>
      </c>
    </row>
    <row r="37" spans="1:19" x14ac:dyDescent="0.25">
      <c r="A37" t="s">
        <v>167</v>
      </c>
      <c r="B37" t="s">
        <v>168</v>
      </c>
      <c r="C37" t="s">
        <v>195</v>
      </c>
      <c r="D37" t="s">
        <v>170</v>
      </c>
      <c r="E37" t="s">
        <v>243</v>
      </c>
      <c r="F37" t="s">
        <v>195</v>
      </c>
      <c r="G37" t="s">
        <v>227</v>
      </c>
      <c r="H37">
        <v>46125</v>
      </c>
      <c r="I37">
        <v>-19.2</v>
      </c>
      <c r="J37">
        <v>-320</v>
      </c>
      <c r="K37" t="s">
        <v>173</v>
      </c>
      <c r="L37" t="s">
        <v>174</v>
      </c>
      <c r="M37" t="s">
        <v>205</v>
      </c>
      <c r="N37" t="s">
        <v>231</v>
      </c>
      <c r="O37">
        <v>35</v>
      </c>
      <c r="P37">
        <v>30.196400000000001</v>
      </c>
      <c r="Q37" t="s">
        <v>51</v>
      </c>
      <c r="R37" t="s">
        <v>232</v>
      </c>
      <c r="S37" t="s">
        <v>228</v>
      </c>
    </row>
    <row r="38" spans="1:19" x14ac:dyDescent="0.25">
      <c r="A38" t="s">
        <v>167</v>
      </c>
      <c r="B38" t="s">
        <v>168</v>
      </c>
      <c r="C38" t="s">
        <v>195</v>
      </c>
      <c r="D38" t="s">
        <v>170</v>
      </c>
      <c r="E38" t="s">
        <v>209</v>
      </c>
      <c r="F38" t="s">
        <v>195</v>
      </c>
      <c r="G38" t="s">
        <v>197</v>
      </c>
      <c r="H38">
        <v>46042</v>
      </c>
      <c r="I38">
        <v>-64.8</v>
      </c>
      <c r="J38">
        <v>-1080</v>
      </c>
      <c r="K38" t="s">
        <v>173</v>
      </c>
      <c r="L38" t="s">
        <v>174</v>
      </c>
      <c r="M38" t="s">
        <v>189</v>
      </c>
      <c r="N38" t="s">
        <v>278</v>
      </c>
      <c r="O38">
        <v>123</v>
      </c>
      <c r="P38">
        <v>111.0001</v>
      </c>
      <c r="Q38" t="s">
        <v>198</v>
      </c>
      <c r="R38" t="s">
        <v>315</v>
      </c>
      <c r="S38" t="s">
        <v>234</v>
      </c>
    </row>
    <row r="39" spans="1:19" x14ac:dyDescent="0.25">
      <c r="A39" t="s">
        <v>167</v>
      </c>
      <c r="B39" t="s">
        <v>168</v>
      </c>
      <c r="C39" t="s">
        <v>195</v>
      </c>
      <c r="D39" t="s">
        <v>170</v>
      </c>
      <c r="E39" t="s">
        <v>210</v>
      </c>
      <c r="F39" t="s">
        <v>195</v>
      </c>
      <c r="G39" t="s">
        <v>197</v>
      </c>
      <c r="H39">
        <v>46042</v>
      </c>
      <c r="I39">
        <v>-64.8</v>
      </c>
      <c r="J39">
        <v>-1080</v>
      </c>
      <c r="K39" t="s">
        <v>173</v>
      </c>
      <c r="L39" t="s">
        <v>174</v>
      </c>
      <c r="M39" t="s">
        <v>189</v>
      </c>
      <c r="N39" t="s">
        <v>278</v>
      </c>
      <c r="O39">
        <v>113</v>
      </c>
      <c r="P39">
        <v>101.0001</v>
      </c>
      <c r="Q39" t="s">
        <v>200</v>
      </c>
      <c r="R39" t="s">
        <v>315</v>
      </c>
      <c r="S39" t="s">
        <v>234</v>
      </c>
    </row>
    <row r="40" spans="1:19" x14ac:dyDescent="0.25">
      <c r="A40" t="s">
        <v>167</v>
      </c>
      <c r="B40" t="s">
        <v>168</v>
      </c>
      <c r="C40" t="s">
        <v>195</v>
      </c>
      <c r="D40" t="s">
        <v>170</v>
      </c>
      <c r="E40" t="s">
        <v>1257</v>
      </c>
      <c r="F40" t="s">
        <v>195</v>
      </c>
      <c r="G40" t="s">
        <v>242</v>
      </c>
      <c r="H40">
        <v>46188</v>
      </c>
      <c r="I40">
        <v>-108</v>
      </c>
      <c r="J40">
        <v>-1800</v>
      </c>
      <c r="K40" t="s">
        <v>173</v>
      </c>
      <c r="L40" t="s">
        <v>174</v>
      </c>
      <c r="M40" t="s">
        <v>189</v>
      </c>
      <c r="N40" t="s">
        <v>278</v>
      </c>
      <c r="O40">
        <v>50</v>
      </c>
      <c r="P40">
        <v>36.889200000000002</v>
      </c>
      <c r="Q40" t="s">
        <v>1259</v>
      </c>
      <c r="R40" t="s">
        <v>232</v>
      </c>
      <c r="S40" t="s">
        <v>1260</v>
      </c>
    </row>
    <row r="41" spans="1:19" x14ac:dyDescent="0.25">
      <c r="A41" t="s">
        <v>167</v>
      </c>
      <c r="B41" t="s">
        <v>168</v>
      </c>
      <c r="C41" t="s">
        <v>195</v>
      </c>
      <c r="D41" t="s">
        <v>170</v>
      </c>
      <c r="E41" t="s">
        <v>211</v>
      </c>
      <c r="F41" t="s">
        <v>195</v>
      </c>
      <c r="G41" t="s">
        <v>197</v>
      </c>
      <c r="H41">
        <v>46042</v>
      </c>
      <c r="I41">
        <v>-64.8</v>
      </c>
      <c r="J41">
        <v>-1080</v>
      </c>
      <c r="K41" t="s">
        <v>173</v>
      </c>
      <c r="L41" t="s">
        <v>174</v>
      </c>
      <c r="M41" t="s">
        <v>189</v>
      </c>
      <c r="N41" t="s">
        <v>314</v>
      </c>
      <c r="O41">
        <v>133</v>
      </c>
      <c r="P41">
        <v>120.9996</v>
      </c>
      <c r="Q41" t="s">
        <v>198</v>
      </c>
      <c r="R41" t="s">
        <v>290</v>
      </c>
      <c r="S41" t="s">
        <v>234</v>
      </c>
    </row>
    <row r="42" spans="1:19" x14ac:dyDescent="0.25">
      <c r="A42" t="s">
        <v>167</v>
      </c>
      <c r="B42" t="s">
        <v>168</v>
      </c>
      <c r="C42" t="s">
        <v>195</v>
      </c>
      <c r="D42" t="s">
        <v>170</v>
      </c>
      <c r="E42" t="s">
        <v>212</v>
      </c>
      <c r="F42" t="s">
        <v>195</v>
      </c>
      <c r="G42" t="s">
        <v>197</v>
      </c>
      <c r="H42">
        <v>46042</v>
      </c>
      <c r="I42">
        <v>-64.8</v>
      </c>
      <c r="J42">
        <v>-1080</v>
      </c>
      <c r="K42" t="s">
        <v>173</v>
      </c>
      <c r="L42" t="s">
        <v>174</v>
      </c>
      <c r="M42" t="s">
        <v>189</v>
      </c>
      <c r="N42" t="s">
        <v>314</v>
      </c>
      <c r="O42">
        <v>123</v>
      </c>
      <c r="P42">
        <v>111.0001</v>
      </c>
      <c r="Q42" t="s">
        <v>200</v>
      </c>
      <c r="R42" t="s">
        <v>290</v>
      </c>
      <c r="S42" t="s">
        <v>234</v>
      </c>
    </row>
    <row r="43" spans="1:19" x14ac:dyDescent="0.25">
      <c r="A43" t="s">
        <v>167</v>
      </c>
      <c r="B43" t="s">
        <v>168</v>
      </c>
      <c r="C43" t="s">
        <v>195</v>
      </c>
      <c r="D43" t="s">
        <v>170</v>
      </c>
      <c r="E43" t="s">
        <v>1262</v>
      </c>
      <c r="F43" t="s">
        <v>195</v>
      </c>
      <c r="G43" t="s">
        <v>242</v>
      </c>
      <c r="H43">
        <v>46188</v>
      </c>
      <c r="I43">
        <v>-108</v>
      </c>
      <c r="J43">
        <v>-1800</v>
      </c>
      <c r="K43" t="s">
        <v>173</v>
      </c>
      <c r="L43" t="s">
        <v>174</v>
      </c>
      <c r="M43" t="s">
        <v>189</v>
      </c>
      <c r="N43" t="s">
        <v>314</v>
      </c>
      <c r="O43">
        <v>65</v>
      </c>
      <c r="P43">
        <v>51.266399999999997</v>
      </c>
      <c r="Q43" t="s">
        <v>51</v>
      </c>
      <c r="R43" t="s">
        <v>315</v>
      </c>
    </row>
    <row r="44" spans="1:19" x14ac:dyDescent="0.25">
      <c r="A44" t="s">
        <v>167</v>
      </c>
      <c r="B44" t="s">
        <v>168</v>
      </c>
      <c r="C44" t="s">
        <v>195</v>
      </c>
      <c r="D44" t="s">
        <v>170</v>
      </c>
      <c r="E44" t="s">
        <v>1263</v>
      </c>
      <c r="F44" t="s">
        <v>195</v>
      </c>
      <c r="G44" t="s">
        <v>242</v>
      </c>
      <c r="H44">
        <v>46188</v>
      </c>
      <c r="I44">
        <v>-108</v>
      </c>
      <c r="J44">
        <v>-1800</v>
      </c>
      <c r="K44" t="s">
        <v>173</v>
      </c>
      <c r="L44" t="s">
        <v>174</v>
      </c>
      <c r="M44" t="s">
        <v>189</v>
      </c>
      <c r="N44" t="s">
        <v>314</v>
      </c>
      <c r="O44">
        <v>50</v>
      </c>
      <c r="P44">
        <v>36.920499999999997</v>
      </c>
      <c r="Q44" t="s">
        <v>1259</v>
      </c>
      <c r="R44" t="s">
        <v>315</v>
      </c>
      <c r="S44" t="s">
        <v>1260</v>
      </c>
    </row>
    <row r="45" spans="1:19" x14ac:dyDescent="0.25">
      <c r="A45" t="s">
        <v>167</v>
      </c>
      <c r="B45" t="s">
        <v>168</v>
      </c>
      <c r="C45" t="s">
        <v>195</v>
      </c>
      <c r="D45" t="s">
        <v>170</v>
      </c>
      <c r="E45" t="s">
        <v>213</v>
      </c>
      <c r="F45" t="s">
        <v>195</v>
      </c>
      <c r="G45" t="s">
        <v>197</v>
      </c>
      <c r="H45">
        <v>46042</v>
      </c>
      <c r="I45">
        <v>-64.8</v>
      </c>
      <c r="J45">
        <v>-1080</v>
      </c>
      <c r="K45" t="s">
        <v>173</v>
      </c>
      <c r="L45" t="s">
        <v>174</v>
      </c>
      <c r="M45" t="s">
        <v>189</v>
      </c>
      <c r="N45" t="s">
        <v>1214</v>
      </c>
      <c r="O45">
        <v>133</v>
      </c>
      <c r="P45">
        <v>121.0001</v>
      </c>
      <c r="Q45" t="s">
        <v>198</v>
      </c>
      <c r="R45" t="s">
        <v>290</v>
      </c>
      <c r="S45" t="s">
        <v>234</v>
      </c>
    </row>
    <row r="46" spans="1:19" x14ac:dyDescent="0.25">
      <c r="A46" t="s">
        <v>167</v>
      </c>
      <c r="B46" t="s">
        <v>168</v>
      </c>
      <c r="C46" t="s">
        <v>195</v>
      </c>
      <c r="D46" t="s">
        <v>170</v>
      </c>
      <c r="E46" t="s">
        <v>214</v>
      </c>
      <c r="F46" t="s">
        <v>195</v>
      </c>
      <c r="G46" t="s">
        <v>197</v>
      </c>
      <c r="H46">
        <v>46042</v>
      </c>
      <c r="I46">
        <v>-64.8</v>
      </c>
      <c r="J46">
        <v>-1080</v>
      </c>
      <c r="K46" t="s">
        <v>173</v>
      </c>
      <c r="L46" t="s">
        <v>174</v>
      </c>
      <c r="M46" t="s">
        <v>189</v>
      </c>
      <c r="N46" t="s">
        <v>1214</v>
      </c>
      <c r="O46">
        <v>123</v>
      </c>
      <c r="P46">
        <v>111.0001</v>
      </c>
      <c r="Q46" t="s">
        <v>200</v>
      </c>
      <c r="R46" t="s">
        <v>290</v>
      </c>
      <c r="S46" t="s">
        <v>234</v>
      </c>
    </row>
    <row r="47" spans="1:19" x14ac:dyDescent="0.25">
      <c r="A47" t="s">
        <v>167</v>
      </c>
      <c r="B47" t="s">
        <v>168</v>
      </c>
      <c r="C47" t="s">
        <v>195</v>
      </c>
      <c r="D47" t="s">
        <v>170</v>
      </c>
      <c r="E47" t="s">
        <v>215</v>
      </c>
      <c r="F47" t="s">
        <v>195</v>
      </c>
      <c r="G47" t="s">
        <v>197</v>
      </c>
      <c r="H47">
        <v>46042</v>
      </c>
      <c r="I47">
        <v>-43.2</v>
      </c>
      <c r="J47">
        <v>-720</v>
      </c>
      <c r="K47" t="s">
        <v>173</v>
      </c>
      <c r="L47" t="s">
        <v>174</v>
      </c>
      <c r="M47" t="s">
        <v>189</v>
      </c>
      <c r="N47" t="s">
        <v>1217</v>
      </c>
      <c r="O47">
        <v>133</v>
      </c>
      <c r="P47">
        <v>120.9996</v>
      </c>
      <c r="Q47" t="s">
        <v>198</v>
      </c>
      <c r="R47" t="s">
        <v>290</v>
      </c>
      <c r="S47" t="s">
        <v>234</v>
      </c>
    </row>
    <row r="48" spans="1:19" x14ac:dyDescent="0.25">
      <c r="A48" t="s">
        <v>167</v>
      </c>
      <c r="B48" t="s">
        <v>168</v>
      </c>
      <c r="C48" t="s">
        <v>195</v>
      </c>
      <c r="D48" t="s">
        <v>170</v>
      </c>
      <c r="E48" t="s">
        <v>216</v>
      </c>
      <c r="F48" t="s">
        <v>195</v>
      </c>
      <c r="G48" t="s">
        <v>197</v>
      </c>
      <c r="H48">
        <v>46042</v>
      </c>
      <c r="I48">
        <v>-43.2</v>
      </c>
      <c r="J48">
        <v>-720</v>
      </c>
      <c r="K48" t="s">
        <v>173</v>
      </c>
      <c r="L48" t="s">
        <v>174</v>
      </c>
      <c r="M48" t="s">
        <v>189</v>
      </c>
      <c r="N48" t="s">
        <v>1217</v>
      </c>
      <c r="O48">
        <v>123</v>
      </c>
      <c r="P48">
        <v>111.0001</v>
      </c>
      <c r="Q48" t="s">
        <v>200</v>
      </c>
      <c r="R48" t="s">
        <v>290</v>
      </c>
      <c r="S48" t="s">
        <v>234</v>
      </c>
    </row>
    <row r="49" spans="1:20" x14ac:dyDescent="0.25">
      <c r="A49" t="s">
        <v>167</v>
      </c>
      <c r="B49" t="s">
        <v>168</v>
      </c>
      <c r="C49" t="s">
        <v>224</v>
      </c>
      <c r="D49" t="s">
        <v>170</v>
      </c>
      <c r="E49" t="s">
        <v>265</v>
      </c>
      <c r="F49" t="s">
        <v>224</v>
      </c>
      <c r="G49" t="s">
        <v>248</v>
      </c>
      <c r="H49">
        <v>46013</v>
      </c>
      <c r="I49">
        <v>-50.4</v>
      </c>
      <c r="J49">
        <v>-840</v>
      </c>
      <c r="K49" t="s">
        <v>173</v>
      </c>
      <c r="L49" t="s">
        <v>174</v>
      </c>
      <c r="M49" t="s">
        <v>189</v>
      </c>
      <c r="N49" t="s">
        <v>219</v>
      </c>
      <c r="O49">
        <v>4</v>
      </c>
      <c r="P49">
        <v>3.5242</v>
      </c>
      <c r="Q49" t="s">
        <v>266</v>
      </c>
      <c r="R49" t="s">
        <v>186</v>
      </c>
    </row>
    <row r="50" spans="1:20" x14ac:dyDescent="0.25">
      <c r="A50" t="s">
        <v>167</v>
      </c>
      <c r="B50" t="s">
        <v>168</v>
      </c>
      <c r="C50" t="s">
        <v>224</v>
      </c>
      <c r="D50" t="s">
        <v>170</v>
      </c>
      <c r="E50" t="s">
        <v>307</v>
      </c>
      <c r="F50" t="s">
        <v>224</v>
      </c>
      <c r="G50" t="s">
        <v>308</v>
      </c>
      <c r="H50">
        <v>46171</v>
      </c>
      <c r="I50">
        <v>-21.6</v>
      </c>
      <c r="J50">
        <v>-360</v>
      </c>
      <c r="K50" t="s">
        <v>173</v>
      </c>
      <c r="L50" t="s">
        <v>174</v>
      </c>
      <c r="M50" t="s">
        <v>189</v>
      </c>
      <c r="N50" t="s">
        <v>1221</v>
      </c>
      <c r="O50">
        <v>50</v>
      </c>
      <c r="P50">
        <v>47.997399999999999</v>
      </c>
      <c r="Q50" t="s">
        <v>309</v>
      </c>
      <c r="R50" t="s">
        <v>232</v>
      </c>
    </row>
    <row r="51" spans="1:20" x14ac:dyDescent="0.25">
      <c r="A51" t="s">
        <v>167</v>
      </c>
      <c r="B51" t="s">
        <v>168</v>
      </c>
      <c r="C51" t="s">
        <v>267</v>
      </c>
      <c r="D51" t="s">
        <v>170</v>
      </c>
      <c r="E51" t="s">
        <v>268</v>
      </c>
      <c r="F51" t="s">
        <v>267</v>
      </c>
      <c r="G51" t="s">
        <v>269</v>
      </c>
      <c r="H51">
        <v>46105</v>
      </c>
      <c r="I51">
        <v>-108</v>
      </c>
      <c r="J51">
        <v>-1800</v>
      </c>
      <c r="K51" t="s">
        <v>173</v>
      </c>
      <c r="L51" t="s">
        <v>174</v>
      </c>
      <c r="M51" t="s">
        <v>189</v>
      </c>
      <c r="N51" t="s">
        <v>263</v>
      </c>
      <c r="O51">
        <v>-6</v>
      </c>
      <c r="P51">
        <v>-6</v>
      </c>
      <c r="Q51" t="s">
        <v>270</v>
      </c>
      <c r="R51" t="s">
        <v>186</v>
      </c>
    </row>
    <row r="52" spans="1:20" x14ac:dyDescent="0.25">
      <c r="A52" t="s">
        <v>167</v>
      </c>
      <c r="B52" t="s">
        <v>168</v>
      </c>
      <c r="C52" t="s">
        <v>267</v>
      </c>
      <c r="D52" t="s">
        <v>170</v>
      </c>
      <c r="E52" t="s">
        <v>384</v>
      </c>
      <c r="F52" t="s">
        <v>267</v>
      </c>
      <c r="G52" t="s">
        <v>385</v>
      </c>
      <c r="H52">
        <v>45730</v>
      </c>
      <c r="I52">
        <v>-43.2</v>
      </c>
      <c r="J52">
        <v>-720</v>
      </c>
      <c r="K52" t="s">
        <v>319</v>
      </c>
      <c r="L52" t="s">
        <v>386</v>
      </c>
      <c r="M52" t="s">
        <v>387</v>
      </c>
      <c r="N52" t="s">
        <v>388</v>
      </c>
      <c r="O52">
        <v>-19</v>
      </c>
      <c r="P52">
        <v>-40.089500000000001</v>
      </c>
      <c r="Q52" t="s">
        <v>389</v>
      </c>
      <c r="R52" t="s">
        <v>390</v>
      </c>
    </row>
    <row r="53" spans="1:20" x14ac:dyDescent="0.25">
      <c r="A53" t="s">
        <v>167</v>
      </c>
      <c r="B53" t="s">
        <v>168</v>
      </c>
      <c r="C53" t="s">
        <v>267</v>
      </c>
      <c r="D53" t="s">
        <v>170</v>
      </c>
      <c r="E53" t="s">
        <v>288</v>
      </c>
      <c r="F53" t="s">
        <v>267</v>
      </c>
      <c r="G53" t="s">
        <v>188</v>
      </c>
      <c r="H53">
        <v>46156</v>
      </c>
      <c r="I53">
        <v>-151.19999999999999</v>
      </c>
      <c r="J53">
        <v>-151200</v>
      </c>
      <c r="K53" t="s">
        <v>173</v>
      </c>
      <c r="L53" t="s">
        <v>174</v>
      </c>
      <c r="M53" t="s">
        <v>189</v>
      </c>
      <c r="N53" t="s">
        <v>314</v>
      </c>
      <c r="O53">
        <v>17</v>
      </c>
      <c r="P53">
        <v>9.5001999999999995</v>
      </c>
      <c r="Q53" t="s">
        <v>289</v>
      </c>
      <c r="R53" t="s">
        <v>290</v>
      </c>
    </row>
    <row r="54" spans="1:20" x14ac:dyDescent="0.25">
      <c r="A54" t="s">
        <v>167</v>
      </c>
      <c r="B54" t="s">
        <v>168</v>
      </c>
      <c r="C54" t="s">
        <v>267</v>
      </c>
      <c r="D54" t="s">
        <v>170</v>
      </c>
      <c r="E54" t="s">
        <v>1264</v>
      </c>
      <c r="F54" t="s">
        <v>267</v>
      </c>
      <c r="G54" t="s">
        <v>242</v>
      </c>
      <c r="H54">
        <v>46188</v>
      </c>
      <c r="I54">
        <v>-108</v>
      </c>
      <c r="J54">
        <v>-1800</v>
      </c>
      <c r="K54" t="s">
        <v>173</v>
      </c>
      <c r="L54" t="s">
        <v>174</v>
      </c>
      <c r="M54" t="s">
        <v>189</v>
      </c>
      <c r="N54" t="s">
        <v>314</v>
      </c>
      <c r="O54">
        <v>21</v>
      </c>
      <c r="P54">
        <v>9.0780999999999992</v>
      </c>
      <c r="Q54" t="s">
        <v>1265</v>
      </c>
      <c r="R54" t="s">
        <v>315</v>
      </c>
    </row>
    <row r="55" spans="1:20" x14ac:dyDescent="0.25">
      <c r="A55" t="s">
        <v>167</v>
      </c>
      <c r="B55" t="s">
        <v>168</v>
      </c>
      <c r="C55" t="s">
        <v>267</v>
      </c>
      <c r="D55" t="s">
        <v>170</v>
      </c>
      <c r="E55" t="s">
        <v>1266</v>
      </c>
      <c r="F55" t="s">
        <v>267</v>
      </c>
      <c r="G55" t="s">
        <v>242</v>
      </c>
      <c r="H55">
        <v>46188</v>
      </c>
      <c r="I55">
        <v>-108</v>
      </c>
      <c r="J55">
        <v>-1800</v>
      </c>
      <c r="K55" t="s">
        <v>173</v>
      </c>
      <c r="L55" t="s">
        <v>174</v>
      </c>
      <c r="M55" t="s">
        <v>189</v>
      </c>
      <c r="N55" t="s">
        <v>314</v>
      </c>
      <c r="O55">
        <v>8</v>
      </c>
      <c r="P55">
        <v>-3.3525999999999998</v>
      </c>
      <c r="Q55" t="s">
        <v>1267</v>
      </c>
      <c r="R55" t="s">
        <v>315</v>
      </c>
    </row>
    <row r="56" spans="1:20" x14ac:dyDescent="0.25">
      <c r="A56" t="s">
        <v>167</v>
      </c>
      <c r="B56" t="s">
        <v>168</v>
      </c>
      <c r="C56" t="s">
        <v>267</v>
      </c>
      <c r="D56" t="s">
        <v>170</v>
      </c>
      <c r="E56" t="s">
        <v>1268</v>
      </c>
      <c r="F56" t="s">
        <v>267</v>
      </c>
      <c r="G56" t="s">
        <v>242</v>
      </c>
      <c r="H56">
        <v>46188</v>
      </c>
      <c r="I56">
        <v>-108</v>
      </c>
      <c r="J56">
        <v>-1800</v>
      </c>
      <c r="K56" t="s">
        <v>173</v>
      </c>
      <c r="L56" t="s">
        <v>174</v>
      </c>
      <c r="M56" t="s">
        <v>189</v>
      </c>
      <c r="N56" t="s">
        <v>1214</v>
      </c>
      <c r="O56">
        <v>21</v>
      </c>
      <c r="P56">
        <v>9.0780999999999992</v>
      </c>
      <c r="Q56" t="s">
        <v>1265</v>
      </c>
      <c r="R56" t="s">
        <v>315</v>
      </c>
    </row>
    <row r="57" spans="1:20" x14ac:dyDescent="0.25">
      <c r="A57" t="s">
        <v>167</v>
      </c>
      <c r="B57" t="s">
        <v>168</v>
      </c>
      <c r="C57" t="s">
        <v>267</v>
      </c>
      <c r="D57" t="s">
        <v>170</v>
      </c>
      <c r="E57" t="s">
        <v>1269</v>
      </c>
      <c r="F57" t="s">
        <v>267</v>
      </c>
      <c r="G57" t="s">
        <v>242</v>
      </c>
      <c r="H57">
        <v>46188</v>
      </c>
      <c r="I57">
        <v>-108</v>
      </c>
      <c r="J57">
        <v>-1800</v>
      </c>
      <c r="K57" t="s">
        <v>173</v>
      </c>
      <c r="L57" t="s">
        <v>174</v>
      </c>
      <c r="M57" t="s">
        <v>189</v>
      </c>
      <c r="N57" t="s">
        <v>1214</v>
      </c>
      <c r="O57">
        <v>8</v>
      </c>
      <c r="P57">
        <v>-3.3525999999999998</v>
      </c>
      <c r="Q57" t="s">
        <v>1267</v>
      </c>
      <c r="R57" t="s">
        <v>315</v>
      </c>
    </row>
    <row r="58" spans="1:20" x14ac:dyDescent="0.25">
      <c r="A58" t="s">
        <v>167</v>
      </c>
      <c r="B58" t="s">
        <v>168</v>
      </c>
      <c r="C58" t="s">
        <v>258</v>
      </c>
      <c r="D58" t="s">
        <v>170</v>
      </c>
      <c r="E58" t="s">
        <v>259</v>
      </c>
      <c r="F58" t="s">
        <v>258</v>
      </c>
      <c r="G58" t="s">
        <v>253</v>
      </c>
      <c r="H58">
        <v>46140</v>
      </c>
      <c r="I58">
        <v>-0.12</v>
      </c>
      <c r="J58">
        <v>-4</v>
      </c>
      <c r="K58" t="s">
        <v>173</v>
      </c>
      <c r="L58" t="s">
        <v>174</v>
      </c>
      <c r="M58" t="s">
        <v>254</v>
      </c>
      <c r="N58" t="s">
        <v>219</v>
      </c>
      <c r="O58">
        <v>233.13659999999999</v>
      </c>
      <c r="P58">
        <v>233.13659999999999</v>
      </c>
      <c r="Q58" t="s">
        <v>260</v>
      </c>
      <c r="R58" t="s">
        <v>186</v>
      </c>
      <c r="T58" t="s">
        <v>207</v>
      </c>
    </row>
    <row r="59" spans="1:20" x14ac:dyDescent="0.25">
      <c r="A59" t="s">
        <v>167</v>
      </c>
      <c r="B59" t="s">
        <v>168</v>
      </c>
      <c r="C59" t="s">
        <v>258</v>
      </c>
      <c r="D59" t="s">
        <v>170</v>
      </c>
      <c r="E59" t="s">
        <v>300</v>
      </c>
      <c r="F59" t="s">
        <v>258</v>
      </c>
      <c r="G59" t="s">
        <v>292</v>
      </c>
      <c r="H59">
        <v>46160</v>
      </c>
      <c r="I59">
        <v>-0.36</v>
      </c>
      <c r="J59">
        <v>-12</v>
      </c>
      <c r="K59" t="s">
        <v>286</v>
      </c>
      <c r="L59" t="s">
        <v>293</v>
      </c>
      <c r="M59" t="s">
        <v>294</v>
      </c>
      <c r="N59" t="s">
        <v>219</v>
      </c>
      <c r="O59">
        <v>192.94</v>
      </c>
      <c r="P59">
        <v>181.10239999999999</v>
      </c>
      <c r="Q59" t="s">
        <v>301</v>
      </c>
      <c r="R59" t="s">
        <v>186</v>
      </c>
      <c r="T59" t="s">
        <v>207</v>
      </c>
    </row>
    <row r="60" spans="1:20" x14ac:dyDescent="0.25">
      <c r="A60" t="s">
        <v>167</v>
      </c>
      <c r="B60" t="s">
        <v>168</v>
      </c>
      <c r="C60" t="s">
        <v>258</v>
      </c>
      <c r="D60" t="s">
        <v>170</v>
      </c>
      <c r="E60" t="s">
        <v>302</v>
      </c>
      <c r="F60" t="s">
        <v>258</v>
      </c>
      <c r="G60" t="s">
        <v>292</v>
      </c>
      <c r="H60">
        <v>46160</v>
      </c>
      <c r="I60">
        <v>-0.72</v>
      </c>
      <c r="J60">
        <v>-24</v>
      </c>
      <c r="K60" t="s">
        <v>286</v>
      </c>
      <c r="L60" t="s">
        <v>293</v>
      </c>
      <c r="M60" t="s">
        <v>294</v>
      </c>
      <c r="N60" t="s">
        <v>219</v>
      </c>
      <c r="O60">
        <v>192.94</v>
      </c>
      <c r="P60">
        <v>181.10239999999999</v>
      </c>
      <c r="Q60" t="s">
        <v>303</v>
      </c>
      <c r="R60" t="s">
        <v>186</v>
      </c>
      <c r="T60" t="s">
        <v>207</v>
      </c>
    </row>
    <row r="61" spans="1:20" x14ac:dyDescent="0.25">
      <c r="A61" t="s">
        <v>167</v>
      </c>
      <c r="B61" t="s">
        <v>168</v>
      </c>
      <c r="C61" t="s">
        <v>272</v>
      </c>
      <c r="D61" t="s">
        <v>170</v>
      </c>
      <c r="E61" t="s">
        <v>273</v>
      </c>
      <c r="F61" t="s">
        <v>272</v>
      </c>
      <c r="G61" t="s">
        <v>274</v>
      </c>
      <c r="H61">
        <v>46140</v>
      </c>
      <c r="I61">
        <v>-38.4</v>
      </c>
      <c r="J61">
        <v>-640</v>
      </c>
      <c r="K61" t="s">
        <v>275</v>
      </c>
      <c r="L61" t="s">
        <v>276</v>
      </c>
      <c r="M61" t="s">
        <v>277</v>
      </c>
      <c r="N61" t="s">
        <v>278</v>
      </c>
      <c r="O61">
        <v>-22</v>
      </c>
      <c r="P61">
        <v>-35.269100000000002</v>
      </c>
      <c r="Q61" t="s">
        <v>279</v>
      </c>
      <c r="R61" t="s">
        <v>232</v>
      </c>
    </row>
    <row r="62" spans="1:20" x14ac:dyDescent="0.25">
      <c r="A62" t="s">
        <v>167</v>
      </c>
      <c r="B62" t="s">
        <v>168</v>
      </c>
      <c r="C62" t="s">
        <v>169</v>
      </c>
      <c r="D62" t="s">
        <v>170</v>
      </c>
      <c r="E62" t="s">
        <v>171</v>
      </c>
      <c r="F62" t="s">
        <v>169</v>
      </c>
      <c r="G62" t="s">
        <v>172</v>
      </c>
      <c r="H62">
        <v>46057</v>
      </c>
      <c r="I62">
        <v>-0.24</v>
      </c>
      <c r="J62">
        <v>-8</v>
      </c>
      <c r="K62" t="s">
        <v>173</v>
      </c>
      <c r="L62" t="s">
        <v>174</v>
      </c>
      <c r="M62" t="s">
        <v>175</v>
      </c>
      <c r="N62" t="s">
        <v>1244</v>
      </c>
      <c r="O62">
        <v>451.3</v>
      </c>
      <c r="P62">
        <v>451.3</v>
      </c>
      <c r="Q62" t="s">
        <v>176</v>
      </c>
      <c r="R62" t="s">
        <v>177</v>
      </c>
      <c r="T62" t="s">
        <v>178</v>
      </c>
    </row>
    <row r="63" spans="1:20" x14ac:dyDescent="0.25">
      <c r="A63" t="s">
        <v>167</v>
      </c>
      <c r="B63" t="s">
        <v>168</v>
      </c>
      <c r="C63" t="s">
        <v>169</v>
      </c>
      <c r="D63" t="s">
        <v>170</v>
      </c>
      <c r="E63" t="s">
        <v>325</v>
      </c>
      <c r="F63" t="s">
        <v>169</v>
      </c>
      <c r="G63" t="s">
        <v>172</v>
      </c>
      <c r="H63">
        <v>46185</v>
      </c>
      <c r="I63">
        <v>-0.21</v>
      </c>
      <c r="J63">
        <v>-7</v>
      </c>
      <c r="K63" t="s">
        <v>173</v>
      </c>
      <c r="L63" t="s">
        <v>174</v>
      </c>
      <c r="M63" t="s">
        <v>175</v>
      </c>
      <c r="N63" t="s">
        <v>219</v>
      </c>
      <c r="O63">
        <v>498</v>
      </c>
      <c r="P63">
        <v>498</v>
      </c>
      <c r="Q63" t="s">
        <v>326</v>
      </c>
      <c r="R63" t="s">
        <v>186</v>
      </c>
      <c r="T63" t="s">
        <v>178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F97D3-F8CA-4ACA-9E05-28FB3A7B37E7}">
  <sheetPr>
    <tabColor rgb="FFFF0000"/>
  </sheetPr>
  <dimension ref="A1:BV61"/>
  <sheetViews>
    <sheetView topLeftCell="A24" zoomScale="55" zoomScaleNormal="55" workbookViewId="0">
      <selection activeCell="U32" sqref="U32"/>
    </sheetView>
  </sheetViews>
  <sheetFormatPr defaultRowHeight="15" x14ac:dyDescent="0.25"/>
  <cols>
    <col min="1" max="1" width="12.28515625" bestFit="1" customWidth="1"/>
    <col min="2" max="2" width="13.7109375" bestFit="1" customWidth="1"/>
    <col min="3" max="3" width="18.28515625" bestFit="1" customWidth="1"/>
    <col min="4" max="4" width="20.7109375" bestFit="1" customWidth="1"/>
    <col min="5" max="5" width="17" bestFit="1" customWidth="1"/>
    <col min="6" max="6" width="24.28515625" bestFit="1" customWidth="1"/>
    <col min="7" max="7" width="34.42578125" bestFit="1" customWidth="1"/>
    <col min="8" max="8" width="18.28515625" bestFit="1" customWidth="1"/>
    <col min="9" max="9" width="16.28515625" bestFit="1" customWidth="1"/>
    <col min="10" max="10" width="17.28515625" bestFit="1" customWidth="1"/>
    <col min="11" max="11" width="11.85546875" bestFit="1" customWidth="1"/>
    <col min="12" max="13" width="14.42578125" bestFit="1" customWidth="1"/>
    <col min="14" max="14" width="13.7109375" bestFit="1" customWidth="1"/>
    <col min="15" max="15" width="25.5703125" bestFit="1" customWidth="1"/>
    <col min="16" max="16" width="33.85546875" bestFit="1" customWidth="1"/>
    <col min="17" max="17" width="11.85546875" bestFit="1" customWidth="1"/>
    <col min="18" max="18" width="13.42578125" bestFit="1" customWidth="1"/>
    <col min="19" max="19" width="12.28515625" bestFit="1" customWidth="1"/>
    <col min="20" max="20" width="17.5703125" bestFit="1" customWidth="1"/>
    <col min="21" max="21" width="64.85546875" bestFit="1" customWidth="1"/>
    <col min="22" max="22" width="15.42578125" bestFit="1" customWidth="1"/>
    <col min="23" max="23" width="22.42578125" bestFit="1" customWidth="1"/>
    <col min="24" max="24" width="18.5703125" bestFit="1" customWidth="1"/>
    <col min="25" max="25" width="18.85546875" bestFit="1" customWidth="1"/>
    <col min="26" max="26" width="17.85546875" bestFit="1" customWidth="1"/>
    <col min="27" max="27" width="25.85546875" bestFit="1" customWidth="1"/>
    <col min="28" max="28" width="26.140625" bestFit="1" customWidth="1"/>
    <col min="29" max="29" width="22.28515625" bestFit="1" customWidth="1"/>
    <col min="30" max="30" width="23.7109375" bestFit="1" customWidth="1"/>
    <col min="31" max="31" width="23" bestFit="1" customWidth="1"/>
    <col min="32" max="32" width="27.7109375" bestFit="1" customWidth="1"/>
    <col min="33" max="33" width="23.5703125" bestFit="1" customWidth="1"/>
    <col min="34" max="34" width="23.28515625" bestFit="1" customWidth="1"/>
    <col min="35" max="35" width="23.5703125" bestFit="1" customWidth="1"/>
    <col min="36" max="36" width="26.140625" bestFit="1" customWidth="1"/>
    <col min="37" max="37" width="26.42578125" bestFit="1" customWidth="1"/>
    <col min="38" max="38" width="22.42578125" bestFit="1" customWidth="1"/>
    <col min="39" max="39" width="22.28515625" bestFit="1" customWidth="1"/>
    <col min="40" max="40" width="22.42578125" bestFit="1" customWidth="1"/>
    <col min="41" max="41" width="25.140625" bestFit="1" customWidth="1"/>
    <col min="42" max="42" width="28.42578125" bestFit="1" customWidth="1"/>
    <col min="43" max="43" width="33.42578125" bestFit="1" customWidth="1"/>
    <col min="44" max="44" width="33.7109375" bestFit="1" customWidth="1"/>
    <col min="45" max="45" width="17.5703125" bestFit="1" customWidth="1"/>
    <col min="46" max="46" width="17.28515625" bestFit="1" customWidth="1"/>
    <col min="47" max="48" width="27.7109375" bestFit="1" customWidth="1"/>
    <col min="49" max="49" width="19.42578125" bestFit="1" customWidth="1"/>
    <col min="50" max="50" width="27.7109375" bestFit="1" customWidth="1"/>
    <col min="51" max="51" width="28" bestFit="1" customWidth="1"/>
    <col min="52" max="52" width="23.5703125" bestFit="1" customWidth="1"/>
    <col min="53" max="53" width="22" bestFit="1" customWidth="1"/>
    <col min="54" max="54" width="24.85546875" bestFit="1" customWidth="1"/>
    <col min="55" max="55" width="29.28515625" bestFit="1" customWidth="1"/>
    <col min="56" max="57" width="24.85546875" bestFit="1" customWidth="1"/>
    <col min="58" max="58" width="25.140625" bestFit="1" customWidth="1"/>
    <col min="59" max="59" width="29" bestFit="1" customWidth="1"/>
    <col min="60" max="60" width="28.7109375" bestFit="1" customWidth="1"/>
    <col min="61" max="61" width="25.140625" bestFit="1" customWidth="1"/>
    <col min="62" max="62" width="24.85546875" bestFit="1" customWidth="1"/>
    <col min="63" max="63" width="25.140625" bestFit="1" customWidth="1"/>
    <col min="64" max="64" width="27.7109375" bestFit="1" customWidth="1"/>
    <col min="65" max="65" width="31" bestFit="1" customWidth="1"/>
    <col min="66" max="66" width="35.7109375" bestFit="1" customWidth="1"/>
    <col min="67" max="67" width="36.28515625" bestFit="1" customWidth="1"/>
    <col min="68" max="68" width="20.140625" bestFit="1" customWidth="1"/>
    <col min="69" max="69" width="20.42578125" bestFit="1" customWidth="1"/>
    <col min="70" max="70" width="30.28515625" bestFit="1" customWidth="1"/>
    <col min="71" max="71" width="30.85546875" bestFit="1" customWidth="1"/>
    <col min="72" max="72" width="13.42578125" bestFit="1" customWidth="1"/>
    <col min="73" max="74" width="15.7109375" bestFit="1" customWidth="1"/>
  </cols>
  <sheetData>
    <row r="1" spans="1:74" ht="30" x14ac:dyDescent="0.25">
      <c r="A1" t="s">
        <v>117</v>
      </c>
      <c r="B1" t="s">
        <v>118</v>
      </c>
      <c r="C1" t="s">
        <v>119</v>
      </c>
      <c r="D1" t="s">
        <v>120</v>
      </c>
      <c r="E1" t="s">
        <v>121</v>
      </c>
      <c r="F1" s="94" t="s">
        <v>122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132</v>
      </c>
      <c r="Q1" t="s">
        <v>133</v>
      </c>
      <c r="R1" t="s">
        <v>134</v>
      </c>
      <c r="S1" t="s">
        <v>135</v>
      </c>
      <c r="T1" t="s">
        <v>136</v>
      </c>
      <c r="U1" t="s">
        <v>137</v>
      </c>
      <c r="V1" t="s">
        <v>138</v>
      </c>
      <c r="W1" t="s">
        <v>139</v>
      </c>
      <c r="X1" t="s">
        <v>140</v>
      </c>
      <c r="Y1" t="s">
        <v>141</v>
      </c>
      <c r="Z1" t="s">
        <v>37</v>
      </c>
      <c r="AA1" t="s">
        <v>41</v>
      </c>
      <c r="AB1" t="s">
        <v>44</v>
      </c>
      <c r="AC1" t="s">
        <v>47</v>
      </c>
      <c r="AD1" t="s">
        <v>142</v>
      </c>
      <c r="AE1" t="s">
        <v>143</v>
      </c>
      <c r="AF1" t="s">
        <v>54</v>
      </c>
      <c r="AG1" t="s">
        <v>56</v>
      </c>
      <c r="AH1" t="s">
        <v>58</v>
      </c>
      <c r="AI1" t="s">
        <v>60</v>
      </c>
      <c r="AJ1" t="s">
        <v>61</v>
      </c>
      <c r="AK1" t="s">
        <v>64</v>
      </c>
      <c r="AL1" t="s">
        <v>66</v>
      </c>
      <c r="AM1" t="s">
        <v>67</v>
      </c>
      <c r="AN1" t="s">
        <v>68</v>
      </c>
      <c r="AO1" t="s">
        <v>69</v>
      </c>
      <c r="AP1" t="s">
        <v>115</v>
      </c>
      <c r="AQ1" t="s">
        <v>70</v>
      </c>
      <c r="AR1" t="s">
        <v>71</v>
      </c>
      <c r="AS1" t="s">
        <v>72</v>
      </c>
      <c r="AT1" t="s">
        <v>73</v>
      </c>
      <c r="AU1" t="s">
        <v>74</v>
      </c>
      <c r="AV1" t="s">
        <v>75</v>
      </c>
      <c r="AW1" t="s">
        <v>144</v>
      </c>
      <c r="AX1" t="s">
        <v>145</v>
      </c>
      <c r="AY1" t="s">
        <v>146</v>
      </c>
      <c r="AZ1" t="s">
        <v>147</v>
      </c>
      <c r="BA1" t="s">
        <v>50</v>
      </c>
      <c r="BB1" t="s">
        <v>52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116</v>
      </c>
      <c r="BU1" t="s">
        <v>165</v>
      </c>
      <c r="BV1" t="s">
        <v>166</v>
      </c>
    </row>
    <row r="2" spans="1:74" x14ac:dyDescent="0.25">
      <c r="A2" t="s">
        <v>167</v>
      </c>
      <c r="B2" t="s">
        <v>168</v>
      </c>
      <c r="C2" t="s">
        <v>169</v>
      </c>
      <c r="D2" t="s">
        <v>170</v>
      </c>
      <c r="E2" t="s">
        <v>171</v>
      </c>
      <c r="F2" t="s">
        <v>171</v>
      </c>
      <c r="G2" t="s">
        <v>717</v>
      </c>
      <c r="H2" t="s">
        <v>169</v>
      </c>
      <c r="I2" t="s">
        <v>172</v>
      </c>
      <c r="J2" s="38">
        <v>46057</v>
      </c>
      <c r="K2">
        <v>-0.24</v>
      </c>
      <c r="L2">
        <v>-8</v>
      </c>
      <c r="M2" t="s">
        <v>173</v>
      </c>
      <c r="N2" t="s">
        <v>174</v>
      </c>
      <c r="O2" t="s">
        <v>175</v>
      </c>
      <c r="P2" t="s">
        <v>1244</v>
      </c>
      <c r="Q2" t="s">
        <v>84</v>
      </c>
      <c r="R2" t="s">
        <v>1249</v>
      </c>
      <c r="S2">
        <v>451.3</v>
      </c>
      <c r="T2">
        <v>451.3</v>
      </c>
      <c r="U2" t="s">
        <v>176</v>
      </c>
      <c r="V2" t="s">
        <v>177</v>
      </c>
      <c r="X2" t="s">
        <v>178</v>
      </c>
      <c r="Y2">
        <v>91</v>
      </c>
      <c r="Z2">
        <v>0</v>
      </c>
      <c r="AA2">
        <v>1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-4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1</v>
      </c>
      <c r="BU2">
        <v>0</v>
      </c>
      <c r="BV2">
        <v>0</v>
      </c>
    </row>
    <row r="3" spans="1:74" x14ac:dyDescent="0.25">
      <c r="A3" t="s">
        <v>167</v>
      </c>
      <c r="B3" t="s">
        <v>168</v>
      </c>
      <c r="C3" t="s">
        <v>179</v>
      </c>
      <c r="D3" t="s">
        <v>170</v>
      </c>
      <c r="E3" t="s">
        <v>191</v>
      </c>
      <c r="F3" t="s">
        <v>191</v>
      </c>
      <c r="G3" t="s">
        <v>318</v>
      </c>
      <c r="H3" t="s">
        <v>179</v>
      </c>
      <c r="I3" t="s">
        <v>188</v>
      </c>
      <c r="J3" s="38">
        <v>45971</v>
      </c>
      <c r="K3">
        <v>-38.4</v>
      </c>
      <c r="L3">
        <v>-640</v>
      </c>
      <c r="M3" t="s">
        <v>173</v>
      </c>
      <c r="N3" t="s">
        <v>174</v>
      </c>
      <c r="O3" t="s">
        <v>189</v>
      </c>
      <c r="P3" t="s">
        <v>219</v>
      </c>
      <c r="Q3" t="s">
        <v>87</v>
      </c>
      <c r="R3" t="s">
        <v>1251</v>
      </c>
      <c r="S3">
        <v>175</v>
      </c>
      <c r="T3">
        <v>161.00290000000001</v>
      </c>
      <c r="U3" t="s">
        <v>190</v>
      </c>
      <c r="V3" t="s">
        <v>186</v>
      </c>
      <c r="X3" t="s">
        <v>174</v>
      </c>
      <c r="Y3">
        <v>625</v>
      </c>
      <c r="Z3">
        <v>0</v>
      </c>
      <c r="AA3">
        <v>0</v>
      </c>
      <c r="AB3">
        <v>0.25</v>
      </c>
      <c r="AC3">
        <v>0</v>
      </c>
      <c r="AD3">
        <v>0</v>
      </c>
      <c r="AE3">
        <v>0</v>
      </c>
      <c r="AF3">
        <v>0.35</v>
      </c>
      <c r="AG3">
        <v>0</v>
      </c>
      <c r="AH3">
        <v>0</v>
      </c>
      <c r="AI3">
        <v>0</v>
      </c>
      <c r="AJ3">
        <v>0</v>
      </c>
      <c r="AK3">
        <v>0.4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-160</v>
      </c>
      <c r="AZ3">
        <v>0</v>
      </c>
      <c r="BA3">
        <v>0</v>
      </c>
      <c r="BB3">
        <v>0</v>
      </c>
      <c r="BC3">
        <v>-224</v>
      </c>
      <c r="BD3">
        <v>0</v>
      </c>
      <c r="BE3">
        <v>0</v>
      </c>
      <c r="BF3">
        <v>0</v>
      </c>
      <c r="BG3">
        <v>0</v>
      </c>
      <c r="BH3">
        <v>-256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1</v>
      </c>
      <c r="BU3">
        <v>-19</v>
      </c>
      <c r="BV3">
        <v>19.2</v>
      </c>
    </row>
    <row r="4" spans="1:74" x14ac:dyDescent="0.25">
      <c r="A4" t="s">
        <v>167</v>
      </c>
      <c r="B4" t="s">
        <v>168</v>
      </c>
      <c r="C4" t="s">
        <v>179</v>
      </c>
      <c r="D4" t="s">
        <v>170</v>
      </c>
      <c r="E4" t="s">
        <v>192</v>
      </c>
      <c r="F4" t="s">
        <v>192</v>
      </c>
      <c r="G4" t="s">
        <v>318</v>
      </c>
      <c r="H4" t="s">
        <v>179</v>
      </c>
      <c r="I4" t="s">
        <v>188</v>
      </c>
      <c r="J4" s="38">
        <v>45971</v>
      </c>
      <c r="K4">
        <v>-134.4</v>
      </c>
      <c r="L4">
        <v>-2240</v>
      </c>
      <c r="M4" t="s">
        <v>173</v>
      </c>
      <c r="N4" t="s">
        <v>174</v>
      </c>
      <c r="O4" t="s">
        <v>189</v>
      </c>
      <c r="P4" t="s">
        <v>231</v>
      </c>
      <c r="Q4" t="s">
        <v>88</v>
      </c>
      <c r="R4" t="s">
        <v>1252</v>
      </c>
      <c r="S4">
        <v>175</v>
      </c>
      <c r="T4">
        <v>161.00290000000001</v>
      </c>
      <c r="U4" t="s">
        <v>190</v>
      </c>
      <c r="V4" t="s">
        <v>232</v>
      </c>
      <c r="X4" t="s">
        <v>174</v>
      </c>
      <c r="Y4">
        <v>625</v>
      </c>
      <c r="Z4">
        <v>0</v>
      </c>
      <c r="AA4">
        <v>0</v>
      </c>
      <c r="AB4">
        <v>0.25</v>
      </c>
      <c r="AC4">
        <v>0</v>
      </c>
      <c r="AD4">
        <v>0</v>
      </c>
      <c r="AE4">
        <v>0</v>
      </c>
      <c r="AF4">
        <v>0.35</v>
      </c>
      <c r="AG4">
        <v>0</v>
      </c>
      <c r="AH4">
        <v>0</v>
      </c>
      <c r="AI4">
        <v>0</v>
      </c>
      <c r="AJ4">
        <v>0</v>
      </c>
      <c r="AK4">
        <v>0.4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-560</v>
      </c>
      <c r="AZ4">
        <v>0</v>
      </c>
      <c r="BA4">
        <v>0</v>
      </c>
      <c r="BB4">
        <v>0</v>
      </c>
      <c r="BC4">
        <v>-784</v>
      </c>
      <c r="BD4">
        <v>0</v>
      </c>
      <c r="BE4">
        <v>0</v>
      </c>
      <c r="BF4">
        <v>0</v>
      </c>
      <c r="BG4">
        <v>0</v>
      </c>
      <c r="BH4">
        <v>-896.00000000000011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1</v>
      </c>
      <c r="BU4">
        <v>-134</v>
      </c>
      <c r="BV4">
        <v>0</v>
      </c>
    </row>
    <row r="5" spans="1:74" x14ac:dyDescent="0.25">
      <c r="A5" t="s">
        <v>167</v>
      </c>
      <c r="B5" t="s">
        <v>168</v>
      </c>
      <c r="C5" t="s">
        <v>179</v>
      </c>
      <c r="D5" t="s">
        <v>170</v>
      </c>
      <c r="E5" t="s">
        <v>193</v>
      </c>
      <c r="F5" t="s">
        <v>193</v>
      </c>
      <c r="G5" t="s">
        <v>318</v>
      </c>
      <c r="H5" t="s">
        <v>179</v>
      </c>
      <c r="I5" t="s">
        <v>188</v>
      </c>
      <c r="J5" s="38">
        <v>45971</v>
      </c>
      <c r="K5">
        <v>-134.4</v>
      </c>
      <c r="L5">
        <v>-2240</v>
      </c>
      <c r="M5" t="s">
        <v>173</v>
      </c>
      <c r="N5" t="s">
        <v>174</v>
      </c>
      <c r="O5" t="s">
        <v>189</v>
      </c>
      <c r="P5" t="s">
        <v>278</v>
      </c>
      <c r="Q5" t="s">
        <v>89</v>
      </c>
      <c r="R5" t="s">
        <v>1253</v>
      </c>
      <c r="S5">
        <v>175</v>
      </c>
      <c r="T5">
        <v>161.00290000000001</v>
      </c>
      <c r="U5" t="s">
        <v>194</v>
      </c>
      <c r="V5" t="s">
        <v>232</v>
      </c>
      <c r="X5" t="s">
        <v>174</v>
      </c>
      <c r="Y5">
        <v>625</v>
      </c>
      <c r="Z5">
        <v>0</v>
      </c>
      <c r="AA5">
        <v>0</v>
      </c>
      <c r="AB5">
        <v>0.25</v>
      </c>
      <c r="AC5">
        <v>0</v>
      </c>
      <c r="AD5">
        <v>0</v>
      </c>
      <c r="AE5">
        <v>0</v>
      </c>
      <c r="AF5">
        <v>0.35</v>
      </c>
      <c r="AG5">
        <v>0</v>
      </c>
      <c r="AH5">
        <v>0</v>
      </c>
      <c r="AI5">
        <v>0</v>
      </c>
      <c r="AJ5">
        <v>0</v>
      </c>
      <c r="AK5">
        <v>0.4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-560</v>
      </c>
      <c r="AZ5">
        <v>0</v>
      </c>
      <c r="BA5">
        <v>0</v>
      </c>
      <c r="BB5">
        <v>0</v>
      </c>
      <c r="BC5">
        <v>-784</v>
      </c>
      <c r="BD5">
        <v>0</v>
      </c>
      <c r="BE5">
        <v>0</v>
      </c>
      <c r="BF5">
        <v>0</v>
      </c>
      <c r="BG5">
        <v>0</v>
      </c>
      <c r="BH5">
        <v>-896.00000000000011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1</v>
      </c>
      <c r="BU5">
        <v>-134</v>
      </c>
      <c r="BV5">
        <v>0</v>
      </c>
    </row>
    <row r="6" spans="1:74" x14ac:dyDescent="0.25">
      <c r="A6" t="s">
        <v>167</v>
      </c>
      <c r="B6" t="s">
        <v>168</v>
      </c>
      <c r="C6" t="s">
        <v>179</v>
      </c>
      <c r="D6" t="s">
        <v>170</v>
      </c>
      <c r="E6" t="s">
        <v>201</v>
      </c>
      <c r="F6" t="s">
        <v>201</v>
      </c>
      <c r="G6" t="s">
        <v>318</v>
      </c>
      <c r="H6" t="s">
        <v>179</v>
      </c>
      <c r="I6" t="s">
        <v>188</v>
      </c>
      <c r="J6" s="38">
        <v>45971</v>
      </c>
      <c r="K6">
        <v>-153.6</v>
      </c>
      <c r="L6">
        <v>-2560</v>
      </c>
      <c r="M6" t="s">
        <v>173</v>
      </c>
      <c r="N6" t="s">
        <v>174</v>
      </c>
      <c r="O6" t="s">
        <v>189</v>
      </c>
      <c r="P6" t="s">
        <v>278</v>
      </c>
      <c r="Q6" t="s">
        <v>89</v>
      </c>
      <c r="R6" t="s">
        <v>1253</v>
      </c>
      <c r="S6">
        <v>175</v>
      </c>
      <c r="T6">
        <v>161.00290000000001</v>
      </c>
      <c r="U6" t="s">
        <v>190</v>
      </c>
      <c r="V6" t="s">
        <v>232</v>
      </c>
      <c r="X6" t="s">
        <v>174</v>
      </c>
      <c r="Y6">
        <v>625</v>
      </c>
      <c r="Z6">
        <v>0</v>
      </c>
      <c r="AA6">
        <v>0</v>
      </c>
      <c r="AB6">
        <v>0.25</v>
      </c>
      <c r="AC6">
        <v>0</v>
      </c>
      <c r="AD6">
        <v>0</v>
      </c>
      <c r="AE6">
        <v>0</v>
      </c>
      <c r="AF6">
        <v>0.35</v>
      </c>
      <c r="AG6">
        <v>0</v>
      </c>
      <c r="AH6">
        <v>0</v>
      </c>
      <c r="AI6">
        <v>0</v>
      </c>
      <c r="AJ6">
        <v>0</v>
      </c>
      <c r="AK6">
        <v>0.4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-640</v>
      </c>
      <c r="AZ6">
        <v>0</v>
      </c>
      <c r="BA6">
        <v>0</v>
      </c>
      <c r="BB6">
        <v>0</v>
      </c>
      <c r="BC6">
        <v>-896</v>
      </c>
      <c r="BD6">
        <v>0</v>
      </c>
      <c r="BE6">
        <v>0</v>
      </c>
      <c r="BF6">
        <v>0</v>
      </c>
      <c r="BG6">
        <v>0</v>
      </c>
      <c r="BH6">
        <v>-1024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1</v>
      </c>
      <c r="BU6">
        <v>-154</v>
      </c>
      <c r="BV6">
        <v>0</v>
      </c>
    </row>
    <row r="7" spans="1:74" x14ac:dyDescent="0.25">
      <c r="A7" t="s">
        <v>167</v>
      </c>
      <c r="B7" t="s">
        <v>168</v>
      </c>
      <c r="C7" t="s">
        <v>195</v>
      </c>
      <c r="D7" t="s">
        <v>170</v>
      </c>
      <c r="E7" t="s">
        <v>202</v>
      </c>
      <c r="F7" t="s">
        <v>202</v>
      </c>
      <c r="G7" t="s">
        <v>318</v>
      </c>
      <c r="H7" t="s">
        <v>195</v>
      </c>
      <c r="I7" t="s">
        <v>197</v>
      </c>
      <c r="J7" s="38">
        <v>46042</v>
      </c>
      <c r="K7">
        <v>-64.8</v>
      </c>
      <c r="L7">
        <v>-1080</v>
      </c>
      <c r="M7" t="s">
        <v>173</v>
      </c>
      <c r="N7" t="s">
        <v>174</v>
      </c>
      <c r="O7" t="s">
        <v>189</v>
      </c>
      <c r="P7" t="s">
        <v>231</v>
      </c>
      <c r="Q7" t="s">
        <v>88</v>
      </c>
      <c r="R7" t="s">
        <v>1252</v>
      </c>
      <c r="S7">
        <v>123</v>
      </c>
      <c r="T7">
        <v>111.0001</v>
      </c>
      <c r="U7" t="s">
        <v>198</v>
      </c>
      <c r="V7" t="s">
        <v>315</v>
      </c>
      <c r="X7" t="s">
        <v>174</v>
      </c>
      <c r="Y7">
        <v>34</v>
      </c>
      <c r="Z7">
        <v>0</v>
      </c>
      <c r="AA7">
        <v>0</v>
      </c>
      <c r="AB7">
        <v>0</v>
      </c>
      <c r="AC7">
        <v>0.33</v>
      </c>
      <c r="AD7">
        <v>0</v>
      </c>
      <c r="AE7">
        <v>0</v>
      </c>
      <c r="AF7">
        <v>7.0000000000000007E-2</v>
      </c>
      <c r="AG7">
        <v>0.2</v>
      </c>
      <c r="AH7">
        <v>0</v>
      </c>
      <c r="AI7">
        <v>0.15</v>
      </c>
      <c r="AJ7">
        <v>0.02</v>
      </c>
      <c r="AK7">
        <v>0</v>
      </c>
      <c r="AL7">
        <v>0.2</v>
      </c>
      <c r="AM7">
        <v>0</v>
      </c>
      <c r="AN7">
        <v>0</v>
      </c>
      <c r="AO7">
        <v>0.03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-356</v>
      </c>
      <c r="BA7">
        <v>0</v>
      </c>
      <c r="BB7">
        <v>0</v>
      </c>
      <c r="BC7">
        <v>-75.600000000000009</v>
      </c>
      <c r="BD7">
        <v>-216</v>
      </c>
      <c r="BE7">
        <v>0</v>
      </c>
      <c r="BF7">
        <v>-162</v>
      </c>
      <c r="BG7">
        <v>-21.6</v>
      </c>
      <c r="BH7">
        <v>0</v>
      </c>
      <c r="BI7">
        <v>-216</v>
      </c>
      <c r="BJ7">
        <v>0</v>
      </c>
      <c r="BK7">
        <v>0</v>
      </c>
      <c r="BL7">
        <v>-32.4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1</v>
      </c>
      <c r="BU7">
        <v>-65</v>
      </c>
      <c r="BV7">
        <v>0</v>
      </c>
    </row>
    <row r="8" spans="1:74" x14ac:dyDescent="0.25">
      <c r="A8" t="s">
        <v>167</v>
      </c>
      <c r="B8" t="s">
        <v>168</v>
      </c>
      <c r="C8" t="s">
        <v>195</v>
      </c>
      <c r="D8" t="s">
        <v>170</v>
      </c>
      <c r="E8" t="s">
        <v>208</v>
      </c>
      <c r="F8" t="s">
        <v>208</v>
      </c>
      <c r="G8" t="s">
        <v>318</v>
      </c>
      <c r="H8" t="s">
        <v>195</v>
      </c>
      <c r="I8" t="s">
        <v>197</v>
      </c>
      <c r="J8" s="38">
        <v>46042</v>
      </c>
      <c r="K8">
        <v>-43.2</v>
      </c>
      <c r="L8">
        <v>-720</v>
      </c>
      <c r="M8" t="s">
        <v>173</v>
      </c>
      <c r="N8" t="s">
        <v>174</v>
      </c>
      <c r="O8" t="s">
        <v>189</v>
      </c>
      <c r="P8" t="s">
        <v>231</v>
      </c>
      <c r="Q8" t="s">
        <v>88</v>
      </c>
      <c r="R8" t="s">
        <v>1252</v>
      </c>
      <c r="S8">
        <v>113</v>
      </c>
      <c r="T8">
        <v>101.0001</v>
      </c>
      <c r="U8" t="s">
        <v>200</v>
      </c>
      <c r="V8" t="s">
        <v>315</v>
      </c>
      <c r="X8" t="s">
        <v>174</v>
      </c>
      <c r="Y8">
        <v>34</v>
      </c>
      <c r="Z8">
        <v>0</v>
      </c>
      <c r="AA8">
        <v>0</v>
      </c>
      <c r="AB8">
        <v>0</v>
      </c>
      <c r="AC8">
        <v>0.33</v>
      </c>
      <c r="AD8">
        <v>0</v>
      </c>
      <c r="AE8">
        <v>0</v>
      </c>
      <c r="AF8">
        <v>7.0000000000000007E-2</v>
      </c>
      <c r="AG8">
        <v>0.2</v>
      </c>
      <c r="AH8">
        <v>0</v>
      </c>
      <c r="AI8">
        <v>0.15</v>
      </c>
      <c r="AJ8">
        <v>0.02</v>
      </c>
      <c r="AK8">
        <v>0</v>
      </c>
      <c r="AL8">
        <v>0.2</v>
      </c>
      <c r="AM8">
        <v>0</v>
      </c>
      <c r="AN8">
        <v>0</v>
      </c>
      <c r="AO8">
        <v>0.03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-238</v>
      </c>
      <c r="BA8">
        <v>0</v>
      </c>
      <c r="BB8">
        <v>0</v>
      </c>
      <c r="BC8">
        <v>-50.400000000000006</v>
      </c>
      <c r="BD8">
        <v>-144</v>
      </c>
      <c r="BE8">
        <v>0</v>
      </c>
      <c r="BF8">
        <v>-108</v>
      </c>
      <c r="BG8">
        <v>-14.400000000000002</v>
      </c>
      <c r="BH8">
        <v>0</v>
      </c>
      <c r="BI8">
        <v>-144</v>
      </c>
      <c r="BJ8">
        <v>0</v>
      </c>
      <c r="BK8">
        <v>0</v>
      </c>
      <c r="BL8">
        <v>-21.6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1</v>
      </c>
      <c r="BU8">
        <v>-43</v>
      </c>
      <c r="BV8">
        <v>0</v>
      </c>
    </row>
    <row r="9" spans="1:74" x14ac:dyDescent="0.25">
      <c r="A9" t="s">
        <v>167</v>
      </c>
      <c r="B9" t="s">
        <v>168</v>
      </c>
      <c r="C9" t="s">
        <v>195</v>
      </c>
      <c r="D9" t="s">
        <v>170</v>
      </c>
      <c r="E9" t="s">
        <v>209</v>
      </c>
      <c r="F9" t="s">
        <v>209</v>
      </c>
      <c r="G9" t="s">
        <v>318</v>
      </c>
      <c r="H9" t="s">
        <v>195</v>
      </c>
      <c r="I9" t="s">
        <v>197</v>
      </c>
      <c r="J9" s="38">
        <v>46042</v>
      </c>
      <c r="K9">
        <v>-64.8</v>
      </c>
      <c r="L9">
        <v>-1080</v>
      </c>
      <c r="M9" t="s">
        <v>173</v>
      </c>
      <c r="N9" t="s">
        <v>174</v>
      </c>
      <c r="O9" t="s">
        <v>189</v>
      </c>
      <c r="P9" t="s">
        <v>278</v>
      </c>
      <c r="Q9" t="s">
        <v>89</v>
      </c>
      <c r="R9" t="s">
        <v>1253</v>
      </c>
      <c r="S9">
        <v>123</v>
      </c>
      <c r="T9">
        <v>111.0001</v>
      </c>
      <c r="U9" t="s">
        <v>198</v>
      </c>
      <c r="V9" t="s">
        <v>315</v>
      </c>
      <c r="X9" t="s">
        <v>174</v>
      </c>
      <c r="Y9">
        <v>34</v>
      </c>
      <c r="Z9">
        <v>0</v>
      </c>
      <c r="AA9">
        <v>0</v>
      </c>
      <c r="AB9">
        <v>0</v>
      </c>
      <c r="AC9">
        <v>0.33</v>
      </c>
      <c r="AD9">
        <v>0</v>
      </c>
      <c r="AE9">
        <v>0</v>
      </c>
      <c r="AF9">
        <v>7.0000000000000007E-2</v>
      </c>
      <c r="AG9">
        <v>0.2</v>
      </c>
      <c r="AH9">
        <v>0</v>
      </c>
      <c r="AI9">
        <v>0.15</v>
      </c>
      <c r="AJ9">
        <v>0.02</v>
      </c>
      <c r="AK9">
        <v>0</v>
      </c>
      <c r="AL9">
        <v>0.2</v>
      </c>
      <c r="AM9">
        <v>0</v>
      </c>
      <c r="AN9">
        <v>0</v>
      </c>
      <c r="AO9">
        <v>0.03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-356</v>
      </c>
      <c r="BA9">
        <v>0</v>
      </c>
      <c r="BB9">
        <v>0</v>
      </c>
      <c r="BC9">
        <v>-75.600000000000009</v>
      </c>
      <c r="BD9">
        <v>-216</v>
      </c>
      <c r="BE9">
        <v>0</v>
      </c>
      <c r="BF9">
        <v>-162</v>
      </c>
      <c r="BG9">
        <v>-21.6</v>
      </c>
      <c r="BH9">
        <v>0</v>
      </c>
      <c r="BI9">
        <v>-216</v>
      </c>
      <c r="BJ9">
        <v>0</v>
      </c>
      <c r="BK9">
        <v>0</v>
      </c>
      <c r="BL9">
        <v>-32.4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1</v>
      </c>
      <c r="BU9">
        <v>-65</v>
      </c>
      <c r="BV9">
        <v>0</v>
      </c>
    </row>
    <row r="10" spans="1:74" x14ac:dyDescent="0.25">
      <c r="A10" t="s">
        <v>167</v>
      </c>
      <c r="B10" t="s">
        <v>168</v>
      </c>
      <c r="C10" t="s">
        <v>195</v>
      </c>
      <c r="D10" t="s">
        <v>170</v>
      </c>
      <c r="E10" t="s">
        <v>210</v>
      </c>
      <c r="F10" t="s">
        <v>210</v>
      </c>
      <c r="G10" t="s">
        <v>318</v>
      </c>
      <c r="H10" t="s">
        <v>195</v>
      </c>
      <c r="I10" t="s">
        <v>197</v>
      </c>
      <c r="J10" s="38">
        <v>46042</v>
      </c>
      <c r="K10">
        <v>-64.8</v>
      </c>
      <c r="L10">
        <v>-1080</v>
      </c>
      <c r="M10" t="s">
        <v>173</v>
      </c>
      <c r="N10" t="s">
        <v>174</v>
      </c>
      <c r="O10" t="s">
        <v>189</v>
      </c>
      <c r="P10" t="s">
        <v>278</v>
      </c>
      <c r="Q10" t="s">
        <v>89</v>
      </c>
      <c r="R10" t="s">
        <v>1253</v>
      </c>
      <c r="S10">
        <v>113</v>
      </c>
      <c r="T10">
        <v>101.0001</v>
      </c>
      <c r="U10" t="s">
        <v>200</v>
      </c>
      <c r="V10" t="s">
        <v>315</v>
      </c>
      <c r="X10" t="s">
        <v>174</v>
      </c>
      <c r="Y10">
        <v>34</v>
      </c>
      <c r="Z10">
        <v>0</v>
      </c>
      <c r="AA10">
        <v>0</v>
      </c>
      <c r="AB10">
        <v>0</v>
      </c>
      <c r="AC10">
        <v>0.33</v>
      </c>
      <c r="AD10">
        <v>0</v>
      </c>
      <c r="AE10">
        <v>0</v>
      </c>
      <c r="AF10">
        <v>7.0000000000000007E-2</v>
      </c>
      <c r="AG10">
        <v>0.2</v>
      </c>
      <c r="AH10">
        <v>0</v>
      </c>
      <c r="AI10">
        <v>0.15</v>
      </c>
      <c r="AJ10">
        <v>0.02</v>
      </c>
      <c r="AK10">
        <v>0</v>
      </c>
      <c r="AL10">
        <v>0.2</v>
      </c>
      <c r="AM10">
        <v>0</v>
      </c>
      <c r="AN10">
        <v>0</v>
      </c>
      <c r="AO10">
        <v>0.03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-356</v>
      </c>
      <c r="BA10">
        <v>0</v>
      </c>
      <c r="BB10">
        <v>0</v>
      </c>
      <c r="BC10">
        <v>-75.600000000000009</v>
      </c>
      <c r="BD10">
        <v>-216</v>
      </c>
      <c r="BE10">
        <v>0</v>
      </c>
      <c r="BF10">
        <v>-162</v>
      </c>
      <c r="BG10">
        <v>-21.6</v>
      </c>
      <c r="BH10">
        <v>0</v>
      </c>
      <c r="BI10">
        <v>-216</v>
      </c>
      <c r="BJ10">
        <v>0</v>
      </c>
      <c r="BK10">
        <v>0</v>
      </c>
      <c r="BL10">
        <v>-32.4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</v>
      </c>
      <c r="BU10">
        <v>-65</v>
      </c>
      <c r="BV10">
        <v>0</v>
      </c>
    </row>
    <row r="11" spans="1:74" x14ac:dyDescent="0.25">
      <c r="A11" t="s">
        <v>167</v>
      </c>
      <c r="B11" t="s">
        <v>168</v>
      </c>
      <c r="C11" t="s">
        <v>195</v>
      </c>
      <c r="D11" t="s">
        <v>170</v>
      </c>
      <c r="E11" t="s">
        <v>211</v>
      </c>
      <c r="F11" t="s">
        <v>211</v>
      </c>
      <c r="G11" t="s">
        <v>318</v>
      </c>
      <c r="H11" t="s">
        <v>195</v>
      </c>
      <c r="I11" t="s">
        <v>197</v>
      </c>
      <c r="J11" s="38">
        <v>46042</v>
      </c>
      <c r="K11">
        <v>-64.8</v>
      </c>
      <c r="L11">
        <v>-1080</v>
      </c>
      <c r="M11" t="s">
        <v>173</v>
      </c>
      <c r="N11" t="s">
        <v>174</v>
      </c>
      <c r="O11" t="s">
        <v>189</v>
      </c>
      <c r="P11" t="s">
        <v>314</v>
      </c>
      <c r="Q11" t="s">
        <v>90</v>
      </c>
      <c r="R11" t="s">
        <v>1254</v>
      </c>
      <c r="S11">
        <v>133</v>
      </c>
      <c r="T11">
        <v>120.9996</v>
      </c>
      <c r="U11" t="s">
        <v>198</v>
      </c>
      <c r="V11" t="s">
        <v>290</v>
      </c>
      <c r="Y11">
        <v>34</v>
      </c>
      <c r="Z11">
        <v>0</v>
      </c>
      <c r="AA11">
        <v>0</v>
      </c>
      <c r="AB11">
        <v>0</v>
      </c>
      <c r="AC11">
        <v>0.33</v>
      </c>
      <c r="AD11">
        <v>0</v>
      </c>
      <c r="AE11">
        <v>0</v>
      </c>
      <c r="AF11">
        <v>7.0000000000000007E-2</v>
      </c>
      <c r="AG11">
        <v>0.2</v>
      </c>
      <c r="AH11">
        <v>0</v>
      </c>
      <c r="AI11">
        <v>0.15</v>
      </c>
      <c r="AJ11">
        <v>0.02</v>
      </c>
      <c r="AK11">
        <v>0</v>
      </c>
      <c r="AL11">
        <v>0.2</v>
      </c>
      <c r="AM11">
        <v>0</v>
      </c>
      <c r="AN11">
        <v>0</v>
      </c>
      <c r="AO11">
        <v>0.03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-356</v>
      </c>
      <c r="BA11">
        <v>0</v>
      </c>
      <c r="BB11">
        <v>0</v>
      </c>
      <c r="BC11">
        <v>-75.600000000000009</v>
      </c>
      <c r="BD11">
        <v>-216</v>
      </c>
      <c r="BE11">
        <v>0</v>
      </c>
      <c r="BF11">
        <v>-162</v>
      </c>
      <c r="BG11">
        <v>-21.6</v>
      </c>
      <c r="BH11">
        <v>0</v>
      </c>
      <c r="BI11">
        <v>-216</v>
      </c>
      <c r="BJ11">
        <v>0</v>
      </c>
      <c r="BK11">
        <v>0</v>
      </c>
      <c r="BL11">
        <v>-32.4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1</v>
      </c>
      <c r="BU11">
        <v>-65</v>
      </c>
      <c r="BV11">
        <v>0</v>
      </c>
    </row>
    <row r="12" spans="1:74" x14ac:dyDescent="0.25">
      <c r="A12" t="s">
        <v>167</v>
      </c>
      <c r="B12" t="s">
        <v>168</v>
      </c>
      <c r="C12" t="s">
        <v>195</v>
      </c>
      <c r="D12" t="s">
        <v>170</v>
      </c>
      <c r="E12" t="s">
        <v>212</v>
      </c>
      <c r="F12" t="s">
        <v>212</v>
      </c>
      <c r="G12" t="s">
        <v>318</v>
      </c>
      <c r="H12" t="s">
        <v>195</v>
      </c>
      <c r="I12" t="s">
        <v>197</v>
      </c>
      <c r="J12" s="38">
        <v>46042</v>
      </c>
      <c r="K12">
        <v>-64.8</v>
      </c>
      <c r="L12">
        <v>-1080</v>
      </c>
      <c r="M12" t="s">
        <v>173</v>
      </c>
      <c r="N12" t="s">
        <v>174</v>
      </c>
      <c r="O12" t="s">
        <v>189</v>
      </c>
      <c r="P12" t="s">
        <v>314</v>
      </c>
      <c r="Q12" t="s">
        <v>90</v>
      </c>
      <c r="R12" t="s">
        <v>1254</v>
      </c>
      <c r="S12">
        <v>123</v>
      </c>
      <c r="T12">
        <v>111.0001</v>
      </c>
      <c r="U12" t="s">
        <v>200</v>
      </c>
      <c r="V12" t="s">
        <v>290</v>
      </c>
      <c r="Y12">
        <v>34</v>
      </c>
      <c r="Z12">
        <v>0</v>
      </c>
      <c r="AA12">
        <v>0</v>
      </c>
      <c r="AB12">
        <v>0</v>
      </c>
      <c r="AC12">
        <v>0.33</v>
      </c>
      <c r="AD12">
        <v>0</v>
      </c>
      <c r="AE12">
        <v>0</v>
      </c>
      <c r="AF12">
        <v>7.0000000000000007E-2</v>
      </c>
      <c r="AG12">
        <v>0.2</v>
      </c>
      <c r="AH12">
        <v>0</v>
      </c>
      <c r="AI12">
        <v>0.15</v>
      </c>
      <c r="AJ12">
        <v>0.02</v>
      </c>
      <c r="AK12">
        <v>0</v>
      </c>
      <c r="AL12">
        <v>0.2</v>
      </c>
      <c r="AM12">
        <v>0</v>
      </c>
      <c r="AN12">
        <v>0</v>
      </c>
      <c r="AO12">
        <v>0.03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-356</v>
      </c>
      <c r="BA12">
        <v>0</v>
      </c>
      <c r="BB12">
        <v>0</v>
      </c>
      <c r="BC12">
        <v>-75.600000000000009</v>
      </c>
      <c r="BD12">
        <v>-216</v>
      </c>
      <c r="BE12">
        <v>0</v>
      </c>
      <c r="BF12">
        <v>-162</v>
      </c>
      <c r="BG12">
        <v>-21.6</v>
      </c>
      <c r="BH12">
        <v>0</v>
      </c>
      <c r="BI12">
        <v>-216</v>
      </c>
      <c r="BJ12">
        <v>0</v>
      </c>
      <c r="BK12">
        <v>0</v>
      </c>
      <c r="BL12">
        <v>-32.4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</v>
      </c>
      <c r="BU12">
        <v>-65</v>
      </c>
      <c r="BV12">
        <v>0</v>
      </c>
    </row>
    <row r="13" spans="1:74" x14ac:dyDescent="0.25">
      <c r="A13" t="s">
        <v>167</v>
      </c>
      <c r="B13" t="s">
        <v>168</v>
      </c>
      <c r="C13" t="s">
        <v>195</v>
      </c>
      <c r="D13" t="s">
        <v>170</v>
      </c>
      <c r="E13" t="s">
        <v>213</v>
      </c>
      <c r="F13" t="s">
        <v>213</v>
      </c>
      <c r="G13" t="s">
        <v>318</v>
      </c>
      <c r="H13" t="s">
        <v>195</v>
      </c>
      <c r="I13" t="s">
        <v>197</v>
      </c>
      <c r="J13" s="38">
        <v>46042</v>
      </c>
      <c r="K13">
        <v>-64.8</v>
      </c>
      <c r="L13">
        <v>-1080</v>
      </c>
      <c r="M13" t="s">
        <v>173</v>
      </c>
      <c r="N13" t="s">
        <v>174</v>
      </c>
      <c r="O13" t="s">
        <v>189</v>
      </c>
      <c r="P13" t="s">
        <v>1214</v>
      </c>
      <c r="Q13" t="s">
        <v>91</v>
      </c>
      <c r="R13" t="s">
        <v>1255</v>
      </c>
      <c r="S13">
        <v>133</v>
      </c>
      <c r="T13">
        <v>121.0001</v>
      </c>
      <c r="U13" t="s">
        <v>198</v>
      </c>
      <c r="V13" t="s">
        <v>290</v>
      </c>
      <c r="Y13">
        <v>34</v>
      </c>
      <c r="Z13">
        <v>0</v>
      </c>
      <c r="AA13">
        <v>0</v>
      </c>
      <c r="AB13">
        <v>0</v>
      </c>
      <c r="AC13">
        <v>0.33</v>
      </c>
      <c r="AD13">
        <v>0</v>
      </c>
      <c r="AE13">
        <v>0</v>
      </c>
      <c r="AF13">
        <v>7.0000000000000007E-2</v>
      </c>
      <c r="AG13">
        <v>0.2</v>
      </c>
      <c r="AH13">
        <v>0</v>
      </c>
      <c r="AI13">
        <v>0.15</v>
      </c>
      <c r="AJ13">
        <v>0.02</v>
      </c>
      <c r="AK13">
        <v>0</v>
      </c>
      <c r="AL13">
        <v>0.2</v>
      </c>
      <c r="AM13">
        <v>0</v>
      </c>
      <c r="AN13">
        <v>0</v>
      </c>
      <c r="AO13">
        <v>0.03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-356</v>
      </c>
      <c r="BA13">
        <v>0</v>
      </c>
      <c r="BB13">
        <v>0</v>
      </c>
      <c r="BC13">
        <v>-75.600000000000009</v>
      </c>
      <c r="BD13">
        <v>-216</v>
      </c>
      <c r="BE13">
        <v>0</v>
      </c>
      <c r="BF13">
        <v>-162</v>
      </c>
      <c r="BG13">
        <v>-21.6</v>
      </c>
      <c r="BH13">
        <v>0</v>
      </c>
      <c r="BI13">
        <v>-216</v>
      </c>
      <c r="BJ13">
        <v>0</v>
      </c>
      <c r="BK13">
        <v>0</v>
      </c>
      <c r="BL13">
        <v>-32.4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1</v>
      </c>
      <c r="BU13">
        <v>-65</v>
      </c>
      <c r="BV13">
        <v>0</v>
      </c>
    </row>
    <row r="14" spans="1:74" x14ac:dyDescent="0.25">
      <c r="A14" t="s">
        <v>167</v>
      </c>
      <c r="B14" t="s">
        <v>168</v>
      </c>
      <c r="C14" t="s">
        <v>195</v>
      </c>
      <c r="D14" t="s">
        <v>170</v>
      </c>
      <c r="E14" t="s">
        <v>214</v>
      </c>
      <c r="F14" t="s">
        <v>214</v>
      </c>
      <c r="G14" t="s">
        <v>318</v>
      </c>
      <c r="H14" t="s">
        <v>195</v>
      </c>
      <c r="I14" t="s">
        <v>197</v>
      </c>
      <c r="J14" s="38">
        <v>46042</v>
      </c>
      <c r="K14">
        <v>-64.8</v>
      </c>
      <c r="L14">
        <v>-1080</v>
      </c>
      <c r="M14" t="s">
        <v>173</v>
      </c>
      <c r="N14" t="s">
        <v>174</v>
      </c>
      <c r="O14" t="s">
        <v>189</v>
      </c>
      <c r="P14" t="s">
        <v>1214</v>
      </c>
      <c r="Q14" t="s">
        <v>91</v>
      </c>
      <c r="R14" t="s">
        <v>1255</v>
      </c>
      <c r="S14">
        <v>123</v>
      </c>
      <c r="T14">
        <v>111.0001</v>
      </c>
      <c r="U14" t="s">
        <v>200</v>
      </c>
      <c r="V14" t="s">
        <v>290</v>
      </c>
      <c r="Y14">
        <v>34</v>
      </c>
      <c r="Z14">
        <v>0</v>
      </c>
      <c r="AA14">
        <v>0</v>
      </c>
      <c r="AB14">
        <v>0</v>
      </c>
      <c r="AC14">
        <v>0.33</v>
      </c>
      <c r="AD14">
        <v>0</v>
      </c>
      <c r="AE14">
        <v>0</v>
      </c>
      <c r="AF14">
        <v>7.0000000000000007E-2</v>
      </c>
      <c r="AG14">
        <v>0.2</v>
      </c>
      <c r="AH14">
        <v>0</v>
      </c>
      <c r="AI14">
        <v>0.15</v>
      </c>
      <c r="AJ14">
        <v>0.02</v>
      </c>
      <c r="AK14">
        <v>0</v>
      </c>
      <c r="AL14">
        <v>0.2</v>
      </c>
      <c r="AM14">
        <v>0</v>
      </c>
      <c r="AN14">
        <v>0</v>
      </c>
      <c r="AO14">
        <v>0.03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-356</v>
      </c>
      <c r="BA14">
        <v>0</v>
      </c>
      <c r="BB14">
        <v>0</v>
      </c>
      <c r="BC14">
        <v>-75.600000000000009</v>
      </c>
      <c r="BD14">
        <v>-216</v>
      </c>
      <c r="BE14">
        <v>0</v>
      </c>
      <c r="BF14">
        <v>-162</v>
      </c>
      <c r="BG14">
        <v>-21.6</v>
      </c>
      <c r="BH14">
        <v>0</v>
      </c>
      <c r="BI14">
        <v>-216</v>
      </c>
      <c r="BJ14">
        <v>0</v>
      </c>
      <c r="BK14">
        <v>0</v>
      </c>
      <c r="BL14">
        <v>-32.4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1</v>
      </c>
      <c r="BU14">
        <v>-65</v>
      </c>
      <c r="BV14">
        <v>0</v>
      </c>
    </row>
    <row r="15" spans="1:74" x14ac:dyDescent="0.25">
      <c r="A15" t="s">
        <v>167</v>
      </c>
      <c r="B15" t="s">
        <v>168</v>
      </c>
      <c r="C15" t="s">
        <v>195</v>
      </c>
      <c r="D15" t="s">
        <v>170</v>
      </c>
      <c r="E15" t="s">
        <v>215</v>
      </c>
      <c r="F15" t="s">
        <v>215</v>
      </c>
      <c r="G15" t="s">
        <v>318</v>
      </c>
      <c r="H15" t="s">
        <v>195</v>
      </c>
      <c r="I15" t="s">
        <v>197</v>
      </c>
      <c r="J15" s="38">
        <v>46042</v>
      </c>
      <c r="K15">
        <v>-43.2</v>
      </c>
      <c r="L15">
        <v>-720</v>
      </c>
      <c r="M15" t="s">
        <v>173</v>
      </c>
      <c r="N15" t="s">
        <v>174</v>
      </c>
      <c r="O15" t="s">
        <v>189</v>
      </c>
      <c r="P15" t="s">
        <v>1217</v>
      </c>
      <c r="Q15" t="s">
        <v>92</v>
      </c>
      <c r="R15" t="s">
        <v>1256</v>
      </c>
      <c r="S15">
        <v>133</v>
      </c>
      <c r="T15">
        <v>120.9996</v>
      </c>
      <c r="U15" t="s">
        <v>198</v>
      </c>
      <c r="V15" t="s">
        <v>290</v>
      </c>
      <c r="Y15">
        <v>34</v>
      </c>
      <c r="Z15">
        <v>0</v>
      </c>
      <c r="AA15">
        <v>0</v>
      </c>
      <c r="AB15">
        <v>0</v>
      </c>
      <c r="AC15">
        <v>0.33</v>
      </c>
      <c r="AD15">
        <v>0</v>
      </c>
      <c r="AE15">
        <v>0</v>
      </c>
      <c r="AF15">
        <v>7.0000000000000007E-2</v>
      </c>
      <c r="AG15">
        <v>0.2</v>
      </c>
      <c r="AH15">
        <v>0</v>
      </c>
      <c r="AI15">
        <v>0.15</v>
      </c>
      <c r="AJ15">
        <v>0.02</v>
      </c>
      <c r="AK15">
        <v>0</v>
      </c>
      <c r="AL15">
        <v>0.2</v>
      </c>
      <c r="AM15">
        <v>0</v>
      </c>
      <c r="AN15">
        <v>0</v>
      </c>
      <c r="AO15">
        <v>0.03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-238</v>
      </c>
      <c r="BA15">
        <v>0</v>
      </c>
      <c r="BB15">
        <v>0</v>
      </c>
      <c r="BC15">
        <v>-50.400000000000006</v>
      </c>
      <c r="BD15">
        <v>-144</v>
      </c>
      <c r="BE15">
        <v>0</v>
      </c>
      <c r="BF15">
        <v>-108</v>
      </c>
      <c r="BG15">
        <v>-14.400000000000002</v>
      </c>
      <c r="BH15">
        <v>0</v>
      </c>
      <c r="BI15">
        <v>-144</v>
      </c>
      <c r="BJ15">
        <v>0</v>
      </c>
      <c r="BK15">
        <v>0</v>
      </c>
      <c r="BL15">
        <v>-21.6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1</v>
      </c>
      <c r="BU15">
        <v>-43</v>
      </c>
      <c r="BV15">
        <v>0</v>
      </c>
    </row>
    <row r="16" spans="1:74" x14ac:dyDescent="0.25">
      <c r="A16" t="s">
        <v>167</v>
      </c>
      <c r="B16" t="s">
        <v>168</v>
      </c>
      <c r="C16" t="s">
        <v>195</v>
      </c>
      <c r="D16" t="s">
        <v>170</v>
      </c>
      <c r="E16" t="s">
        <v>216</v>
      </c>
      <c r="F16" t="s">
        <v>216</v>
      </c>
      <c r="G16" t="s">
        <v>318</v>
      </c>
      <c r="H16" t="s">
        <v>195</v>
      </c>
      <c r="I16" t="s">
        <v>197</v>
      </c>
      <c r="J16" s="38">
        <v>46042</v>
      </c>
      <c r="K16">
        <v>-43.2</v>
      </c>
      <c r="L16">
        <v>-720</v>
      </c>
      <c r="M16" t="s">
        <v>173</v>
      </c>
      <c r="N16" t="s">
        <v>174</v>
      </c>
      <c r="O16" t="s">
        <v>189</v>
      </c>
      <c r="P16" t="s">
        <v>1217</v>
      </c>
      <c r="Q16" t="s">
        <v>92</v>
      </c>
      <c r="R16" t="s">
        <v>1256</v>
      </c>
      <c r="S16">
        <v>123</v>
      </c>
      <c r="T16">
        <v>111.0001</v>
      </c>
      <c r="U16" t="s">
        <v>200</v>
      </c>
      <c r="V16" t="s">
        <v>290</v>
      </c>
      <c r="Y16">
        <v>34</v>
      </c>
      <c r="Z16">
        <v>0</v>
      </c>
      <c r="AA16">
        <v>0</v>
      </c>
      <c r="AB16">
        <v>0</v>
      </c>
      <c r="AC16">
        <v>0.33</v>
      </c>
      <c r="AD16">
        <v>0</v>
      </c>
      <c r="AE16">
        <v>0</v>
      </c>
      <c r="AF16">
        <v>7.0000000000000007E-2</v>
      </c>
      <c r="AG16">
        <v>0.2</v>
      </c>
      <c r="AH16">
        <v>0</v>
      </c>
      <c r="AI16">
        <v>0.15</v>
      </c>
      <c r="AJ16">
        <v>0.02</v>
      </c>
      <c r="AK16">
        <v>0</v>
      </c>
      <c r="AL16">
        <v>0.2</v>
      </c>
      <c r="AM16">
        <v>0</v>
      </c>
      <c r="AN16">
        <v>0</v>
      </c>
      <c r="AO16">
        <v>0.03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-238</v>
      </c>
      <c r="BA16">
        <v>0</v>
      </c>
      <c r="BB16">
        <v>0</v>
      </c>
      <c r="BC16">
        <v>-50.400000000000006</v>
      </c>
      <c r="BD16">
        <v>-144</v>
      </c>
      <c r="BE16">
        <v>0</v>
      </c>
      <c r="BF16">
        <v>-108</v>
      </c>
      <c r="BG16">
        <v>-14.400000000000002</v>
      </c>
      <c r="BH16">
        <v>0</v>
      </c>
      <c r="BI16">
        <v>-144</v>
      </c>
      <c r="BJ16">
        <v>0</v>
      </c>
      <c r="BK16">
        <v>0</v>
      </c>
      <c r="BL16">
        <v>-21.6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1</v>
      </c>
      <c r="BU16">
        <v>-43</v>
      </c>
      <c r="BV16">
        <v>0</v>
      </c>
    </row>
    <row r="17" spans="1:74" x14ac:dyDescent="0.25">
      <c r="A17" t="s">
        <v>167</v>
      </c>
      <c r="B17" t="s">
        <v>168</v>
      </c>
      <c r="C17" t="s">
        <v>179</v>
      </c>
      <c r="D17" t="s">
        <v>170</v>
      </c>
      <c r="E17" t="s">
        <v>221</v>
      </c>
      <c r="F17" t="s">
        <v>221</v>
      </c>
      <c r="G17" t="s">
        <v>318</v>
      </c>
      <c r="H17" t="s">
        <v>179</v>
      </c>
      <c r="I17" t="s">
        <v>222</v>
      </c>
      <c r="J17" s="38">
        <v>46140</v>
      </c>
      <c r="K17">
        <v>-38.4</v>
      </c>
      <c r="L17">
        <v>-1280</v>
      </c>
      <c r="M17" t="s">
        <v>173</v>
      </c>
      <c r="N17" t="s">
        <v>174</v>
      </c>
      <c r="O17" t="s">
        <v>189</v>
      </c>
      <c r="P17" t="s">
        <v>223</v>
      </c>
      <c r="Q17" t="s">
        <v>86</v>
      </c>
      <c r="R17" t="s">
        <v>1250</v>
      </c>
      <c r="S17">
        <v>56</v>
      </c>
      <c r="T17">
        <v>50.5047</v>
      </c>
      <c r="U17" t="s">
        <v>220</v>
      </c>
      <c r="V17" t="s">
        <v>186</v>
      </c>
      <c r="Y17">
        <v>23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-640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-38</v>
      </c>
      <c r="BV17">
        <v>0</v>
      </c>
    </row>
    <row r="18" spans="1:74" x14ac:dyDescent="0.25">
      <c r="A18" t="s">
        <v>167</v>
      </c>
      <c r="B18" t="s">
        <v>168</v>
      </c>
      <c r="C18" t="s">
        <v>179</v>
      </c>
      <c r="D18" t="s">
        <v>170</v>
      </c>
      <c r="E18" t="s">
        <v>226</v>
      </c>
      <c r="F18" t="s">
        <v>226</v>
      </c>
      <c r="G18" t="s">
        <v>318</v>
      </c>
      <c r="H18" t="s">
        <v>179</v>
      </c>
      <c r="I18" t="s">
        <v>227</v>
      </c>
      <c r="J18" s="38">
        <v>46150</v>
      </c>
      <c r="K18">
        <v>-19.2</v>
      </c>
      <c r="L18">
        <v>-320</v>
      </c>
      <c r="M18" t="s">
        <v>173</v>
      </c>
      <c r="N18" t="s">
        <v>174</v>
      </c>
      <c r="O18" t="s">
        <v>205</v>
      </c>
      <c r="P18" t="s">
        <v>219</v>
      </c>
      <c r="Q18" t="s">
        <v>87</v>
      </c>
      <c r="R18" t="s">
        <v>1251</v>
      </c>
      <c r="S18">
        <v>60</v>
      </c>
      <c r="T18">
        <v>55.195500000000003</v>
      </c>
      <c r="U18" t="s">
        <v>48</v>
      </c>
      <c r="V18" t="s">
        <v>186</v>
      </c>
      <c r="W18" t="s">
        <v>228</v>
      </c>
      <c r="Y18">
        <v>23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1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-320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1</v>
      </c>
      <c r="BU18">
        <v>-19</v>
      </c>
      <c r="BV18">
        <v>0</v>
      </c>
    </row>
    <row r="19" spans="1:74" x14ac:dyDescent="0.25">
      <c r="A19" t="s">
        <v>167</v>
      </c>
      <c r="B19" t="s">
        <v>168</v>
      </c>
      <c r="C19" t="s">
        <v>179</v>
      </c>
      <c r="D19" t="s">
        <v>170</v>
      </c>
      <c r="E19" t="s">
        <v>229</v>
      </c>
      <c r="F19" t="s">
        <v>229</v>
      </c>
      <c r="G19" t="s">
        <v>318</v>
      </c>
      <c r="H19" t="s">
        <v>179</v>
      </c>
      <c r="I19" t="s">
        <v>227</v>
      </c>
      <c r="J19" s="38">
        <v>46150</v>
      </c>
      <c r="K19">
        <v>-19.2</v>
      </c>
      <c r="L19">
        <v>-320</v>
      </c>
      <c r="M19" t="s">
        <v>173</v>
      </c>
      <c r="N19" t="s">
        <v>174</v>
      </c>
      <c r="O19" t="s">
        <v>205</v>
      </c>
      <c r="P19" t="s">
        <v>219</v>
      </c>
      <c r="Q19" t="s">
        <v>87</v>
      </c>
      <c r="R19" t="s">
        <v>1251</v>
      </c>
      <c r="S19">
        <v>60</v>
      </c>
      <c r="T19">
        <v>55.195500000000003</v>
      </c>
      <c r="U19" t="s">
        <v>48</v>
      </c>
      <c r="V19" t="s">
        <v>186</v>
      </c>
      <c r="W19" t="s">
        <v>228</v>
      </c>
      <c r="Y19">
        <v>23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-320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1</v>
      </c>
      <c r="BU19">
        <v>-19</v>
      </c>
      <c r="BV19">
        <v>0</v>
      </c>
    </row>
    <row r="20" spans="1:74" x14ac:dyDescent="0.25">
      <c r="A20" t="s">
        <v>167</v>
      </c>
      <c r="B20" t="s">
        <v>168</v>
      </c>
      <c r="C20" t="s">
        <v>179</v>
      </c>
      <c r="D20" t="s">
        <v>170</v>
      </c>
      <c r="E20" t="s">
        <v>230</v>
      </c>
      <c r="F20" t="s">
        <v>230</v>
      </c>
      <c r="G20" t="s">
        <v>318</v>
      </c>
      <c r="H20" t="s">
        <v>179</v>
      </c>
      <c r="I20" t="s">
        <v>227</v>
      </c>
      <c r="J20" s="38">
        <v>46150</v>
      </c>
      <c r="K20">
        <v>-19.2</v>
      </c>
      <c r="L20">
        <v>-320</v>
      </c>
      <c r="M20" t="s">
        <v>173</v>
      </c>
      <c r="N20" t="s">
        <v>174</v>
      </c>
      <c r="O20" t="s">
        <v>205</v>
      </c>
      <c r="P20" t="s">
        <v>231</v>
      </c>
      <c r="Q20" t="s">
        <v>88</v>
      </c>
      <c r="R20" t="s">
        <v>1252</v>
      </c>
      <c r="S20">
        <v>70</v>
      </c>
      <c r="T20">
        <v>65.200900000000004</v>
      </c>
      <c r="U20" t="s">
        <v>48</v>
      </c>
      <c r="V20" t="s">
        <v>232</v>
      </c>
      <c r="W20" t="s">
        <v>228</v>
      </c>
      <c r="Y20">
        <v>23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-320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1</v>
      </c>
      <c r="BU20">
        <v>-19</v>
      </c>
      <c r="BV20">
        <v>0</v>
      </c>
    </row>
    <row r="21" spans="1:74" x14ac:dyDescent="0.25">
      <c r="A21" t="s">
        <v>167</v>
      </c>
      <c r="B21" t="s">
        <v>168</v>
      </c>
      <c r="C21" t="s">
        <v>179</v>
      </c>
      <c r="D21" t="s">
        <v>170</v>
      </c>
      <c r="E21" t="s">
        <v>235</v>
      </c>
      <c r="F21" t="s">
        <v>235</v>
      </c>
      <c r="G21" t="s">
        <v>318</v>
      </c>
      <c r="H21" t="s">
        <v>179</v>
      </c>
      <c r="I21" t="s">
        <v>181</v>
      </c>
      <c r="J21" s="38">
        <v>46148</v>
      </c>
      <c r="K21">
        <v>-19.2</v>
      </c>
      <c r="L21">
        <v>-320</v>
      </c>
      <c r="M21" t="s">
        <v>182</v>
      </c>
      <c r="N21" t="s">
        <v>183</v>
      </c>
      <c r="O21" t="s">
        <v>184</v>
      </c>
      <c r="P21" t="s">
        <v>219</v>
      </c>
      <c r="Q21" t="s">
        <v>87</v>
      </c>
      <c r="R21" t="s">
        <v>1251</v>
      </c>
      <c r="S21">
        <v>57</v>
      </c>
      <c r="T21">
        <v>50.002200000000002</v>
      </c>
      <c r="U21" t="s">
        <v>185</v>
      </c>
      <c r="V21" t="s">
        <v>186</v>
      </c>
      <c r="Y21">
        <v>23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1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-320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1</v>
      </c>
      <c r="BU21">
        <v>-19</v>
      </c>
      <c r="BV21">
        <v>0</v>
      </c>
    </row>
    <row r="22" spans="1:74" x14ac:dyDescent="0.25">
      <c r="A22" t="s">
        <v>167</v>
      </c>
      <c r="B22" t="s">
        <v>168</v>
      </c>
      <c r="C22" t="s">
        <v>195</v>
      </c>
      <c r="D22" t="s">
        <v>170</v>
      </c>
      <c r="E22" t="s">
        <v>239</v>
      </c>
      <c r="F22" t="s">
        <v>239</v>
      </c>
      <c r="G22" t="s">
        <v>318</v>
      </c>
      <c r="H22" t="s">
        <v>195</v>
      </c>
      <c r="I22" t="s">
        <v>181</v>
      </c>
      <c r="J22" s="38">
        <v>46148</v>
      </c>
      <c r="K22">
        <v>-38.4</v>
      </c>
      <c r="L22">
        <v>-1280</v>
      </c>
      <c r="M22" t="s">
        <v>182</v>
      </c>
      <c r="N22" t="s">
        <v>183</v>
      </c>
      <c r="O22" t="s">
        <v>184</v>
      </c>
      <c r="P22" t="s">
        <v>219</v>
      </c>
      <c r="Q22" t="s">
        <v>87</v>
      </c>
      <c r="R22" t="s">
        <v>1251</v>
      </c>
      <c r="S22">
        <v>44</v>
      </c>
      <c r="T22">
        <v>30.002199999999998</v>
      </c>
      <c r="U22" t="s">
        <v>240</v>
      </c>
      <c r="V22" t="s">
        <v>186</v>
      </c>
      <c r="Y22">
        <v>320425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1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-640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1</v>
      </c>
      <c r="BU22">
        <v>-38</v>
      </c>
      <c r="BV22">
        <v>0</v>
      </c>
    </row>
    <row r="23" spans="1:74" x14ac:dyDescent="0.25">
      <c r="A23" t="s">
        <v>167</v>
      </c>
      <c r="B23" t="s">
        <v>168</v>
      </c>
      <c r="C23" t="s">
        <v>195</v>
      </c>
      <c r="D23" t="s">
        <v>170</v>
      </c>
      <c r="E23" t="s">
        <v>241</v>
      </c>
      <c r="F23" t="s">
        <v>241</v>
      </c>
      <c r="G23" t="s">
        <v>318</v>
      </c>
      <c r="H23" t="s">
        <v>195</v>
      </c>
      <c r="I23" t="s">
        <v>242</v>
      </c>
      <c r="J23" s="38">
        <v>46133</v>
      </c>
      <c r="K23">
        <v>-108</v>
      </c>
      <c r="L23">
        <v>-1800</v>
      </c>
      <c r="M23" t="s">
        <v>173</v>
      </c>
      <c r="N23" t="s">
        <v>174</v>
      </c>
      <c r="O23" t="s">
        <v>189</v>
      </c>
      <c r="P23" t="s">
        <v>219</v>
      </c>
      <c r="Q23" t="s">
        <v>87</v>
      </c>
      <c r="R23" t="s">
        <v>1251</v>
      </c>
      <c r="S23">
        <v>44</v>
      </c>
      <c r="T23">
        <v>29.4849</v>
      </c>
      <c r="U23" t="s">
        <v>51</v>
      </c>
      <c r="V23" t="s">
        <v>186</v>
      </c>
      <c r="Y23">
        <v>320425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1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-1800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1</v>
      </c>
      <c r="BU23">
        <v>-108</v>
      </c>
      <c r="BV23">
        <v>0</v>
      </c>
    </row>
    <row r="24" spans="1:74" x14ac:dyDescent="0.25">
      <c r="A24" t="s">
        <v>167</v>
      </c>
      <c r="B24" t="s">
        <v>168</v>
      </c>
      <c r="C24" t="s">
        <v>195</v>
      </c>
      <c r="D24" t="s">
        <v>170</v>
      </c>
      <c r="E24" t="s">
        <v>243</v>
      </c>
      <c r="F24" t="s">
        <v>243</v>
      </c>
      <c r="G24" t="s">
        <v>318</v>
      </c>
      <c r="H24" t="s">
        <v>195</v>
      </c>
      <c r="I24" t="s">
        <v>227</v>
      </c>
      <c r="J24" s="38">
        <v>46125</v>
      </c>
      <c r="K24">
        <v>-19.2</v>
      </c>
      <c r="L24">
        <v>-320</v>
      </c>
      <c r="M24" t="s">
        <v>173</v>
      </c>
      <c r="N24" t="s">
        <v>174</v>
      </c>
      <c r="O24" t="s">
        <v>205</v>
      </c>
      <c r="P24" t="s">
        <v>231</v>
      </c>
      <c r="Q24" t="s">
        <v>88</v>
      </c>
      <c r="R24" t="s">
        <v>1252</v>
      </c>
      <c r="S24">
        <v>35</v>
      </c>
      <c r="T24">
        <v>30.196400000000001</v>
      </c>
      <c r="U24" t="s">
        <v>51</v>
      </c>
      <c r="V24" t="s">
        <v>232</v>
      </c>
      <c r="W24" t="s">
        <v>228</v>
      </c>
      <c r="Y24">
        <v>320425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1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-320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1</v>
      </c>
      <c r="BU24">
        <v>-19</v>
      </c>
      <c r="BV24">
        <v>0</v>
      </c>
    </row>
    <row r="25" spans="1:74" x14ac:dyDescent="0.25">
      <c r="A25" t="s">
        <v>167</v>
      </c>
      <c r="B25" t="s">
        <v>168</v>
      </c>
      <c r="C25" t="s">
        <v>179</v>
      </c>
      <c r="D25" t="s">
        <v>170</v>
      </c>
      <c r="E25" t="s">
        <v>244</v>
      </c>
      <c r="F25" t="s">
        <v>244</v>
      </c>
      <c r="G25" t="s">
        <v>318</v>
      </c>
      <c r="H25" t="s">
        <v>179</v>
      </c>
      <c r="I25" t="s">
        <v>245</v>
      </c>
      <c r="J25" s="38">
        <v>46067</v>
      </c>
      <c r="K25">
        <v>-19.2</v>
      </c>
      <c r="L25">
        <v>-320</v>
      </c>
      <c r="M25" t="s">
        <v>173</v>
      </c>
      <c r="N25" t="s">
        <v>174</v>
      </c>
      <c r="O25" t="s">
        <v>205</v>
      </c>
      <c r="P25" t="s">
        <v>278</v>
      </c>
      <c r="Q25" t="s">
        <v>89</v>
      </c>
      <c r="R25" t="s">
        <v>1253</v>
      </c>
      <c r="S25">
        <v>65</v>
      </c>
      <c r="T25">
        <v>64.296000000000006</v>
      </c>
      <c r="U25" t="s">
        <v>246</v>
      </c>
      <c r="V25" t="s">
        <v>232</v>
      </c>
      <c r="W25" t="s">
        <v>228</v>
      </c>
      <c r="Y25">
        <v>23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1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-320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</v>
      </c>
      <c r="BU25">
        <v>-19</v>
      </c>
      <c r="BV25">
        <v>0</v>
      </c>
    </row>
    <row r="26" spans="1:74" x14ac:dyDescent="0.25">
      <c r="A26" t="s">
        <v>167</v>
      </c>
      <c r="B26" t="s">
        <v>168</v>
      </c>
      <c r="C26" t="s">
        <v>179</v>
      </c>
      <c r="D26" t="s">
        <v>170</v>
      </c>
      <c r="E26" t="s">
        <v>247</v>
      </c>
      <c r="F26" t="s">
        <v>247</v>
      </c>
      <c r="G26" t="s">
        <v>717</v>
      </c>
      <c r="H26" t="s">
        <v>179</v>
      </c>
      <c r="I26" t="s">
        <v>248</v>
      </c>
      <c r="J26" s="38">
        <v>46140</v>
      </c>
      <c r="K26">
        <v>-1.8</v>
      </c>
      <c r="L26">
        <v>-60</v>
      </c>
      <c r="M26" t="s">
        <v>173</v>
      </c>
      <c r="N26" t="s">
        <v>174</v>
      </c>
      <c r="O26" t="s">
        <v>189</v>
      </c>
      <c r="P26" t="s">
        <v>219</v>
      </c>
      <c r="Q26" t="s">
        <v>87</v>
      </c>
      <c r="R26" t="s">
        <v>1251</v>
      </c>
      <c r="S26">
        <v>216.5</v>
      </c>
      <c r="T26">
        <v>216.5</v>
      </c>
      <c r="U26" t="s">
        <v>249</v>
      </c>
      <c r="V26" t="s">
        <v>186</v>
      </c>
      <c r="Y26">
        <v>91</v>
      </c>
      <c r="Z26">
        <v>0</v>
      </c>
      <c r="AA26">
        <v>1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-30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1</v>
      </c>
      <c r="BU26">
        <v>-2</v>
      </c>
      <c r="BV26">
        <v>0</v>
      </c>
    </row>
    <row r="27" spans="1:74" x14ac:dyDescent="0.25">
      <c r="A27" t="s">
        <v>167</v>
      </c>
      <c r="B27" t="s">
        <v>168</v>
      </c>
      <c r="C27" t="s">
        <v>195</v>
      </c>
      <c r="D27" t="s">
        <v>170</v>
      </c>
      <c r="E27" t="s">
        <v>250</v>
      </c>
      <c r="F27" t="s">
        <v>250</v>
      </c>
      <c r="G27" t="s">
        <v>717</v>
      </c>
      <c r="H27" t="s">
        <v>195</v>
      </c>
      <c r="I27" t="s">
        <v>248</v>
      </c>
      <c r="J27" s="38">
        <v>46140</v>
      </c>
      <c r="K27">
        <v>-1.56</v>
      </c>
      <c r="L27">
        <v>-52</v>
      </c>
      <c r="M27" t="s">
        <v>173</v>
      </c>
      <c r="N27" t="s">
        <v>174</v>
      </c>
      <c r="O27" t="s">
        <v>189</v>
      </c>
      <c r="P27" t="s">
        <v>219</v>
      </c>
      <c r="Q27" t="s">
        <v>87</v>
      </c>
      <c r="R27" t="s">
        <v>1251</v>
      </c>
      <c r="S27">
        <v>205.5</v>
      </c>
      <c r="T27">
        <v>205.5</v>
      </c>
      <c r="U27" t="s">
        <v>251</v>
      </c>
      <c r="V27" t="s">
        <v>186</v>
      </c>
      <c r="Y27">
        <v>91</v>
      </c>
      <c r="Z27">
        <v>0</v>
      </c>
      <c r="AA27">
        <v>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-26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1</v>
      </c>
      <c r="BU27">
        <v>-2</v>
      </c>
      <c r="BV27">
        <v>0</v>
      </c>
    </row>
    <row r="28" spans="1:74" x14ac:dyDescent="0.25">
      <c r="A28" t="s">
        <v>167</v>
      </c>
      <c r="B28" t="s">
        <v>168</v>
      </c>
      <c r="C28" t="s">
        <v>195</v>
      </c>
      <c r="D28" t="s">
        <v>170</v>
      </c>
      <c r="E28" t="s">
        <v>252</v>
      </c>
      <c r="F28" t="s">
        <v>252</v>
      </c>
      <c r="G28" t="s">
        <v>717</v>
      </c>
      <c r="H28" t="s">
        <v>195</v>
      </c>
      <c r="I28" t="s">
        <v>253</v>
      </c>
      <c r="J28" s="38">
        <v>46140</v>
      </c>
      <c r="K28">
        <v>-0.09</v>
      </c>
      <c r="L28">
        <v>-3</v>
      </c>
      <c r="M28" t="s">
        <v>173</v>
      </c>
      <c r="N28" t="s">
        <v>174</v>
      </c>
      <c r="O28" t="s">
        <v>254</v>
      </c>
      <c r="P28" t="s">
        <v>219</v>
      </c>
      <c r="Q28" t="s">
        <v>87</v>
      </c>
      <c r="R28" t="s">
        <v>1251</v>
      </c>
      <c r="S28">
        <v>369.21570000000003</v>
      </c>
      <c r="T28">
        <v>369.21570000000003</v>
      </c>
      <c r="U28" t="s">
        <v>255</v>
      </c>
      <c r="V28" t="s">
        <v>186</v>
      </c>
      <c r="X28" t="s">
        <v>207</v>
      </c>
      <c r="Y28">
        <v>91</v>
      </c>
      <c r="Z28">
        <v>0</v>
      </c>
      <c r="AA28">
        <v>1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-2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0</v>
      </c>
      <c r="BV28">
        <v>0</v>
      </c>
    </row>
    <row r="29" spans="1:74" x14ac:dyDescent="0.25">
      <c r="A29" t="s">
        <v>167</v>
      </c>
      <c r="B29" t="s">
        <v>168</v>
      </c>
      <c r="C29" t="s">
        <v>195</v>
      </c>
      <c r="D29" t="s">
        <v>170</v>
      </c>
      <c r="E29" t="s">
        <v>256</v>
      </c>
      <c r="F29" t="s">
        <v>256</v>
      </c>
      <c r="G29" t="s">
        <v>717</v>
      </c>
      <c r="H29" t="s">
        <v>195</v>
      </c>
      <c r="I29" t="s">
        <v>253</v>
      </c>
      <c r="J29" s="38">
        <v>46140</v>
      </c>
      <c r="K29">
        <v>-0.09</v>
      </c>
      <c r="L29">
        <v>-3</v>
      </c>
      <c r="M29" t="s">
        <v>173</v>
      </c>
      <c r="N29" t="s">
        <v>174</v>
      </c>
      <c r="O29" t="s">
        <v>254</v>
      </c>
      <c r="P29" t="s">
        <v>219</v>
      </c>
      <c r="Q29" t="s">
        <v>87</v>
      </c>
      <c r="R29" t="s">
        <v>1251</v>
      </c>
      <c r="S29">
        <v>301.17610000000002</v>
      </c>
      <c r="T29">
        <v>301.17610000000002</v>
      </c>
      <c r="U29" t="s">
        <v>257</v>
      </c>
      <c r="V29" t="s">
        <v>186</v>
      </c>
      <c r="X29" t="s">
        <v>207</v>
      </c>
      <c r="Y29">
        <v>91</v>
      </c>
      <c r="Z29">
        <v>0</v>
      </c>
      <c r="AA29">
        <v>1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-2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1</v>
      </c>
      <c r="BU29">
        <v>0</v>
      </c>
      <c r="BV29">
        <v>0</v>
      </c>
    </row>
    <row r="30" spans="1:74" x14ac:dyDescent="0.25">
      <c r="A30" t="s">
        <v>167</v>
      </c>
      <c r="B30" t="s">
        <v>168</v>
      </c>
      <c r="C30" t="s">
        <v>258</v>
      </c>
      <c r="D30" t="s">
        <v>170</v>
      </c>
      <c r="E30" t="s">
        <v>259</v>
      </c>
      <c r="F30" t="s">
        <v>259</v>
      </c>
      <c r="G30" t="s">
        <v>717</v>
      </c>
      <c r="H30" t="s">
        <v>258</v>
      </c>
      <c r="I30" t="s">
        <v>253</v>
      </c>
      <c r="J30" s="38">
        <v>46140</v>
      </c>
      <c r="K30">
        <v>-0.12</v>
      </c>
      <c r="L30">
        <v>-4</v>
      </c>
      <c r="M30" t="s">
        <v>173</v>
      </c>
      <c r="N30" t="s">
        <v>174</v>
      </c>
      <c r="O30" t="s">
        <v>254</v>
      </c>
      <c r="P30" t="s">
        <v>219</v>
      </c>
      <c r="Q30" t="s">
        <v>87</v>
      </c>
      <c r="R30" t="s">
        <v>1251</v>
      </c>
      <c r="S30">
        <v>233.13659999999999</v>
      </c>
      <c r="T30">
        <v>233.13659999999999</v>
      </c>
      <c r="U30" t="s">
        <v>260</v>
      </c>
      <c r="V30" t="s">
        <v>186</v>
      </c>
      <c r="X30" t="s">
        <v>207</v>
      </c>
      <c r="Y30">
        <v>91</v>
      </c>
      <c r="Z30">
        <v>0</v>
      </c>
      <c r="AA30">
        <v>1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-2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1</v>
      </c>
      <c r="BU30">
        <v>0</v>
      </c>
      <c r="BV30">
        <v>0</v>
      </c>
    </row>
    <row r="31" spans="1:74" x14ac:dyDescent="0.25">
      <c r="A31" t="s">
        <v>167</v>
      </c>
      <c r="B31" t="s">
        <v>168</v>
      </c>
      <c r="C31" t="s">
        <v>195</v>
      </c>
      <c r="D31" t="s">
        <v>170</v>
      </c>
      <c r="E31" t="s">
        <v>264</v>
      </c>
      <c r="F31" t="s">
        <v>264</v>
      </c>
      <c r="G31" t="s">
        <v>318</v>
      </c>
      <c r="H31" t="s">
        <v>195</v>
      </c>
      <c r="I31" t="s">
        <v>262</v>
      </c>
      <c r="J31" s="38">
        <v>46149</v>
      </c>
      <c r="K31">
        <v>-19.2</v>
      </c>
      <c r="L31">
        <v>-320</v>
      </c>
      <c r="M31" t="s">
        <v>182</v>
      </c>
      <c r="N31" t="s">
        <v>183</v>
      </c>
      <c r="O31" t="s">
        <v>184</v>
      </c>
      <c r="P31" t="s">
        <v>219</v>
      </c>
      <c r="Q31" t="s">
        <v>87</v>
      </c>
      <c r="R31" t="s">
        <v>1251</v>
      </c>
      <c r="S31">
        <v>50</v>
      </c>
      <c r="T31">
        <v>50</v>
      </c>
      <c r="U31" t="s">
        <v>240</v>
      </c>
      <c r="V31" t="s">
        <v>186</v>
      </c>
      <c r="Y31">
        <v>320425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1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-320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1</v>
      </c>
      <c r="BU31">
        <v>-19</v>
      </c>
      <c r="BV31">
        <v>0</v>
      </c>
    </row>
    <row r="32" spans="1:74" x14ac:dyDescent="0.25">
      <c r="A32" t="s">
        <v>167</v>
      </c>
      <c r="B32" t="s">
        <v>168</v>
      </c>
      <c r="C32" t="s">
        <v>224</v>
      </c>
      <c r="D32" t="s">
        <v>170</v>
      </c>
      <c r="E32" t="s">
        <v>265</v>
      </c>
      <c r="F32" t="s">
        <v>265</v>
      </c>
      <c r="G32" t="s">
        <v>318</v>
      </c>
      <c r="H32" t="s">
        <v>224</v>
      </c>
      <c r="I32" t="s">
        <v>248</v>
      </c>
      <c r="J32" s="38">
        <v>46013</v>
      </c>
      <c r="K32">
        <v>-50.4</v>
      </c>
      <c r="L32">
        <v>-840</v>
      </c>
      <c r="M32" t="s">
        <v>173</v>
      </c>
      <c r="N32" t="s">
        <v>174</v>
      </c>
      <c r="O32" t="s">
        <v>189</v>
      </c>
      <c r="P32" t="s">
        <v>219</v>
      </c>
      <c r="Q32" t="s">
        <v>87</v>
      </c>
      <c r="R32" t="s">
        <v>1251</v>
      </c>
      <c r="S32">
        <v>4</v>
      </c>
      <c r="T32">
        <v>3.5242</v>
      </c>
      <c r="U32" t="s">
        <v>266</v>
      </c>
      <c r="V32" t="s">
        <v>186</v>
      </c>
      <c r="X32" t="s">
        <v>174</v>
      </c>
      <c r="Y32">
        <v>55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0.5</v>
      </c>
      <c r="AO32">
        <v>0</v>
      </c>
      <c r="AP32">
        <v>0</v>
      </c>
      <c r="AQ32">
        <v>0.5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-420</v>
      </c>
      <c r="BL32">
        <v>0</v>
      </c>
      <c r="BM32">
        <v>0</v>
      </c>
      <c r="BN32">
        <v>-420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1</v>
      </c>
      <c r="BU32">
        <v>-50</v>
      </c>
      <c r="BV32">
        <v>0</v>
      </c>
    </row>
    <row r="33" spans="1:74" x14ac:dyDescent="0.25">
      <c r="A33" t="s">
        <v>167</v>
      </c>
      <c r="B33" t="s">
        <v>168</v>
      </c>
      <c r="C33" t="s">
        <v>267</v>
      </c>
      <c r="D33" t="s">
        <v>170</v>
      </c>
      <c r="E33" t="s">
        <v>268</v>
      </c>
      <c r="F33" t="s">
        <v>268</v>
      </c>
      <c r="G33" t="s">
        <v>318</v>
      </c>
      <c r="H33" t="s">
        <v>267</v>
      </c>
      <c r="I33" t="s">
        <v>269</v>
      </c>
      <c r="J33" s="38">
        <v>46105</v>
      </c>
      <c r="K33">
        <v>-108</v>
      </c>
      <c r="L33">
        <v>-1800</v>
      </c>
      <c r="M33" t="s">
        <v>173</v>
      </c>
      <c r="N33" t="s">
        <v>174</v>
      </c>
      <c r="O33" t="s">
        <v>189</v>
      </c>
      <c r="P33" t="s">
        <v>263</v>
      </c>
      <c r="Q33" t="s">
        <v>86</v>
      </c>
      <c r="R33" t="s">
        <v>1250</v>
      </c>
      <c r="S33">
        <v>-6</v>
      </c>
      <c r="T33">
        <v>-9</v>
      </c>
      <c r="U33" t="s">
        <v>270</v>
      </c>
      <c r="V33" t="s">
        <v>186</v>
      </c>
      <c r="Y33">
        <v>105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0.25</v>
      </c>
      <c r="AR33">
        <v>1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-450</v>
      </c>
      <c r="BO33">
        <v>-1350</v>
      </c>
      <c r="BP33">
        <v>0</v>
      </c>
      <c r="BQ33">
        <v>0</v>
      </c>
      <c r="BR33">
        <v>0</v>
      </c>
      <c r="BS33">
        <v>0</v>
      </c>
      <c r="BT33">
        <v>1</v>
      </c>
      <c r="BU33">
        <v>-108</v>
      </c>
      <c r="BV33">
        <v>0</v>
      </c>
    </row>
    <row r="34" spans="1:74" x14ac:dyDescent="0.25">
      <c r="A34" t="s">
        <v>167</v>
      </c>
      <c r="B34" t="s">
        <v>168</v>
      </c>
      <c r="C34" t="s">
        <v>272</v>
      </c>
      <c r="D34" t="s">
        <v>170</v>
      </c>
      <c r="E34" t="s">
        <v>273</v>
      </c>
      <c r="F34" t="s">
        <v>273</v>
      </c>
      <c r="G34" t="s">
        <v>318</v>
      </c>
      <c r="H34" t="s">
        <v>272</v>
      </c>
      <c r="I34" t="s">
        <v>274</v>
      </c>
      <c r="J34" s="38">
        <v>46140</v>
      </c>
      <c r="K34">
        <v>-38.4</v>
      </c>
      <c r="L34">
        <v>-640</v>
      </c>
      <c r="M34" t="s">
        <v>275</v>
      </c>
      <c r="N34" t="s">
        <v>276</v>
      </c>
      <c r="O34" t="s">
        <v>277</v>
      </c>
      <c r="P34" t="s">
        <v>278</v>
      </c>
      <c r="Q34" t="s">
        <v>89</v>
      </c>
      <c r="R34" t="s">
        <v>1253</v>
      </c>
      <c r="S34">
        <v>-22</v>
      </c>
      <c r="T34">
        <v>-35.269100000000002</v>
      </c>
      <c r="U34" t="s">
        <v>279</v>
      </c>
      <c r="V34" t="s">
        <v>232</v>
      </c>
      <c r="Y34">
        <v>107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1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-640</v>
      </c>
      <c r="BQ34">
        <v>0</v>
      </c>
      <c r="BR34">
        <v>0</v>
      </c>
      <c r="BS34">
        <v>0</v>
      </c>
      <c r="BT34">
        <v>1</v>
      </c>
      <c r="BU34">
        <v>-38</v>
      </c>
      <c r="BV34">
        <v>0</v>
      </c>
    </row>
    <row r="35" spans="1:74" x14ac:dyDescent="0.25">
      <c r="A35" t="s">
        <v>167</v>
      </c>
      <c r="B35" t="s">
        <v>168</v>
      </c>
      <c r="C35" t="s">
        <v>179</v>
      </c>
      <c r="D35" t="s">
        <v>170</v>
      </c>
      <c r="E35" t="s">
        <v>280</v>
      </c>
      <c r="F35" t="s">
        <v>280</v>
      </c>
      <c r="G35" t="s">
        <v>318</v>
      </c>
      <c r="H35" t="s">
        <v>179</v>
      </c>
      <c r="I35" t="s">
        <v>281</v>
      </c>
      <c r="J35" s="38">
        <v>46157</v>
      </c>
      <c r="K35">
        <v>-19.2</v>
      </c>
      <c r="L35">
        <v>-320</v>
      </c>
      <c r="M35" t="s">
        <v>182</v>
      </c>
      <c r="N35" t="s">
        <v>282</v>
      </c>
      <c r="O35" t="s">
        <v>189</v>
      </c>
      <c r="P35" t="s">
        <v>219</v>
      </c>
      <c r="Q35" t="s">
        <v>87</v>
      </c>
      <c r="R35" t="s">
        <v>1251</v>
      </c>
      <c r="S35">
        <v>102.67149999999999</v>
      </c>
      <c r="T35">
        <v>99.687299999999993</v>
      </c>
      <c r="U35" t="s">
        <v>283</v>
      </c>
      <c r="V35" t="s">
        <v>186</v>
      </c>
      <c r="Y35">
        <v>18</v>
      </c>
      <c r="Z35">
        <v>0</v>
      </c>
      <c r="AA35">
        <v>0</v>
      </c>
      <c r="AB35">
        <v>0.5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0.5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-160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-160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1</v>
      </c>
      <c r="BU35">
        <v>-19</v>
      </c>
      <c r="BV35">
        <v>0</v>
      </c>
    </row>
    <row r="36" spans="1:74" x14ac:dyDescent="0.25">
      <c r="A36" t="s">
        <v>167</v>
      </c>
      <c r="B36" t="s">
        <v>168</v>
      </c>
      <c r="C36" t="s">
        <v>179</v>
      </c>
      <c r="D36" t="s">
        <v>170</v>
      </c>
      <c r="E36" t="s">
        <v>284</v>
      </c>
      <c r="F36" t="s">
        <v>284</v>
      </c>
      <c r="G36" t="s">
        <v>318</v>
      </c>
      <c r="H36" t="s">
        <v>179</v>
      </c>
      <c r="I36" t="s">
        <v>285</v>
      </c>
      <c r="J36" s="38">
        <v>46157</v>
      </c>
      <c r="K36">
        <v>-19.2</v>
      </c>
      <c r="L36">
        <v>-320</v>
      </c>
      <c r="M36" t="s">
        <v>286</v>
      </c>
      <c r="N36" t="s">
        <v>183</v>
      </c>
      <c r="O36" t="s">
        <v>277</v>
      </c>
      <c r="P36" t="s">
        <v>231</v>
      </c>
      <c r="Q36" t="s">
        <v>88</v>
      </c>
      <c r="R36" t="s">
        <v>1252</v>
      </c>
      <c r="S36">
        <v>125</v>
      </c>
      <c r="T36">
        <v>95.179100000000005</v>
      </c>
      <c r="U36" t="s">
        <v>287</v>
      </c>
      <c r="V36" t="s">
        <v>186</v>
      </c>
      <c r="Y36">
        <v>18</v>
      </c>
      <c r="Z36">
        <v>0</v>
      </c>
      <c r="AA36">
        <v>0</v>
      </c>
      <c r="AB36">
        <v>0.5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0.5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-160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-160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</v>
      </c>
      <c r="BU36">
        <v>-19</v>
      </c>
      <c r="BV36">
        <v>0</v>
      </c>
    </row>
    <row r="37" spans="1:74" x14ac:dyDescent="0.25">
      <c r="A37" t="s">
        <v>167</v>
      </c>
      <c r="B37" t="s">
        <v>168</v>
      </c>
      <c r="C37" t="s">
        <v>267</v>
      </c>
      <c r="D37" t="s">
        <v>170</v>
      </c>
      <c r="E37" t="s">
        <v>288</v>
      </c>
      <c r="F37" t="s">
        <v>288</v>
      </c>
      <c r="G37" t="s">
        <v>318</v>
      </c>
      <c r="H37" t="s">
        <v>267</v>
      </c>
      <c r="I37" t="s">
        <v>197</v>
      </c>
      <c r="J37" s="38">
        <v>46156</v>
      </c>
      <c r="K37">
        <v>-144.9</v>
      </c>
      <c r="L37">
        <v>-2415</v>
      </c>
      <c r="M37" t="s">
        <v>173</v>
      </c>
      <c r="N37" t="s">
        <v>174</v>
      </c>
      <c r="O37" t="s">
        <v>189</v>
      </c>
      <c r="P37" t="s">
        <v>314</v>
      </c>
      <c r="Q37" t="s">
        <v>90</v>
      </c>
      <c r="R37" t="s">
        <v>1254</v>
      </c>
      <c r="S37">
        <v>17</v>
      </c>
      <c r="T37">
        <v>9.5001999999999995</v>
      </c>
      <c r="U37" t="s">
        <v>289</v>
      </c>
      <c r="V37" t="s">
        <v>290</v>
      </c>
      <c r="Y37">
        <v>105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0.25</v>
      </c>
      <c r="AR37">
        <v>1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-603.75</v>
      </c>
      <c r="BO37">
        <v>-1811</v>
      </c>
      <c r="BP37">
        <v>0</v>
      </c>
      <c r="BQ37">
        <v>0</v>
      </c>
      <c r="BR37">
        <v>0</v>
      </c>
      <c r="BS37">
        <v>0</v>
      </c>
      <c r="BT37">
        <v>1</v>
      </c>
      <c r="BU37">
        <v>-151</v>
      </c>
      <c r="BV37">
        <v>-6.2999999999999829</v>
      </c>
    </row>
    <row r="38" spans="1:74" x14ac:dyDescent="0.25">
      <c r="A38" t="s">
        <v>167</v>
      </c>
      <c r="B38" t="s">
        <v>168</v>
      </c>
      <c r="C38" t="s">
        <v>179</v>
      </c>
      <c r="D38" t="s">
        <v>170</v>
      </c>
      <c r="E38" t="s">
        <v>291</v>
      </c>
      <c r="F38" t="s">
        <v>291</v>
      </c>
      <c r="G38" t="s">
        <v>717</v>
      </c>
      <c r="H38" t="s">
        <v>179</v>
      </c>
      <c r="I38" t="s">
        <v>292</v>
      </c>
      <c r="J38" s="38">
        <v>46160</v>
      </c>
      <c r="K38">
        <v>-0.96</v>
      </c>
      <c r="L38">
        <v>-32</v>
      </c>
      <c r="M38" t="s">
        <v>286</v>
      </c>
      <c r="N38" t="s">
        <v>293</v>
      </c>
      <c r="O38" t="s">
        <v>294</v>
      </c>
      <c r="P38" t="s">
        <v>219</v>
      </c>
      <c r="Q38" t="s">
        <v>87</v>
      </c>
      <c r="R38" t="s">
        <v>1251</v>
      </c>
      <c r="S38">
        <v>197.94</v>
      </c>
      <c r="T38">
        <v>186.10239999999999</v>
      </c>
      <c r="U38" t="s">
        <v>295</v>
      </c>
      <c r="V38" t="s">
        <v>186</v>
      </c>
      <c r="X38" t="s">
        <v>207</v>
      </c>
      <c r="Y38">
        <v>91</v>
      </c>
      <c r="Z38">
        <v>0</v>
      </c>
      <c r="AA38">
        <v>1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-16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1</v>
      </c>
      <c r="BU38">
        <v>-1</v>
      </c>
      <c r="BV38">
        <v>0</v>
      </c>
    </row>
    <row r="39" spans="1:74" x14ac:dyDescent="0.25">
      <c r="A39" t="s">
        <v>167</v>
      </c>
      <c r="B39" t="s">
        <v>168</v>
      </c>
      <c r="C39" t="s">
        <v>179</v>
      </c>
      <c r="D39" t="s">
        <v>170</v>
      </c>
      <c r="E39" t="s">
        <v>296</v>
      </c>
      <c r="F39" t="s">
        <v>296</v>
      </c>
      <c r="G39" t="s">
        <v>717</v>
      </c>
      <c r="H39" t="s">
        <v>179</v>
      </c>
      <c r="I39" t="s">
        <v>292</v>
      </c>
      <c r="J39" s="38">
        <v>46160</v>
      </c>
      <c r="K39">
        <v>-0.96</v>
      </c>
      <c r="L39">
        <v>-32</v>
      </c>
      <c r="M39" t="s">
        <v>286</v>
      </c>
      <c r="N39" t="s">
        <v>293</v>
      </c>
      <c r="O39" t="s">
        <v>294</v>
      </c>
      <c r="P39" t="s">
        <v>219</v>
      </c>
      <c r="Q39" t="s">
        <v>87</v>
      </c>
      <c r="R39" t="s">
        <v>1251</v>
      </c>
      <c r="S39">
        <v>197.94</v>
      </c>
      <c r="T39">
        <v>186.10239999999999</v>
      </c>
      <c r="U39" t="s">
        <v>297</v>
      </c>
      <c r="V39" t="s">
        <v>186</v>
      </c>
      <c r="X39" t="s">
        <v>207</v>
      </c>
      <c r="Y39">
        <v>91</v>
      </c>
      <c r="Z39">
        <v>0</v>
      </c>
      <c r="AA39">
        <v>1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-16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1</v>
      </c>
      <c r="BU39">
        <v>-1</v>
      </c>
      <c r="BV39">
        <v>0</v>
      </c>
    </row>
    <row r="40" spans="1:74" x14ac:dyDescent="0.25">
      <c r="A40" t="s">
        <v>167</v>
      </c>
      <c r="B40" t="s">
        <v>168</v>
      </c>
      <c r="C40" t="s">
        <v>195</v>
      </c>
      <c r="D40" t="s">
        <v>170</v>
      </c>
      <c r="E40" t="s">
        <v>298</v>
      </c>
      <c r="F40" t="s">
        <v>298</v>
      </c>
      <c r="G40" t="s">
        <v>717</v>
      </c>
      <c r="H40" t="s">
        <v>195</v>
      </c>
      <c r="I40" t="s">
        <v>292</v>
      </c>
      <c r="J40" s="38">
        <v>46160</v>
      </c>
      <c r="K40">
        <v>-3</v>
      </c>
      <c r="L40">
        <v>-100</v>
      </c>
      <c r="M40" t="s">
        <v>286</v>
      </c>
      <c r="N40" t="s">
        <v>293</v>
      </c>
      <c r="O40" t="s">
        <v>294</v>
      </c>
      <c r="P40" t="s">
        <v>219</v>
      </c>
      <c r="Q40" t="s">
        <v>87</v>
      </c>
      <c r="R40" t="s">
        <v>1251</v>
      </c>
      <c r="S40">
        <v>97.94</v>
      </c>
      <c r="T40">
        <v>86.102400000000003</v>
      </c>
      <c r="U40" t="s">
        <v>299</v>
      </c>
      <c r="V40" t="s">
        <v>186</v>
      </c>
      <c r="X40" t="s">
        <v>207</v>
      </c>
      <c r="Y40">
        <v>91</v>
      </c>
      <c r="Z40">
        <v>0</v>
      </c>
      <c r="AA40">
        <v>1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-50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1</v>
      </c>
      <c r="BU40">
        <v>-3</v>
      </c>
      <c r="BV40">
        <v>0</v>
      </c>
    </row>
    <row r="41" spans="1:74" x14ac:dyDescent="0.25">
      <c r="A41" t="s">
        <v>167</v>
      </c>
      <c r="B41" t="s">
        <v>168</v>
      </c>
      <c r="C41" t="s">
        <v>258</v>
      </c>
      <c r="D41" t="s">
        <v>170</v>
      </c>
      <c r="E41" t="s">
        <v>300</v>
      </c>
      <c r="F41" t="s">
        <v>300</v>
      </c>
      <c r="G41" t="s">
        <v>717</v>
      </c>
      <c r="H41" t="s">
        <v>258</v>
      </c>
      <c r="I41" t="s">
        <v>292</v>
      </c>
      <c r="J41" s="38">
        <v>46160</v>
      </c>
      <c r="K41">
        <v>-0.36</v>
      </c>
      <c r="L41">
        <v>-12</v>
      </c>
      <c r="M41" t="s">
        <v>286</v>
      </c>
      <c r="N41" t="s">
        <v>293</v>
      </c>
      <c r="O41" t="s">
        <v>294</v>
      </c>
      <c r="P41" t="s">
        <v>219</v>
      </c>
      <c r="Q41" t="s">
        <v>87</v>
      </c>
      <c r="R41" t="s">
        <v>1251</v>
      </c>
      <c r="S41">
        <v>192.94</v>
      </c>
      <c r="T41">
        <v>181.10239999999999</v>
      </c>
      <c r="U41" t="s">
        <v>301</v>
      </c>
      <c r="V41" t="s">
        <v>186</v>
      </c>
      <c r="X41" t="s">
        <v>207</v>
      </c>
      <c r="Y41">
        <v>91</v>
      </c>
      <c r="Z41">
        <v>0</v>
      </c>
      <c r="AA41">
        <v>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-6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1</v>
      </c>
      <c r="BU41">
        <v>0</v>
      </c>
      <c r="BV41">
        <v>0</v>
      </c>
    </row>
    <row r="42" spans="1:74" x14ac:dyDescent="0.25">
      <c r="A42" t="s">
        <v>167</v>
      </c>
      <c r="B42" t="s">
        <v>168</v>
      </c>
      <c r="C42" t="s">
        <v>258</v>
      </c>
      <c r="D42" t="s">
        <v>170</v>
      </c>
      <c r="E42" t="s">
        <v>302</v>
      </c>
      <c r="F42" t="s">
        <v>302</v>
      </c>
      <c r="G42" t="s">
        <v>717</v>
      </c>
      <c r="H42" t="s">
        <v>258</v>
      </c>
      <c r="I42" t="s">
        <v>292</v>
      </c>
      <c r="J42" s="38">
        <v>46160</v>
      </c>
      <c r="K42">
        <v>-0.72</v>
      </c>
      <c r="L42">
        <v>-24</v>
      </c>
      <c r="M42" t="s">
        <v>286</v>
      </c>
      <c r="N42" t="s">
        <v>293</v>
      </c>
      <c r="O42" t="s">
        <v>294</v>
      </c>
      <c r="P42" t="s">
        <v>219</v>
      </c>
      <c r="Q42" t="s">
        <v>87</v>
      </c>
      <c r="R42" t="s">
        <v>1251</v>
      </c>
      <c r="S42">
        <v>192.94</v>
      </c>
      <c r="T42">
        <v>181.10239999999999</v>
      </c>
      <c r="U42" t="s">
        <v>303</v>
      </c>
      <c r="V42" t="s">
        <v>186</v>
      </c>
      <c r="X42" t="s">
        <v>207</v>
      </c>
      <c r="Y42">
        <v>91</v>
      </c>
      <c r="Z42">
        <v>0</v>
      </c>
      <c r="AA42">
        <v>1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-12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1</v>
      </c>
      <c r="BU42">
        <v>-1</v>
      </c>
      <c r="BV42">
        <v>0</v>
      </c>
    </row>
    <row r="43" spans="1:74" x14ac:dyDescent="0.25">
      <c r="A43" t="s">
        <v>167</v>
      </c>
      <c r="B43" t="s">
        <v>168</v>
      </c>
      <c r="C43" t="s">
        <v>179</v>
      </c>
      <c r="D43" t="s">
        <v>170</v>
      </c>
      <c r="E43" t="s">
        <v>304</v>
      </c>
      <c r="F43" t="s">
        <v>304</v>
      </c>
      <c r="G43" t="s">
        <v>318</v>
      </c>
      <c r="H43" t="s">
        <v>179</v>
      </c>
      <c r="I43" t="s">
        <v>305</v>
      </c>
      <c r="J43" s="38">
        <v>46163</v>
      </c>
      <c r="K43">
        <v>-19.2</v>
      </c>
      <c r="L43">
        <v>-320</v>
      </c>
      <c r="M43" t="s">
        <v>173</v>
      </c>
      <c r="N43" t="s">
        <v>174</v>
      </c>
      <c r="O43" t="s">
        <v>306</v>
      </c>
      <c r="P43" t="s">
        <v>219</v>
      </c>
      <c r="Q43" t="s">
        <v>87</v>
      </c>
      <c r="R43" t="s">
        <v>1251</v>
      </c>
      <c r="S43">
        <v>95</v>
      </c>
      <c r="T43">
        <v>95</v>
      </c>
      <c r="U43" t="s">
        <v>283</v>
      </c>
      <c r="V43" t="s">
        <v>186</v>
      </c>
      <c r="X43" t="s">
        <v>207</v>
      </c>
      <c r="Y43">
        <v>18</v>
      </c>
      <c r="Z43">
        <v>0</v>
      </c>
      <c r="AA43">
        <v>0</v>
      </c>
      <c r="AB43">
        <v>0.5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0.5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-160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-160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1</v>
      </c>
      <c r="BU43">
        <v>-19</v>
      </c>
      <c r="BV43">
        <v>0</v>
      </c>
    </row>
    <row r="44" spans="1:74" x14ac:dyDescent="0.25">
      <c r="A44" t="s">
        <v>167</v>
      </c>
      <c r="B44" t="s">
        <v>168</v>
      </c>
      <c r="C44" t="s">
        <v>224</v>
      </c>
      <c r="D44" t="s">
        <v>170</v>
      </c>
      <c r="E44" t="s">
        <v>307</v>
      </c>
      <c r="F44" t="s">
        <v>307</v>
      </c>
      <c r="G44" t="s">
        <v>318</v>
      </c>
      <c r="H44" t="s">
        <v>224</v>
      </c>
      <c r="I44" t="s">
        <v>308</v>
      </c>
      <c r="J44" s="38">
        <v>46171</v>
      </c>
      <c r="K44">
        <v>-21.6</v>
      </c>
      <c r="L44">
        <v>-360</v>
      </c>
      <c r="M44" t="s">
        <v>173</v>
      </c>
      <c r="N44" t="s">
        <v>174</v>
      </c>
      <c r="O44" t="s">
        <v>189</v>
      </c>
      <c r="P44" t="s">
        <v>1221</v>
      </c>
      <c r="Q44" t="s">
        <v>88</v>
      </c>
      <c r="R44" t="s">
        <v>1252</v>
      </c>
      <c r="S44">
        <v>50</v>
      </c>
      <c r="T44">
        <v>47.997399999999999</v>
      </c>
      <c r="U44" t="s">
        <v>309</v>
      </c>
      <c r="V44" t="s">
        <v>232</v>
      </c>
      <c r="Y44">
        <v>55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0.5</v>
      </c>
      <c r="AO44">
        <v>0</v>
      </c>
      <c r="AP44">
        <v>0</v>
      </c>
      <c r="AQ44">
        <v>0.5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-180</v>
      </c>
      <c r="BL44">
        <v>0</v>
      </c>
      <c r="BM44">
        <v>0</v>
      </c>
      <c r="BN44">
        <v>-180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1</v>
      </c>
      <c r="BU44">
        <v>-22</v>
      </c>
      <c r="BV44">
        <v>0</v>
      </c>
    </row>
    <row r="45" spans="1:74" x14ac:dyDescent="0.25">
      <c r="A45" t="s">
        <v>167</v>
      </c>
      <c r="B45" t="s">
        <v>168</v>
      </c>
      <c r="C45" t="s">
        <v>179</v>
      </c>
      <c r="D45" t="s">
        <v>170</v>
      </c>
      <c r="E45" t="s">
        <v>313</v>
      </c>
      <c r="F45" t="s">
        <v>313</v>
      </c>
      <c r="G45" t="s">
        <v>318</v>
      </c>
      <c r="H45" t="s">
        <v>179</v>
      </c>
      <c r="I45" t="s">
        <v>227</v>
      </c>
      <c r="J45" s="38">
        <v>46178</v>
      </c>
      <c r="K45">
        <v>-19.2</v>
      </c>
      <c r="L45">
        <v>-320</v>
      </c>
      <c r="M45" t="s">
        <v>173</v>
      </c>
      <c r="N45" t="s">
        <v>174</v>
      </c>
      <c r="O45" t="s">
        <v>205</v>
      </c>
      <c r="P45" t="s">
        <v>314</v>
      </c>
      <c r="Q45" t="s">
        <v>90</v>
      </c>
      <c r="R45" t="s">
        <v>1254</v>
      </c>
      <c r="S45">
        <v>75</v>
      </c>
      <c r="T45">
        <v>71.002899999999997</v>
      </c>
      <c r="U45" t="s">
        <v>48</v>
      </c>
      <c r="V45" t="s">
        <v>315</v>
      </c>
      <c r="W45" t="s">
        <v>228</v>
      </c>
      <c r="Y45">
        <v>23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1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-320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1</v>
      </c>
      <c r="BU45">
        <v>-19</v>
      </c>
      <c r="BV45">
        <v>0</v>
      </c>
    </row>
    <row r="46" spans="1:74" x14ac:dyDescent="0.25">
      <c r="A46" t="s">
        <v>167</v>
      </c>
      <c r="B46" t="s">
        <v>168</v>
      </c>
      <c r="C46" t="s">
        <v>179</v>
      </c>
      <c r="D46" t="s">
        <v>170</v>
      </c>
      <c r="E46" t="s">
        <v>316</v>
      </c>
      <c r="F46" t="s">
        <v>316</v>
      </c>
      <c r="G46" t="s">
        <v>318</v>
      </c>
      <c r="H46" t="s">
        <v>179</v>
      </c>
      <c r="I46" t="s">
        <v>227</v>
      </c>
      <c r="J46" s="38">
        <v>46178</v>
      </c>
      <c r="K46">
        <v>-19.2</v>
      </c>
      <c r="L46">
        <v>-320</v>
      </c>
      <c r="M46" t="s">
        <v>173</v>
      </c>
      <c r="N46" t="s">
        <v>174</v>
      </c>
      <c r="O46" t="s">
        <v>205</v>
      </c>
      <c r="P46" t="s">
        <v>314</v>
      </c>
      <c r="Q46" t="s">
        <v>90</v>
      </c>
      <c r="R46" t="s">
        <v>1254</v>
      </c>
      <c r="S46">
        <v>75</v>
      </c>
      <c r="T46">
        <v>71.002899999999997</v>
      </c>
      <c r="U46" t="s">
        <v>48</v>
      </c>
      <c r="V46" t="s">
        <v>315</v>
      </c>
      <c r="W46" t="s">
        <v>228</v>
      </c>
      <c r="Y46">
        <v>23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1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-320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1</v>
      </c>
      <c r="BU46">
        <v>-19</v>
      </c>
      <c r="BV46">
        <v>0</v>
      </c>
    </row>
    <row r="47" spans="1:74" x14ac:dyDescent="0.25">
      <c r="A47" t="s">
        <v>167</v>
      </c>
      <c r="B47" t="s">
        <v>168</v>
      </c>
      <c r="C47" t="s">
        <v>179</v>
      </c>
      <c r="D47" t="s">
        <v>170</v>
      </c>
      <c r="E47" t="s">
        <v>317</v>
      </c>
      <c r="F47" t="s">
        <v>317</v>
      </c>
      <c r="G47" t="s">
        <v>318</v>
      </c>
      <c r="H47" t="s">
        <v>179</v>
      </c>
      <c r="I47" t="s">
        <v>237</v>
      </c>
      <c r="J47" s="38">
        <v>46178</v>
      </c>
      <c r="K47">
        <v>-19.2</v>
      </c>
      <c r="L47">
        <v>-320</v>
      </c>
      <c r="M47" t="s">
        <v>319</v>
      </c>
      <c r="N47" t="s">
        <v>320</v>
      </c>
      <c r="O47" t="s">
        <v>321</v>
      </c>
      <c r="P47" t="s">
        <v>278</v>
      </c>
      <c r="Q47" t="s">
        <v>89</v>
      </c>
      <c r="R47" t="s">
        <v>1253</v>
      </c>
      <c r="S47">
        <v>102.4</v>
      </c>
      <c r="T47">
        <v>94.131799999999998</v>
      </c>
      <c r="U47" t="s">
        <v>283</v>
      </c>
      <c r="V47" t="s">
        <v>232</v>
      </c>
      <c r="Y47">
        <v>18</v>
      </c>
      <c r="Z47">
        <v>0</v>
      </c>
      <c r="AA47">
        <v>0</v>
      </c>
      <c r="AB47">
        <v>0.5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0.5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-160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-160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1</v>
      </c>
      <c r="BU47">
        <v>-19</v>
      </c>
      <c r="BV47">
        <v>0</v>
      </c>
    </row>
    <row r="48" spans="1:74" x14ac:dyDescent="0.25">
      <c r="A48" t="s">
        <v>167</v>
      </c>
      <c r="B48" t="s">
        <v>168</v>
      </c>
      <c r="C48" t="s">
        <v>179</v>
      </c>
      <c r="D48" t="s">
        <v>170</v>
      </c>
      <c r="E48" t="s">
        <v>322</v>
      </c>
      <c r="F48" t="s">
        <v>322</v>
      </c>
      <c r="G48" t="s">
        <v>318</v>
      </c>
      <c r="H48" t="s">
        <v>179</v>
      </c>
      <c r="I48" t="s">
        <v>188</v>
      </c>
      <c r="J48" s="38">
        <v>45971</v>
      </c>
      <c r="K48">
        <v>-172.8</v>
      </c>
      <c r="L48">
        <v>-2880</v>
      </c>
      <c r="M48" t="s">
        <v>173</v>
      </c>
      <c r="N48" t="s">
        <v>174</v>
      </c>
      <c r="O48" t="s">
        <v>189</v>
      </c>
      <c r="P48" t="s">
        <v>231</v>
      </c>
      <c r="Q48" t="s">
        <v>88</v>
      </c>
      <c r="R48" t="s">
        <v>1252</v>
      </c>
      <c r="S48">
        <v>175</v>
      </c>
      <c r="T48">
        <v>161.00290000000001</v>
      </c>
      <c r="U48" t="s">
        <v>194</v>
      </c>
      <c r="V48" t="s">
        <v>232</v>
      </c>
      <c r="W48" t="s">
        <v>206</v>
      </c>
      <c r="X48" t="s">
        <v>323</v>
      </c>
      <c r="Y48">
        <v>91</v>
      </c>
      <c r="Z48">
        <v>0</v>
      </c>
      <c r="AA48">
        <v>1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-2880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1</v>
      </c>
      <c r="BU48">
        <v>-173</v>
      </c>
      <c r="BV48">
        <v>0</v>
      </c>
    </row>
    <row r="49" spans="1:74" x14ac:dyDescent="0.25">
      <c r="A49" t="s">
        <v>167</v>
      </c>
      <c r="B49" t="s">
        <v>168</v>
      </c>
      <c r="C49" t="s">
        <v>179</v>
      </c>
      <c r="D49" t="s">
        <v>170</v>
      </c>
      <c r="E49" t="s">
        <v>324</v>
      </c>
      <c r="F49" t="s">
        <v>324</v>
      </c>
      <c r="G49" t="s">
        <v>717</v>
      </c>
      <c r="H49" t="s">
        <v>179</v>
      </c>
      <c r="I49" t="s">
        <v>172</v>
      </c>
      <c r="J49" s="38">
        <v>46183</v>
      </c>
      <c r="K49">
        <v>-18.899999999999999</v>
      </c>
      <c r="L49">
        <v>-315</v>
      </c>
      <c r="M49" t="s">
        <v>173</v>
      </c>
      <c r="N49" t="s">
        <v>174</v>
      </c>
      <c r="O49" t="s">
        <v>175</v>
      </c>
      <c r="P49" t="s">
        <v>219</v>
      </c>
      <c r="Q49" t="s">
        <v>87</v>
      </c>
      <c r="R49" t="s">
        <v>1251</v>
      </c>
      <c r="S49">
        <v>95</v>
      </c>
      <c r="T49">
        <v>95</v>
      </c>
      <c r="U49" t="s">
        <v>283</v>
      </c>
      <c r="V49" t="s">
        <v>186</v>
      </c>
      <c r="X49" t="s">
        <v>207</v>
      </c>
      <c r="Y49">
        <v>91</v>
      </c>
      <c r="Z49">
        <v>0</v>
      </c>
      <c r="AA49">
        <v>1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-315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1</v>
      </c>
      <c r="BU49">
        <v>-19</v>
      </c>
      <c r="BV49">
        <v>0</v>
      </c>
    </row>
    <row r="50" spans="1:74" x14ac:dyDescent="0.25">
      <c r="A50" t="s">
        <v>167</v>
      </c>
      <c r="B50" t="s">
        <v>168</v>
      </c>
      <c r="C50" t="s">
        <v>169</v>
      </c>
      <c r="D50" t="s">
        <v>170</v>
      </c>
      <c r="E50" t="s">
        <v>325</v>
      </c>
      <c r="F50" t="s">
        <v>325</v>
      </c>
      <c r="G50" t="s">
        <v>717</v>
      </c>
      <c r="H50" t="s">
        <v>169</v>
      </c>
      <c r="I50" t="s">
        <v>172</v>
      </c>
      <c r="J50" s="38">
        <v>46185</v>
      </c>
      <c r="K50">
        <v>-0.21</v>
      </c>
      <c r="L50">
        <v>-7</v>
      </c>
      <c r="M50" t="s">
        <v>173</v>
      </c>
      <c r="N50" t="s">
        <v>174</v>
      </c>
      <c r="O50" t="s">
        <v>175</v>
      </c>
      <c r="P50" t="s">
        <v>219</v>
      </c>
      <c r="Q50" t="s">
        <v>87</v>
      </c>
      <c r="R50" t="s">
        <v>1251</v>
      </c>
      <c r="S50">
        <v>498</v>
      </c>
      <c r="T50">
        <v>498</v>
      </c>
      <c r="U50" t="s">
        <v>326</v>
      </c>
      <c r="V50" t="s">
        <v>186</v>
      </c>
      <c r="X50" t="s">
        <v>178</v>
      </c>
      <c r="Y50">
        <v>91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-4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1</v>
      </c>
      <c r="BU50">
        <v>0</v>
      </c>
      <c r="BV50">
        <v>0</v>
      </c>
    </row>
    <row r="51" spans="1:74" x14ac:dyDescent="0.25">
      <c r="A51" t="s">
        <v>167</v>
      </c>
      <c r="B51" t="s">
        <v>168</v>
      </c>
      <c r="C51" t="s">
        <v>179</v>
      </c>
      <c r="D51" t="s">
        <v>170</v>
      </c>
      <c r="E51" t="s">
        <v>327</v>
      </c>
      <c r="F51" t="s">
        <v>327</v>
      </c>
      <c r="G51" t="s">
        <v>318</v>
      </c>
      <c r="H51" t="s">
        <v>179</v>
      </c>
      <c r="I51" t="s">
        <v>285</v>
      </c>
      <c r="J51" s="38">
        <v>46188</v>
      </c>
      <c r="K51">
        <v>-19.2</v>
      </c>
      <c r="L51">
        <v>-320</v>
      </c>
      <c r="M51" t="s">
        <v>286</v>
      </c>
      <c r="N51" t="s">
        <v>328</v>
      </c>
      <c r="O51" t="s">
        <v>329</v>
      </c>
      <c r="P51" t="s">
        <v>278</v>
      </c>
      <c r="Q51" t="s">
        <v>89</v>
      </c>
      <c r="R51" t="s">
        <v>1253</v>
      </c>
      <c r="S51">
        <v>127</v>
      </c>
      <c r="T51">
        <v>92.183199999999999</v>
      </c>
      <c r="U51" t="s">
        <v>330</v>
      </c>
      <c r="V51" t="s">
        <v>232</v>
      </c>
      <c r="W51" t="s">
        <v>206</v>
      </c>
      <c r="Y51">
        <v>91</v>
      </c>
      <c r="Z51">
        <v>0</v>
      </c>
      <c r="AA51">
        <v>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-320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1</v>
      </c>
      <c r="BU51">
        <v>-19</v>
      </c>
      <c r="BV51">
        <v>0</v>
      </c>
    </row>
    <row r="52" spans="1:74" x14ac:dyDescent="0.25">
      <c r="A52" t="s">
        <v>167</v>
      </c>
      <c r="B52" t="s">
        <v>168</v>
      </c>
      <c r="C52" t="s">
        <v>195</v>
      </c>
      <c r="D52" t="s">
        <v>170</v>
      </c>
      <c r="E52" t="s">
        <v>1257</v>
      </c>
      <c r="F52" t="s">
        <v>1257</v>
      </c>
      <c r="G52" t="s">
        <v>318</v>
      </c>
      <c r="H52" t="s">
        <v>195</v>
      </c>
      <c r="I52" t="s">
        <v>242</v>
      </c>
      <c r="J52" s="38">
        <v>46188</v>
      </c>
      <c r="K52">
        <v>-108</v>
      </c>
      <c r="L52">
        <v>-1800</v>
      </c>
      <c r="M52" t="s">
        <v>173</v>
      </c>
      <c r="N52" t="s">
        <v>174</v>
      </c>
      <c r="O52" t="s">
        <v>189</v>
      </c>
      <c r="P52" t="s">
        <v>278</v>
      </c>
      <c r="Q52" t="s">
        <v>89</v>
      </c>
      <c r="R52" t="s">
        <v>1253</v>
      </c>
      <c r="S52">
        <v>50</v>
      </c>
      <c r="T52">
        <v>36.889200000000002</v>
      </c>
      <c r="U52" t="s">
        <v>1259</v>
      </c>
      <c r="V52" t="s">
        <v>232</v>
      </c>
      <c r="W52" t="s">
        <v>1260</v>
      </c>
      <c r="Y52">
        <v>32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0.25</v>
      </c>
      <c r="AM52">
        <v>0</v>
      </c>
      <c r="AN52">
        <v>0</v>
      </c>
      <c r="AO52">
        <v>0</v>
      </c>
      <c r="AP52">
        <v>0</v>
      </c>
      <c r="AQ52">
        <v>0.75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-450</v>
      </c>
      <c r="BJ52">
        <v>0</v>
      </c>
      <c r="BK52">
        <v>0</v>
      </c>
      <c r="BL52">
        <v>0</v>
      </c>
      <c r="BM52">
        <v>0</v>
      </c>
      <c r="BN52">
        <v>-1350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1</v>
      </c>
      <c r="BU52">
        <v>-108</v>
      </c>
      <c r="BV52">
        <v>0</v>
      </c>
    </row>
    <row r="53" spans="1:74" x14ac:dyDescent="0.25">
      <c r="A53" t="s">
        <v>167</v>
      </c>
      <c r="B53" t="s">
        <v>168</v>
      </c>
      <c r="C53" t="s">
        <v>195</v>
      </c>
      <c r="D53" t="s">
        <v>170</v>
      </c>
      <c r="E53" t="s">
        <v>1262</v>
      </c>
      <c r="F53" t="s">
        <v>1262</v>
      </c>
      <c r="G53" t="s">
        <v>318</v>
      </c>
      <c r="H53" t="s">
        <v>195</v>
      </c>
      <c r="I53" t="s">
        <v>242</v>
      </c>
      <c r="J53" s="38">
        <v>46188</v>
      </c>
      <c r="K53">
        <v>-108</v>
      </c>
      <c r="L53">
        <v>-1800</v>
      </c>
      <c r="M53" t="s">
        <v>173</v>
      </c>
      <c r="N53" t="s">
        <v>174</v>
      </c>
      <c r="O53" t="s">
        <v>189</v>
      </c>
      <c r="P53" t="s">
        <v>314</v>
      </c>
      <c r="Q53" t="s">
        <v>90</v>
      </c>
      <c r="R53" t="s">
        <v>1254</v>
      </c>
      <c r="S53">
        <v>65</v>
      </c>
      <c r="T53">
        <v>51.266399999999997</v>
      </c>
      <c r="U53" t="s">
        <v>51</v>
      </c>
      <c r="V53" t="s">
        <v>315</v>
      </c>
      <c r="W53" t="s">
        <v>228</v>
      </c>
      <c r="Y53">
        <v>31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1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-1800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1</v>
      </c>
      <c r="BU53">
        <v>-108</v>
      </c>
      <c r="BV53">
        <v>0</v>
      </c>
    </row>
    <row r="54" spans="1:74" x14ac:dyDescent="0.25">
      <c r="A54" t="s">
        <v>167</v>
      </c>
      <c r="B54" t="s">
        <v>168</v>
      </c>
      <c r="C54" t="s">
        <v>195</v>
      </c>
      <c r="D54" t="s">
        <v>170</v>
      </c>
      <c r="E54" t="s">
        <v>1263</v>
      </c>
      <c r="F54" t="s">
        <v>1263</v>
      </c>
      <c r="G54" t="s">
        <v>318</v>
      </c>
      <c r="H54" t="s">
        <v>195</v>
      </c>
      <c r="I54" t="s">
        <v>242</v>
      </c>
      <c r="J54" s="38">
        <v>46188</v>
      </c>
      <c r="K54">
        <v>-108</v>
      </c>
      <c r="L54">
        <v>-1800</v>
      </c>
      <c r="M54" t="s">
        <v>173</v>
      </c>
      <c r="N54" t="s">
        <v>174</v>
      </c>
      <c r="O54" t="s">
        <v>189</v>
      </c>
      <c r="P54" t="s">
        <v>314</v>
      </c>
      <c r="Q54" t="s">
        <v>90</v>
      </c>
      <c r="R54" t="s">
        <v>1254</v>
      </c>
      <c r="S54">
        <v>50</v>
      </c>
      <c r="T54">
        <v>36.920499999999997</v>
      </c>
      <c r="U54" t="s">
        <v>1259</v>
      </c>
      <c r="V54" t="s">
        <v>315</v>
      </c>
      <c r="W54" t="s">
        <v>1260</v>
      </c>
      <c r="Y54">
        <v>32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0.25</v>
      </c>
      <c r="AM54">
        <v>0</v>
      </c>
      <c r="AN54">
        <v>0</v>
      </c>
      <c r="AO54">
        <v>0</v>
      </c>
      <c r="AP54">
        <v>0</v>
      </c>
      <c r="AQ54">
        <v>0.75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-450</v>
      </c>
      <c r="BJ54">
        <v>0</v>
      </c>
      <c r="BK54">
        <v>0</v>
      </c>
      <c r="BL54">
        <v>0</v>
      </c>
      <c r="BM54">
        <v>0</v>
      </c>
      <c r="BN54">
        <v>-1350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1</v>
      </c>
      <c r="BU54">
        <v>-108</v>
      </c>
      <c r="BV54">
        <v>0</v>
      </c>
    </row>
    <row r="55" spans="1:74" x14ac:dyDescent="0.25">
      <c r="A55" t="s">
        <v>167</v>
      </c>
      <c r="B55" t="s">
        <v>168</v>
      </c>
      <c r="C55" t="s">
        <v>267</v>
      </c>
      <c r="D55" t="s">
        <v>170</v>
      </c>
      <c r="E55" t="s">
        <v>1264</v>
      </c>
      <c r="F55" t="s">
        <v>1264</v>
      </c>
      <c r="G55" t="s">
        <v>318</v>
      </c>
      <c r="H55" t="s">
        <v>267</v>
      </c>
      <c r="I55" t="s">
        <v>242</v>
      </c>
      <c r="J55" s="38">
        <v>46188</v>
      </c>
      <c r="K55">
        <v>-108</v>
      </c>
      <c r="L55">
        <v>-1800</v>
      </c>
      <c r="M55" t="s">
        <v>173</v>
      </c>
      <c r="N55" t="s">
        <v>174</v>
      </c>
      <c r="O55" t="s">
        <v>189</v>
      </c>
      <c r="P55" t="s">
        <v>314</v>
      </c>
      <c r="Q55" t="s">
        <v>90</v>
      </c>
      <c r="R55" t="s">
        <v>1254</v>
      </c>
      <c r="S55">
        <v>21</v>
      </c>
      <c r="T55">
        <v>9.0780999999999992</v>
      </c>
      <c r="U55" t="s">
        <v>1265</v>
      </c>
      <c r="V55" t="s">
        <v>315</v>
      </c>
      <c r="W55" t="s">
        <v>1270</v>
      </c>
      <c r="Y55">
        <v>104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-1800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1</v>
      </c>
      <c r="BU55">
        <v>-108</v>
      </c>
      <c r="BV55">
        <v>0</v>
      </c>
    </row>
    <row r="56" spans="1:74" x14ac:dyDescent="0.25">
      <c r="A56" t="s">
        <v>167</v>
      </c>
      <c r="B56" t="s">
        <v>168</v>
      </c>
      <c r="C56" t="s">
        <v>267</v>
      </c>
      <c r="D56" t="s">
        <v>170</v>
      </c>
      <c r="E56" t="s">
        <v>1266</v>
      </c>
      <c r="F56" t="s">
        <v>1266</v>
      </c>
      <c r="G56" t="s">
        <v>318</v>
      </c>
      <c r="H56" t="s">
        <v>267</v>
      </c>
      <c r="I56" t="s">
        <v>242</v>
      </c>
      <c r="J56" s="38">
        <v>46188</v>
      </c>
      <c r="K56">
        <v>-108</v>
      </c>
      <c r="L56">
        <v>-1800</v>
      </c>
      <c r="M56" t="s">
        <v>173</v>
      </c>
      <c r="N56" t="s">
        <v>174</v>
      </c>
      <c r="O56" t="s">
        <v>189</v>
      </c>
      <c r="P56" t="s">
        <v>314</v>
      </c>
      <c r="Q56" t="s">
        <v>90</v>
      </c>
      <c r="R56" t="s">
        <v>1254</v>
      </c>
      <c r="S56">
        <v>8</v>
      </c>
      <c r="T56">
        <v>-3.3525999999999998</v>
      </c>
      <c r="U56" t="s">
        <v>1267</v>
      </c>
      <c r="V56" t="s">
        <v>315</v>
      </c>
      <c r="Y56">
        <v>105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0.25</v>
      </c>
      <c r="AR56">
        <v>1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-450</v>
      </c>
      <c r="BO56">
        <v>-1350</v>
      </c>
      <c r="BP56">
        <v>0</v>
      </c>
      <c r="BQ56">
        <v>0</v>
      </c>
      <c r="BR56">
        <v>0</v>
      </c>
      <c r="BS56">
        <v>0</v>
      </c>
      <c r="BT56">
        <v>1</v>
      </c>
      <c r="BU56">
        <v>-108</v>
      </c>
      <c r="BV56">
        <v>0</v>
      </c>
    </row>
    <row r="57" spans="1:74" x14ac:dyDescent="0.25">
      <c r="A57" t="s">
        <v>167</v>
      </c>
      <c r="B57" t="s">
        <v>168</v>
      </c>
      <c r="C57" t="s">
        <v>267</v>
      </c>
      <c r="D57" t="s">
        <v>170</v>
      </c>
      <c r="E57" t="s">
        <v>1268</v>
      </c>
      <c r="F57" t="s">
        <v>1268</v>
      </c>
      <c r="G57" t="s">
        <v>318</v>
      </c>
      <c r="H57" t="s">
        <v>267</v>
      </c>
      <c r="I57" t="s">
        <v>242</v>
      </c>
      <c r="J57" s="38">
        <v>46188</v>
      </c>
      <c r="K57">
        <v>-108</v>
      </c>
      <c r="L57">
        <v>-1800</v>
      </c>
      <c r="M57" t="s">
        <v>173</v>
      </c>
      <c r="N57" t="s">
        <v>174</v>
      </c>
      <c r="O57" t="s">
        <v>189</v>
      </c>
      <c r="P57" t="s">
        <v>1214</v>
      </c>
      <c r="Q57" t="s">
        <v>91</v>
      </c>
      <c r="R57" t="s">
        <v>1255</v>
      </c>
      <c r="S57">
        <v>21</v>
      </c>
      <c r="T57">
        <v>9.0780999999999992</v>
      </c>
      <c r="U57" t="s">
        <v>1265</v>
      </c>
      <c r="V57" t="s">
        <v>315</v>
      </c>
      <c r="W57" t="s">
        <v>1270</v>
      </c>
      <c r="Y57">
        <v>104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1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-1800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1</v>
      </c>
      <c r="BU57">
        <v>-108</v>
      </c>
      <c r="BV57">
        <v>0</v>
      </c>
    </row>
    <row r="58" spans="1:74" x14ac:dyDescent="0.25">
      <c r="A58" t="s">
        <v>167</v>
      </c>
      <c r="B58" t="s">
        <v>168</v>
      </c>
      <c r="C58" t="s">
        <v>267</v>
      </c>
      <c r="D58" t="s">
        <v>170</v>
      </c>
      <c r="E58" t="s">
        <v>1269</v>
      </c>
      <c r="F58" t="s">
        <v>1269</v>
      </c>
      <c r="G58" t="s">
        <v>318</v>
      </c>
      <c r="H58" t="s">
        <v>267</v>
      </c>
      <c r="I58" t="s">
        <v>242</v>
      </c>
      <c r="J58" s="38">
        <v>46188</v>
      </c>
      <c r="K58">
        <v>-108</v>
      </c>
      <c r="L58">
        <v>-1800</v>
      </c>
      <c r="M58" t="s">
        <v>173</v>
      </c>
      <c r="N58" t="s">
        <v>174</v>
      </c>
      <c r="O58" t="s">
        <v>189</v>
      </c>
      <c r="P58" t="s">
        <v>1214</v>
      </c>
      <c r="Q58" t="s">
        <v>91</v>
      </c>
      <c r="R58" t="s">
        <v>1255</v>
      </c>
      <c r="S58">
        <v>8</v>
      </c>
      <c r="T58">
        <v>-3.3525999999999998</v>
      </c>
      <c r="U58" t="s">
        <v>1267</v>
      </c>
      <c r="V58" t="s">
        <v>315</v>
      </c>
      <c r="Y58">
        <v>105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0.25</v>
      </c>
      <c r="AR58">
        <v>1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-450</v>
      </c>
      <c r="BO58">
        <v>-1350</v>
      </c>
      <c r="BP58">
        <v>0</v>
      </c>
      <c r="BQ58">
        <v>0</v>
      </c>
      <c r="BR58">
        <v>0</v>
      </c>
      <c r="BS58">
        <v>0</v>
      </c>
      <c r="BT58">
        <v>1</v>
      </c>
      <c r="BU58">
        <v>-108</v>
      </c>
      <c r="BV58">
        <v>0</v>
      </c>
    </row>
    <row r="59" spans="1:74" x14ac:dyDescent="0.25">
      <c r="A59" t="s">
        <v>167</v>
      </c>
      <c r="B59" t="s">
        <v>168</v>
      </c>
      <c r="C59" t="s">
        <v>179</v>
      </c>
      <c r="D59" t="s">
        <v>170</v>
      </c>
      <c r="E59" t="s">
        <v>497</v>
      </c>
      <c r="F59" t="s">
        <v>497</v>
      </c>
      <c r="G59" t="s">
        <v>318</v>
      </c>
      <c r="H59" t="s">
        <v>179</v>
      </c>
      <c r="I59" t="s">
        <v>305</v>
      </c>
      <c r="J59" s="38">
        <v>45590</v>
      </c>
      <c r="K59">
        <v>-1.2</v>
      </c>
      <c r="L59">
        <v>-1200</v>
      </c>
      <c r="M59" t="s">
        <v>1284</v>
      </c>
      <c r="N59" t="s">
        <v>238</v>
      </c>
      <c r="O59" t="s">
        <v>1285</v>
      </c>
      <c r="P59" t="s">
        <v>1287</v>
      </c>
      <c r="Q59" t="s">
        <v>1297</v>
      </c>
      <c r="R59" t="s">
        <v>1255</v>
      </c>
      <c r="S59">
        <v>34.29</v>
      </c>
      <c r="T59">
        <v>21.293500000000002</v>
      </c>
      <c r="U59" t="s">
        <v>1288</v>
      </c>
      <c r="V59" t="s">
        <v>1289</v>
      </c>
      <c r="X59" t="s">
        <v>512</v>
      </c>
      <c r="Y59">
        <v>91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-20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</v>
      </c>
      <c r="BU59">
        <v>-1</v>
      </c>
      <c r="BV59">
        <v>0</v>
      </c>
    </row>
    <row r="60" spans="1:74" x14ac:dyDescent="0.25">
      <c r="A60" t="s">
        <v>167</v>
      </c>
      <c r="B60" t="s">
        <v>168</v>
      </c>
      <c r="C60" t="s">
        <v>195</v>
      </c>
      <c r="D60" t="s">
        <v>170</v>
      </c>
      <c r="E60" t="s">
        <v>310</v>
      </c>
      <c r="F60" t="s">
        <v>310</v>
      </c>
      <c r="G60" t="s">
        <v>318</v>
      </c>
      <c r="H60" t="s">
        <v>195</v>
      </c>
      <c r="I60" t="s">
        <v>285</v>
      </c>
      <c r="J60" s="38">
        <v>46174</v>
      </c>
      <c r="K60">
        <v>-19.2</v>
      </c>
      <c r="L60">
        <v>-320</v>
      </c>
      <c r="M60" t="s">
        <v>286</v>
      </c>
      <c r="N60" t="s">
        <v>183</v>
      </c>
      <c r="O60" t="s">
        <v>311</v>
      </c>
      <c r="P60" t="s">
        <v>231</v>
      </c>
      <c r="Q60" t="s">
        <v>88</v>
      </c>
      <c r="R60" t="s">
        <v>1252</v>
      </c>
      <c r="S60">
        <v>70</v>
      </c>
      <c r="T60">
        <v>35.295099999999998</v>
      </c>
      <c r="U60" t="s">
        <v>240</v>
      </c>
      <c r="V60" t="s">
        <v>232</v>
      </c>
      <c r="Y60">
        <v>31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1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-320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1</v>
      </c>
      <c r="BU60">
        <v>-19</v>
      </c>
      <c r="BV60">
        <v>0</v>
      </c>
    </row>
    <row r="61" spans="1:74" x14ac:dyDescent="0.25">
      <c r="A61" t="s">
        <v>167</v>
      </c>
      <c r="B61" t="s">
        <v>168</v>
      </c>
      <c r="C61" t="s">
        <v>195</v>
      </c>
      <c r="D61" t="s">
        <v>170</v>
      </c>
      <c r="E61" t="s">
        <v>312</v>
      </c>
      <c r="F61" t="s">
        <v>312</v>
      </c>
      <c r="G61" t="s">
        <v>318</v>
      </c>
      <c r="H61" t="s">
        <v>195</v>
      </c>
      <c r="I61" t="s">
        <v>237</v>
      </c>
      <c r="J61" s="38">
        <v>46105</v>
      </c>
      <c r="K61">
        <v>-19.2</v>
      </c>
      <c r="L61">
        <v>-320</v>
      </c>
      <c r="M61" t="s">
        <v>173</v>
      </c>
      <c r="N61" t="s">
        <v>174</v>
      </c>
      <c r="O61" t="s">
        <v>184</v>
      </c>
      <c r="P61" t="s">
        <v>263</v>
      </c>
      <c r="Q61" t="s">
        <v>86</v>
      </c>
      <c r="R61" t="s">
        <v>1250</v>
      </c>
      <c r="S61">
        <v>35</v>
      </c>
      <c r="T61">
        <v>35</v>
      </c>
      <c r="U61" t="s">
        <v>51</v>
      </c>
      <c r="V61" t="s">
        <v>232</v>
      </c>
      <c r="Y61">
        <v>31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1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-320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1</v>
      </c>
      <c r="BU61">
        <v>-19</v>
      </c>
      <c r="BV61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06debbe-1671-4583-a078-13eeeb4d81ca">
      <Terms xmlns="http://schemas.microsoft.com/office/infopath/2007/PartnerControls"/>
    </lcf76f155ced4ddcb4097134ff3c332f>
    <TaxCatchAll xmlns="1a1dad5f-d5ea-42b2-83e8-b5d58c28640a" xsi:nil="true"/>
    <OLDSTOCK11thJuly2023 xmlns="b06debbe-1671-4583-a078-13eeeb4d81ca" xsi:nil="true"/>
    <SR_x002e_NO xmlns="b06debbe-1671-4583-a078-13eeeb4d81ca" xsi:nil="true"/>
    <Months xmlns="b06debbe-1671-4583-a078-13eeeb4d81ca" xsi:nil="true"/>
    <_Flow_SignoffStatus xmlns="b06debbe-1671-4583-a078-13eeeb4d81ca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788554C62A994387F8615E5B1EE75E" ma:contentTypeVersion="22" ma:contentTypeDescription="Create a new document." ma:contentTypeScope="" ma:versionID="e226f503c6573b4dc8013a70ca024f7b">
  <xsd:schema xmlns:xsd="http://www.w3.org/2001/XMLSchema" xmlns:xs="http://www.w3.org/2001/XMLSchema" xmlns:p="http://schemas.microsoft.com/office/2006/metadata/properties" xmlns:ns2="b06debbe-1671-4583-a078-13eeeb4d81ca" xmlns:ns3="1a1dad5f-d5ea-42b2-83e8-b5d58c28640a" targetNamespace="http://schemas.microsoft.com/office/2006/metadata/properties" ma:root="true" ma:fieldsID="d5721f61f9b1388024df8939bda979e7" ns2:_="" ns3:_="">
    <xsd:import namespace="b06debbe-1671-4583-a078-13eeeb4d81ca"/>
    <xsd:import namespace="1a1dad5f-d5ea-42b2-83e8-b5d58c28640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  <xsd:element ref="ns2:OLDSTOCK11thJuly2023" minOccurs="0"/>
                <xsd:element ref="ns2:SR_x002e_NO" minOccurs="0"/>
                <xsd:element ref="ns2:Month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6debbe-1671-4583-a078-13eeeb4d81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99af6215-1db3-42ac-a07f-ea8c3653189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OLDSTOCK11thJuly2023" ma:index="26" nillable="true" ma:displayName="OLD STOCK 11th July 2023" ma:format="Dropdown" ma:internalName="OLDSTOCK11thJuly2023">
      <xsd:simpleType>
        <xsd:restriction base="dms:Text">
          <xsd:maxLength value="255"/>
        </xsd:restriction>
      </xsd:simpleType>
    </xsd:element>
    <xsd:element name="SR_x002e_NO" ma:index="27" nillable="true" ma:displayName="SR.NO" ma:description="NUMBER" ma:format="Dropdown" ma:internalName="SR_x002e_NO" ma:percentage="FALSE">
      <xsd:simpleType>
        <xsd:restriction base="dms:Number"/>
      </xsd:simpleType>
    </xsd:element>
    <xsd:element name="Months" ma:index="28" nillable="true" ma:displayName="Months" ma:format="Dropdown" ma:internalName="Months" ma:percentage="FALSE">
      <xsd:simpleType>
        <xsd:restriction base="dms:Number"/>
      </xsd:simpleType>
    </xsd:element>
    <xsd:element name="_Flow_SignoffStatus" ma:index="29" nillable="true" ma:displayName="Sign-off status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1dad5f-d5ea-42b2-83e8-b5d58c28640a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369d7de-4a66-4a5b-993d-d4b56ffaef0d}" ma:internalName="TaxCatchAll" ma:showField="CatchAllData" ma:web="1a1dad5f-d5ea-42b2-83e8-b5d58c28640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F7A9EE-3AF5-45E3-8DC1-EE16942A4F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E55DDD-E332-4937-BCC1-8A47959A859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F32BC07-75CE-41E4-9B35-F1D32449A409}">
  <ds:schemaRefs>
    <ds:schemaRef ds:uri="http://schemas.microsoft.com/office/2006/metadata/properties"/>
    <ds:schemaRef ds:uri="http://schemas.microsoft.com/office/infopath/2007/PartnerControls"/>
    <ds:schemaRef ds:uri="b06debbe-1671-4583-a078-13eeeb4d81ca"/>
    <ds:schemaRef ds:uri="1a1dad5f-d5ea-42b2-83e8-b5d58c28640a"/>
  </ds:schemaRefs>
</ds:datastoreItem>
</file>

<file path=customXml/itemProps4.xml><?xml version="1.0" encoding="utf-8"?>
<ds:datastoreItem xmlns:ds="http://schemas.openxmlformats.org/officeDocument/2006/customXml" ds:itemID="{00FA8FA2-D932-4D03-B302-E8DE5DD86F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6debbe-1671-4583-a078-13eeeb4d81ca"/>
    <ds:schemaRef ds:uri="1a1dad5f-d5ea-42b2-83e8-b5d58c2864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ReadMe</vt:lpstr>
      <vt:lpstr>Summary</vt:lpstr>
      <vt:lpstr>Stocks</vt:lpstr>
      <vt:lpstr>BASE FILE </vt:lpstr>
      <vt:lpstr>Blends</vt:lpstr>
      <vt:lpstr>Futs + Spread</vt:lpstr>
      <vt:lpstr>AutoFindNewSales</vt:lpstr>
      <vt:lpstr>FindOldSales</vt:lpstr>
      <vt:lpstr>DailyNetPosition</vt:lpstr>
      <vt:lpstr>LogisticsReport</vt:lpstr>
      <vt:lpstr>Forward Sales</vt:lpstr>
      <vt:lpstr>AutoLogisticsReport</vt:lpstr>
      <vt:lpstr>AutoBaseFile</vt:lpstr>
      <vt:lpstr>blends</vt:lpstr>
      <vt:lpstr>netpos</vt:lpstr>
      <vt:lpstr>normal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Livio Roth</dc:creator>
  <cp:keywords/>
  <dc:description/>
  <cp:lastModifiedBy>Ivo Jr. Sarjanovic</cp:lastModifiedBy>
  <cp:revision/>
  <dcterms:created xsi:type="dcterms:W3CDTF">2024-02-14T19:45:21Z</dcterms:created>
  <dcterms:modified xsi:type="dcterms:W3CDTF">2026-06-18T13:08:22Z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0x01010001788554C62A994387F8615E5B1EE75E</vt:lpwstr>
  </property>
  <property fmtid="{D5CDD505-2E9C-101B-9397-08002B2CF9AE}" pid="3" name="MediaServiceImageTags">
    <vt:lpwstr/>
  </property>
</Properties>
</file>